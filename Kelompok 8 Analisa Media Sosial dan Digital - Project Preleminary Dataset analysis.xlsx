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Kuliah\Semester 3\Analisis Sentimen\"/>
    </mc:Choice>
  </mc:AlternateContent>
  <xr:revisionPtr revIDLastSave="0" documentId="13_ncr:1_{24E44C78-194D-4B75-8541-A95A4DBCA41A}" xr6:coauthVersionLast="47" xr6:coauthVersionMax="47" xr10:uidLastSave="{00000000-0000-0000-0000-000000000000}"/>
  <bookViews>
    <workbookView xWindow="-110" yWindow="-110" windowWidth="25820" windowHeight="15500" firstSheet="9" activeTab="10" xr2:uid="{26150643-4F06-466E-997A-B8FD90782017}"/>
  </bookViews>
  <sheets>
    <sheet name="Step 1-Raw Data MBG" sheetId="1" r:id="rId1"/>
    <sheet name="Step 2-Check Duplicate Data MB" sheetId="2" r:id="rId2"/>
    <sheet name="Step 3-Clean Duplicate Data MBG" sheetId="3" r:id="rId3"/>
    <sheet name="Step 4-Text Preprocessing" sheetId="7" r:id="rId4"/>
    <sheet name="Step 4-Text Preprocessing 2" sheetId="15" r:id="rId5"/>
    <sheet name="Step 5-Clean Duplicate Data MBG" sheetId="8" r:id="rId6"/>
    <sheet name="Step 5-Clean Duplicate Data 2" sheetId="16" r:id="rId7"/>
    <sheet name="Step 6-Check Relevansi Data MBG" sheetId="9" r:id="rId8"/>
    <sheet name="Step 6-Check Relevansi Data 2" sheetId="17" r:id="rId9"/>
    <sheet name="Step 8-Clean Relevansi Data" sheetId="13" r:id="rId10"/>
    <sheet name="Step 8-Clean Relevansi Data 2" sheetId="20" r:id="rId11"/>
    <sheet name="Step 9-Category Akun" sheetId="11" r:id="rId12"/>
    <sheet name="Step 10-Clean Akun" sheetId="14" r:id="rId13"/>
  </sheets>
  <definedNames>
    <definedName name="_xlnm._FilterDatabase" localSheetId="0" hidden="1">'Step 1-Raw Data MBG'!$A$1:$C$478</definedName>
    <definedName name="ExternalData_1" localSheetId="12" hidden="1">'Step 10-Clean Akun'!$A$1:$I$317</definedName>
    <definedName name="ExternalData_1" localSheetId="3" hidden="1">'Step 4-Text Preprocessing'!$A$1:$H$463</definedName>
    <definedName name="ExternalData_1" localSheetId="5" hidden="1">'Step 5-Clean Duplicate Data MBG'!$A$1:$H$455</definedName>
    <definedName name="ExternalData_1" localSheetId="7" hidden="1">'Step 6-Check Relevansi Data MBG'!$A$1:$H$455</definedName>
    <definedName name="ExternalData_1" localSheetId="9" hidden="1">'Step 8-Clean Relevansi Data'!$A$1:$H$452</definedName>
    <definedName name="ExternalData_1" localSheetId="11" hidden="1">'Step 9-Category Akun'!$A$1:$I$452</definedName>
    <definedName name="ExternalData_2" localSheetId="4" hidden="1">'Step 4-Text Preprocessing 2'!$A$1:$I$463</definedName>
    <definedName name="ExternalData_2" localSheetId="6" hidden="1">'Step 5-Clean Duplicate Data 2'!$A$1:$I$452</definedName>
    <definedName name="ExternalData_2" localSheetId="8" hidden="1">'Step 6-Check Relevansi Data 2'!$A$1:$I$452</definedName>
    <definedName name="ExternalData_2" localSheetId="10" hidden="1">'Step 8-Clean Relevansi Data 2'!$A$1:$I$449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 i="20" l="1"/>
  <c r="O8" i="20"/>
  <c r="J2" i="20" a="1"/>
  <c r="J2" i="20" s="1"/>
  <c r="J3" i="20" a="1"/>
  <c r="J3" i="20" s="1"/>
  <c r="J4" i="20" a="1"/>
  <c r="J4" i="20" s="1"/>
  <c r="J5" i="20" a="1"/>
  <c r="J5" i="20" s="1"/>
  <c r="J6" i="20" a="1"/>
  <c r="J6" i="20" s="1"/>
  <c r="J7" i="20" a="1"/>
  <c r="J7" i="20" s="1"/>
  <c r="J8" i="20" a="1"/>
  <c r="J8" i="20"/>
  <c r="J9" i="20" a="1"/>
  <c r="J9" i="20"/>
  <c r="J10" i="20" a="1"/>
  <c r="J10" i="20"/>
  <c r="J11" i="20" a="1"/>
  <c r="J11" i="20" s="1"/>
  <c r="J12" i="20" a="1"/>
  <c r="J12" i="20" s="1"/>
  <c r="J13" i="20" a="1"/>
  <c r="J13" i="20"/>
  <c r="J14" i="20" a="1"/>
  <c r="J14" i="20" s="1"/>
  <c r="J15" i="20" a="1"/>
  <c r="J15" i="20" s="1"/>
  <c r="J16" i="20" a="1"/>
  <c r="J16" i="20"/>
  <c r="J17" i="20" a="1"/>
  <c r="J17" i="20"/>
  <c r="J18" i="20" a="1"/>
  <c r="J18" i="20" s="1"/>
  <c r="J19" i="20" a="1"/>
  <c r="J19" i="20" s="1"/>
  <c r="J20" i="20" a="1"/>
  <c r="J20" i="20" s="1"/>
  <c r="J21" i="20" a="1"/>
  <c r="J21" i="20" s="1"/>
  <c r="J22" i="20" a="1"/>
  <c r="J22" i="20" s="1"/>
  <c r="J23" i="20" a="1"/>
  <c r="J23" i="20" s="1"/>
  <c r="J24" i="20" a="1"/>
  <c r="J24" i="20" s="1"/>
  <c r="J25" i="20" a="1"/>
  <c r="J25" i="20" s="1"/>
  <c r="J26" i="20" a="1"/>
  <c r="J26" i="20"/>
  <c r="J27" i="20" a="1"/>
  <c r="J27" i="20"/>
  <c r="J28" i="20" a="1"/>
  <c r="J28" i="20"/>
  <c r="J29" i="20" a="1"/>
  <c r="J29" i="20"/>
  <c r="J30" i="20" a="1"/>
  <c r="J30" i="20"/>
  <c r="J31" i="20" a="1"/>
  <c r="J31" i="20" s="1"/>
  <c r="J32" i="20" a="1"/>
  <c r="J32" i="20" s="1"/>
  <c r="J33" i="20" a="1"/>
  <c r="J33" i="20"/>
  <c r="J34" i="20" a="1"/>
  <c r="J34" i="20" s="1"/>
  <c r="J35" i="20" a="1"/>
  <c r="J35" i="20" s="1"/>
  <c r="J36" i="20" a="1"/>
  <c r="J36" i="20"/>
  <c r="J37" i="20" a="1"/>
  <c r="J37" i="20" s="1"/>
  <c r="J38" i="20" a="1"/>
  <c r="J38" i="20" s="1"/>
  <c r="J39" i="20" a="1"/>
  <c r="J39" i="20" s="1"/>
  <c r="J40" i="20" a="1"/>
  <c r="J40" i="20"/>
  <c r="J41" i="20" a="1"/>
  <c r="J41" i="20"/>
  <c r="J42" i="20" a="1"/>
  <c r="J42" i="20"/>
  <c r="J43" i="20" a="1"/>
  <c r="J43" i="20" s="1"/>
  <c r="J44" i="20" a="1"/>
  <c r="J44" i="20" s="1"/>
  <c r="J45" i="20" a="1"/>
  <c r="J45" i="20" s="1"/>
  <c r="J46" i="20" a="1"/>
  <c r="J46" i="20"/>
  <c r="J47" i="20" a="1"/>
  <c r="J47" i="20"/>
  <c r="J48" i="20" a="1"/>
  <c r="J48" i="20" s="1"/>
  <c r="J49" i="20" a="1"/>
  <c r="J49" i="20" s="1"/>
  <c r="J50" i="20" a="1"/>
  <c r="J50" i="20" s="1"/>
  <c r="J51" i="20" a="1"/>
  <c r="J51" i="20"/>
  <c r="J52" i="20" a="1"/>
  <c r="J52" i="20" s="1"/>
  <c r="J53" i="20" a="1"/>
  <c r="J53" i="20"/>
  <c r="J54" i="20" a="1"/>
  <c r="J54" i="20"/>
  <c r="J55" i="20" a="1"/>
  <c r="J55" i="20" s="1"/>
  <c r="J56" i="20" a="1"/>
  <c r="J56" i="20"/>
  <c r="J57" i="20" a="1"/>
  <c r="J57" i="20"/>
  <c r="J58" i="20" a="1"/>
  <c r="J58" i="20"/>
  <c r="J59" i="20" a="1"/>
  <c r="J59" i="20"/>
  <c r="J60" i="20" a="1"/>
  <c r="J60" i="20" s="1"/>
  <c r="J61" i="20" a="1"/>
  <c r="J61" i="20" s="1"/>
  <c r="J62" i="20" a="1"/>
  <c r="J62" i="20"/>
  <c r="J63" i="20" a="1"/>
  <c r="J63" i="20" s="1"/>
  <c r="J64" i="20" a="1"/>
  <c r="J64" i="20" s="1"/>
  <c r="J65" i="20" a="1"/>
  <c r="J65" i="20" s="1"/>
  <c r="J66" i="20" a="1"/>
  <c r="J66" i="20" s="1"/>
  <c r="J67" i="20" a="1"/>
  <c r="J67" i="20"/>
  <c r="J68" i="20" a="1"/>
  <c r="J68" i="20" s="1"/>
  <c r="J69" i="20" a="1"/>
  <c r="J69" i="20"/>
  <c r="J70" i="20" a="1"/>
  <c r="J70" i="20"/>
  <c r="J71" i="20" a="1"/>
  <c r="J71" i="20"/>
  <c r="J72" i="20" a="1"/>
  <c r="J72" i="20" s="1"/>
  <c r="J73" i="20" a="1"/>
  <c r="J73" i="20" s="1"/>
  <c r="J74" i="20" a="1"/>
  <c r="J74" i="20" s="1"/>
  <c r="J75" i="20" a="1"/>
  <c r="J75" i="20" s="1"/>
  <c r="J76" i="20" a="1"/>
  <c r="J76" i="20" s="1"/>
  <c r="J77" i="20" a="1"/>
  <c r="J77" i="20"/>
  <c r="J78" i="20" a="1"/>
  <c r="J78" i="20"/>
  <c r="J79" i="20" a="1"/>
  <c r="J79" i="20"/>
  <c r="J80" i="20" a="1"/>
  <c r="J80" i="20" s="1"/>
  <c r="J81" i="20" a="1"/>
  <c r="J81" i="20" s="1"/>
  <c r="J82" i="20" a="1"/>
  <c r="J82" i="20" s="1"/>
  <c r="J83" i="20" a="1"/>
  <c r="J83" i="20" s="1"/>
  <c r="J84" i="20" a="1"/>
  <c r="J84" i="20"/>
  <c r="J85" i="20" a="1"/>
  <c r="J85" i="20" s="1"/>
  <c r="J86" i="20" a="1"/>
  <c r="J86" i="20" s="1"/>
  <c r="J87" i="20" a="1"/>
  <c r="J87" i="20" s="1"/>
  <c r="J88" i="20" a="1"/>
  <c r="J88" i="20"/>
  <c r="J89" i="20" a="1"/>
  <c r="J89" i="20" s="1"/>
  <c r="J90" i="20" a="1"/>
  <c r="J90" i="20" s="1"/>
  <c r="J91" i="20" a="1"/>
  <c r="J91" i="20" s="1"/>
  <c r="J92" i="20" a="1"/>
  <c r="J92" i="20" s="1"/>
  <c r="J93" i="20" a="1"/>
  <c r="J93" i="20"/>
  <c r="J94" i="20" a="1"/>
  <c r="J94" i="20"/>
  <c r="J95" i="20" a="1"/>
  <c r="J95" i="20" s="1"/>
  <c r="J96" i="20" a="1"/>
  <c r="J96" i="20"/>
  <c r="J97" i="20" a="1"/>
  <c r="J97" i="20" s="1"/>
  <c r="J98" i="20" a="1"/>
  <c r="J98" i="20" s="1"/>
  <c r="J99" i="20" a="1"/>
  <c r="J99" i="20"/>
  <c r="J100" i="20" a="1"/>
  <c r="J100" i="20" s="1"/>
  <c r="J101" i="20" a="1"/>
  <c r="J101" i="20" s="1"/>
  <c r="J102" i="20" a="1"/>
  <c r="J102" i="20" s="1"/>
  <c r="J103" i="20" a="1"/>
  <c r="J103" i="20"/>
  <c r="J104" i="20" a="1"/>
  <c r="J104" i="20"/>
  <c r="J105" i="20" a="1"/>
  <c r="J105" i="20" s="1"/>
  <c r="J106" i="20" a="1"/>
  <c r="J106" i="20" s="1"/>
  <c r="J107" i="20" a="1"/>
  <c r="J107" i="20"/>
  <c r="J108" i="20" a="1"/>
  <c r="J108" i="20" s="1"/>
  <c r="J109" i="20" a="1"/>
  <c r="J109" i="20"/>
  <c r="J110" i="20" a="1"/>
  <c r="J110" i="20"/>
  <c r="J111" i="20" a="1"/>
  <c r="J111" i="20"/>
  <c r="J112" i="20" a="1"/>
  <c r="J112" i="20"/>
  <c r="J113" i="20" a="1"/>
  <c r="J113" i="20" s="1"/>
  <c r="J114" i="20" a="1"/>
  <c r="J114" i="20" s="1"/>
  <c r="J115" i="20" a="1"/>
  <c r="J115" i="20" s="1"/>
  <c r="J116" i="20" a="1"/>
  <c r="J116" i="20" s="1"/>
  <c r="J117" i="20" a="1"/>
  <c r="J117" i="20"/>
  <c r="J118" i="20" a="1"/>
  <c r="J118" i="20" s="1"/>
  <c r="J119" i="20" a="1"/>
  <c r="J119" i="20" s="1"/>
  <c r="J120" i="20" a="1"/>
  <c r="J120" i="20" s="1"/>
  <c r="J121" i="20" a="1"/>
  <c r="J121" i="20" s="1"/>
  <c r="J122" i="20" a="1"/>
  <c r="J122" i="20"/>
  <c r="J123" i="20" a="1"/>
  <c r="J123" i="20"/>
  <c r="J124" i="20" a="1"/>
  <c r="J124" i="20"/>
  <c r="J125" i="20" a="1"/>
  <c r="J125" i="20" s="1"/>
  <c r="J126" i="20" a="1"/>
  <c r="J126" i="20" s="1"/>
  <c r="J127" i="20" a="1"/>
  <c r="J127" i="20"/>
  <c r="J128" i="20" a="1"/>
  <c r="J128" i="20"/>
  <c r="J129" i="20" a="1"/>
  <c r="J129" i="20" s="1"/>
  <c r="J130" i="20" a="1"/>
  <c r="J130" i="20" s="1"/>
  <c r="J131" i="20" a="1"/>
  <c r="J131" i="20" s="1"/>
  <c r="J132" i="20" a="1"/>
  <c r="J132" i="20"/>
  <c r="J133" i="20" a="1"/>
  <c r="J133" i="20"/>
  <c r="J134" i="20" a="1"/>
  <c r="J134" i="20" s="1"/>
  <c r="J135" i="20" a="1"/>
  <c r="J135" i="20"/>
  <c r="J136" i="20" a="1"/>
  <c r="J136" i="20" s="1"/>
  <c r="J137" i="20" a="1"/>
  <c r="J137" i="20"/>
  <c r="J138" i="20" a="1"/>
  <c r="J138" i="20" s="1"/>
  <c r="J139" i="20" a="1"/>
  <c r="J139" i="20" s="1"/>
  <c r="J140" i="20" a="1"/>
  <c r="J140" i="20" s="1"/>
  <c r="J141" i="20" a="1"/>
  <c r="J141" i="20"/>
  <c r="J142" i="20" a="1"/>
  <c r="J142" i="20" s="1"/>
  <c r="J143" i="20" a="1"/>
  <c r="J143" i="20" s="1"/>
  <c r="J144" i="20" a="1"/>
  <c r="J144" i="20" s="1"/>
  <c r="J145" i="20" a="1"/>
  <c r="J145" i="20" s="1"/>
  <c r="J146" i="20" a="1"/>
  <c r="J146" i="20" s="1"/>
  <c r="J147" i="20" a="1"/>
  <c r="J147" i="20" s="1"/>
  <c r="J148" i="20" a="1"/>
  <c r="J148" i="20"/>
  <c r="J149" i="20" a="1"/>
  <c r="J149" i="20"/>
  <c r="J150" i="20" a="1"/>
  <c r="J150" i="20" s="1"/>
  <c r="J151" i="20" a="1"/>
  <c r="J151" i="20" s="1"/>
  <c r="J152" i="20" a="1"/>
  <c r="J152" i="20" s="1"/>
  <c r="J153" i="20" a="1"/>
  <c r="J153" i="20" s="1"/>
  <c r="J154" i="20" a="1"/>
  <c r="J154" i="20" s="1"/>
  <c r="J155" i="20" a="1"/>
  <c r="J155" i="20"/>
  <c r="J156" i="20" a="1"/>
  <c r="J156" i="20" s="1"/>
  <c r="J157" i="20" a="1"/>
  <c r="J157" i="20"/>
  <c r="J158" i="20" a="1"/>
  <c r="J158" i="20"/>
  <c r="J159" i="20" a="1"/>
  <c r="J159" i="20" s="1"/>
  <c r="J160" i="20" a="1"/>
  <c r="J160" i="20" s="1"/>
  <c r="J161" i="20" a="1"/>
  <c r="J161" i="20" s="1"/>
  <c r="J162" i="20" a="1"/>
  <c r="J162" i="20" s="1"/>
  <c r="J163" i="20" a="1"/>
  <c r="J163" i="20"/>
  <c r="J164" i="20" a="1"/>
  <c r="J164" i="20" s="1"/>
  <c r="J165" i="20" a="1"/>
  <c r="J165" i="20" s="1"/>
  <c r="J166" i="20" a="1"/>
  <c r="J166" i="20"/>
  <c r="J167" i="20" a="1"/>
  <c r="J167" i="20" s="1"/>
  <c r="J168" i="20" a="1"/>
  <c r="J168" i="20"/>
  <c r="J169" i="20" a="1"/>
  <c r="J169" i="20"/>
  <c r="J170" i="20" a="1"/>
  <c r="J170" i="20" s="1"/>
  <c r="J171" i="20" a="1"/>
  <c r="J171" i="20" s="1"/>
  <c r="J172" i="20" a="1"/>
  <c r="J172" i="20"/>
  <c r="J173" i="20" a="1"/>
  <c r="J173" i="20" s="1"/>
  <c r="J174" i="20" a="1"/>
  <c r="J174" i="20" s="1"/>
  <c r="J175" i="20" a="1"/>
  <c r="J175" i="20" s="1"/>
  <c r="J176" i="20" a="1"/>
  <c r="J176" i="20"/>
  <c r="J177" i="20" a="1"/>
  <c r="J177" i="20"/>
  <c r="J178" i="20" a="1"/>
  <c r="J178" i="20" s="1"/>
  <c r="J179" i="20" a="1"/>
  <c r="J179" i="20" s="1"/>
  <c r="J180" i="20" a="1"/>
  <c r="J180" i="20" s="1"/>
  <c r="J181" i="20" a="1"/>
  <c r="J181" i="20"/>
  <c r="J182" i="20" a="1"/>
  <c r="J182" i="20"/>
  <c r="J183" i="20" a="1"/>
  <c r="J183" i="20" s="1"/>
  <c r="J184" i="20" a="1"/>
  <c r="J184" i="20" s="1"/>
  <c r="J185" i="20" a="1"/>
  <c r="J185" i="20" s="1"/>
  <c r="J186" i="20" a="1"/>
  <c r="J186" i="20"/>
  <c r="J187" i="20" a="1"/>
  <c r="J187" i="20"/>
  <c r="J188" i="20" a="1"/>
  <c r="J188" i="20" s="1"/>
  <c r="J189" i="20" a="1"/>
  <c r="J189" i="20"/>
  <c r="J190" i="20" a="1"/>
  <c r="J190" i="20" s="1"/>
  <c r="J191" i="20" a="1"/>
  <c r="J191" i="20"/>
  <c r="J192" i="20" a="1"/>
  <c r="J192" i="20"/>
  <c r="J193" i="20" a="1"/>
  <c r="J193" i="20"/>
  <c r="J194" i="20" a="1"/>
  <c r="J194" i="20" s="1"/>
  <c r="J195" i="20" a="1"/>
  <c r="J195" i="20" s="1"/>
  <c r="J196" i="20" a="1"/>
  <c r="J196" i="20" s="1"/>
  <c r="J197" i="20" a="1"/>
  <c r="J197" i="20" s="1"/>
  <c r="J198" i="20" a="1"/>
  <c r="J198" i="20"/>
  <c r="J199" i="20" a="1"/>
  <c r="J199" i="20" s="1"/>
  <c r="J200" i="20" a="1"/>
  <c r="J200" i="20" s="1"/>
  <c r="J201" i="20" a="1"/>
  <c r="J201" i="20" s="1"/>
  <c r="J202" i="20" a="1"/>
  <c r="J202" i="20"/>
  <c r="J203" i="20" a="1"/>
  <c r="J203" i="20"/>
  <c r="J204" i="20" a="1"/>
  <c r="J204" i="20" s="1"/>
  <c r="J205" i="20" a="1"/>
  <c r="J205" i="20"/>
  <c r="J206" i="20" a="1"/>
  <c r="J206" i="20" s="1"/>
  <c r="J207" i="20" a="1"/>
  <c r="J207" i="20"/>
  <c r="J208" i="20" a="1"/>
  <c r="J208" i="20"/>
  <c r="J209" i="20" a="1"/>
  <c r="J209" i="20"/>
  <c r="J210" i="20" a="1"/>
  <c r="J210" i="20" s="1"/>
  <c r="J211" i="20" a="1"/>
  <c r="J211" i="20" s="1"/>
  <c r="J212" i="20" a="1"/>
  <c r="J212" i="20" s="1"/>
  <c r="J213" i="20" a="1"/>
  <c r="J213" i="20"/>
  <c r="J214" i="20" a="1"/>
  <c r="J214" i="20"/>
  <c r="J215" i="20" a="1"/>
  <c r="J215" i="20"/>
  <c r="J216" i="20" a="1"/>
  <c r="J216" i="20" s="1"/>
  <c r="J217" i="20" a="1"/>
  <c r="J217" i="20" s="1"/>
  <c r="J218" i="20" a="1"/>
  <c r="J218" i="20" s="1"/>
  <c r="J219" i="20" a="1"/>
  <c r="J219" i="20" s="1"/>
  <c r="J220" i="20" a="1"/>
  <c r="J220" i="20"/>
  <c r="J221" i="20" a="1"/>
  <c r="J221" i="20" s="1"/>
  <c r="J222" i="20" a="1"/>
  <c r="J222" i="20"/>
  <c r="J223" i="20" a="1"/>
  <c r="J223" i="20" s="1"/>
  <c r="J224" i="20" a="1"/>
  <c r="J224" i="20"/>
  <c r="J225" i="20" a="1"/>
  <c r="J225" i="20"/>
  <c r="J226" i="20" a="1"/>
  <c r="J226" i="20" s="1"/>
  <c r="J227" i="20" a="1"/>
  <c r="J227" i="20" s="1"/>
  <c r="J228" i="20" a="1"/>
  <c r="J228" i="20" s="1"/>
  <c r="J229" i="20" a="1"/>
  <c r="J229" i="20" s="1"/>
  <c r="J230" i="20" a="1"/>
  <c r="J230" i="20"/>
  <c r="J231" i="20" a="1"/>
  <c r="J231" i="20"/>
  <c r="J232" i="20" a="1"/>
  <c r="J232" i="20"/>
  <c r="J233" i="20" a="1"/>
  <c r="J233" i="20" s="1"/>
  <c r="J234" i="20" a="1"/>
  <c r="J234" i="20"/>
  <c r="J235" i="20" a="1"/>
  <c r="J235" i="20"/>
  <c r="J236" i="20" a="1"/>
  <c r="J236" i="20" s="1"/>
  <c r="J237" i="20" a="1"/>
  <c r="J237" i="20" s="1"/>
  <c r="J238" i="20" a="1"/>
  <c r="J238" i="20" s="1"/>
  <c r="J239" i="20" a="1"/>
  <c r="J239" i="20"/>
  <c r="J240" i="20" a="1"/>
  <c r="J240" i="20" s="1"/>
  <c r="J241" i="20" a="1"/>
  <c r="J241" i="20"/>
  <c r="J242" i="20" a="1"/>
  <c r="J242" i="20" s="1"/>
  <c r="J243" i="20" a="1"/>
  <c r="J243" i="20"/>
  <c r="J244" i="20" a="1"/>
  <c r="J244" i="20"/>
  <c r="J245" i="20" a="1"/>
  <c r="J245" i="20"/>
  <c r="J246" i="20" a="1"/>
  <c r="J246" i="20" s="1"/>
  <c r="J247" i="20" a="1"/>
  <c r="J247" i="20" s="1"/>
  <c r="J248" i="20" a="1"/>
  <c r="J248" i="20" s="1"/>
  <c r="J249" i="20" a="1"/>
  <c r="J249" i="20" s="1"/>
  <c r="J250" i="20" a="1"/>
  <c r="J250" i="20" s="1"/>
  <c r="J251" i="20" a="1"/>
  <c r="J251" i="20" s="1"/>
  <c r="J252" i="20" a="1"/>
  <c r="J252" i="20"/>
  <c r="J253" i="20" a="1"/>
  <c r="J253" i="20" s="1"/>
  <c r="J254" i="20" a="1"/>
  <c r="J254" i="20"/>
  <c r="J255" i="20" a="1"/>
  <c r="J255" i="20"/>
  <c r="J256" i="20" a="1"/>
  <c r="J256" i="20"/>
  <c r="J257" i="20" a="1"/>
  <c r="J257" i="20" s="1"/>
  <c r="J258" i="20" a="1"/>
  <c r="J258" i="20" s="1"/>
  <c r="J259" i="20" a="1"/>
  <c r="J259" i="20" s="1"/>
  <c r="J260" i="20" a="1"/>
  <c r="J260" i="20" s="1"/>
  <c r="J261" i="20" a="1"/>
  <c r="J261" i="20"/>
  <c r="J262" i="20" a="1"/>
  <c r="J262" i="20"/>
  <c r="J263" i="20" a="1"/>
  <c r="J263" i="20" s="1"/>
  <c r="J264" i="20" a="1"/>
  <c r="J264" i="20" s="1"/>
  <c r="J265" i="20" a="1"/>
  <c r="J265" i="20" s="1"/>
  <c r="J266" i="20" a="1"/>
  <c r="J266" i="20" s="1"/>
  <c r="J267" i="20" a="1"/>
  <c r="J267" i="20"/>
  <c r="J268" i="20" a="1"/>
  <c r="J268" i="20"/>
  <c r="J269" i="20" a="1"/>
  <c r="J269" i="20" s="1"/>
  <c r="J270" i="20" a="1"/>
  <c r="J270" i="20" s="1"/>
  <c r="J271" i="20" a="1"/>
  <c r="J271" i="20"/>
  <c r="J272" i="20" a="1"/>
  <c r="J272" i="20"/>
  <c r="J273" i="20" a="1"/>
  <c r="J273" i="20" s="1"/>
  <c r="J274" i="20" a="1"/>
  <c r="J274" i="20"/>
  <c r="J275" i="20" a="1"/>
  <c r="J275" i="20" s="1"/>
  <c r="J276" i="20" a="1"/>
  <c r="J276" i="20"/>
  <c r="J277" i="20" a="1"/>
  <c r="J277" i="20" s="1"/>
  <c r="J278" i="20" a="1"/>
  <c r="J278" i="20" s="1"/>
  <c r="J279" i="20" a="1"/>
  <c r="J279" i="20"/>
  <c r="J280" i="20" a="1"/>
  <c r="J280" i="20" s="1"/>
  <c r="J281" i="20" a="1"/>
  <c r="J281" i="20" s="1"/>
  <c r="J282" i="20" a="1"/>
  <c r="J282" i="20" s="1"/>
  <c r="J283" i="20" a="1"/>
  <c r="J283" i="20"/>
  <c r="J284" i="20" a="1"/>
  <c r="J284" i="20"/>
  <c r="J285" i="20" a="1"/>
  <c r="J285" i="20"/>
  <c r="J286" i="20" a="1"/>
  <c r="J286" i="20"/>
  <c r="J287" i="20" a="1"/>
  <c r="J287" i="20"/>
  <c r="J288" i="20" a="1"/>
  <c r="J288" i="20"/>
  <c r="J289" i="20" a="1"/>
  <c r="J289" i="20" s="1"/>
  <c r="J290" i="20" a="1"/>
  <c r="J290" i="20" s="1"/>
  <c r="J291" i="20" a="1"/>
  <c r="J291" i="20"/>
  <c r="J292" i="20" a="1"/>
  <c r="J292" i="20" s="1"/>
  <c r="J293" i="20" a="1"/>
  <c r="J293" i="20"/>
  <c r="J294" i="20" a="1"/>
  <c r="J294" i="20"/>
  <c r="J295" i="20" a="1"/>
  <c r="J295" i="20"/>
  <c r="J296" i="20" a="1"/>
  <c r="J296" i="20" s="1"/>
  <c r="J297" i="20" a="1"/>
  <c r="J297" i="20" s="1"/>
  <c r="J298" i="20" a="1"/>
  <c r="J298" i="20" s="1"/>
  <c r="J299" i="20" a="1"/>
  <c r="J299" i="20"/>
  <c r="J300" i="20" a="1"/>
  <c r="J300" i="20" s="1"/>
  <c r="J301" i="20" a="1"/>
  <c r="J301" i="20" s="1"/>
  <c r="J302" i="20" a="1"/>
  <c r="J302" i="20" s="1"/>
  <c r="J303" i="20" a="1"/>
  <c r="J303" i="20"/>
  <c r="J304" i="20" a="1"/>
  <c r="J304" i="20"/>
  <c r="J305" i="20" a="1"/>
  <c r="J305" i="20" s="1"/>
  <c r="J306" i="20" a="1"/>
  <c r="J306" i="20"/>
  <c r="J307" i="20" a="1"/>
  <c r="J307" i="20"/>
  <c r="J308" i="20" a="1"/>
  <c r="J308" i="20" s="1"/>
  <c r="J309" i="20" a="1"/>
  <c r="J309" i="20" s="1"/>
  <c r="J310" i="20" a="1"/>
  <c r="J310" i="20" s="1"/>
  <c r="J311" i="20" a="1"/>
  <c r="J311" i="20"/>
  <c r="J312" i="20" a="1"/>
  <c r="J312" i="20"/>
  <c r="J313" i="20" a="1"/>
  <c r="J313" i="20" s="1"/>
  <c r="J314" i="20" a="1"/>
  <c r="J314" i="20" s="1"/>
  <c r="J315" i="20" a="1"/>
  <c r="J315" i="20" s="1"/>
  <c r="J316" i="20" a="1"/>
  <c r="J316" i="20" s="1"/>
  <c r="J317" i="20" a="1"/>
  <c r="J317" i="20" s="1"/>
  <c r="J318" i="20" a="1"/>
  <c r="J318" i="20" s="1"/>
  <c r="J319" i="20" a="1"/>
  <c r="J319" i="20" s="1"/>
  <c r="J320" i="20" a="1"/>
  <c r="J320" i="20"/>
  <c r="J321" i="20" a="1"/>
  <c r="J321" i="20" s="1"/>
  <c r="J322" i="20" a="1"/>
  <c r="J322" i="20" s="1"/>
  <c r="J323" i="20" a="1"/>
  <c r="J323" i="20" s="1"/>
  <c r="J324" i="20" a="1"/>
  <c r="J324" i="20"/>
  <c r="J325" i="20" a="1"/>
  <c r="J325" i="20"/>
  <c r="J326" i="20" a="1"/>
  <c r="J326" i="20" s="1"/>
  <c r="J327" i="20" a="1"/>
  <c r="J327" i="20"/>
  <c r="J328" i="20" a="1"/>
  <c r="J328" i="20"/>
  <c r="J329" i="20" a="1"/>
  <c r="J329" i="20"/>
  <c r="J330" i="20" a="1"/>
  <c r="J330" i="20"/>
  <c r="J331" i="20" a="1"/>
  <c r="J331" i="20" s="1"/>
  <c r="J332" i="20" a="1"/>
  <c r="J332" i="20" s="1"/>
  <c r="J333" i="20" a="1"/>
  <c r="J333" i="20" s="1"/>
  <c r="J334" i="20" a="1"/>
  <c r="J334" i="20" s="1"/>
  <c r="J335" i="20" a="1"/>
  <c r="J335" i="20" s="1"/>
  <c r="J336" i="20" a="1"/>
  <c r="J336" i="20"/>
  <c r="J337" i="20" a="1"/>
  <c r="J337" i="20" s="1"/>
  <c r="J338" i="20" a="1"/>
  <c r="J338" i="20" s="1"/>
  <c r="J339" i="20" a="1"/>
  <c r="J339" i="20" s="1"/>
  <c r="J340" i="20" a="1"/>
  <c r="J340" i="20"/>
  <c r="J341" i="20" a="1"/>
  <c r="J341" i="20"/>
  <c r="J342" i="20" a="1"/>
  <c r="J342" i="20" s="1"/>
  <c r="J343" i="20" a="1"/>
  <c r="J343" i="20" s="1"/>
  <c r="J344" i="20" a="1"/>
  <c r="J344" i="20" s="1"/>
  <c r="J345" i="20" a="1"/>
  <c r="J345" i="20"/>
  <c r="J346" i="20" a="1"/>
  <c r="J346" i="20"/>
  <c r="J347" i="20" a="1"/>
  <c r="J347" i="20" s="1"/>
  <c r="J348" i="20" a="1"/>
  <c r="J348" i="20" s="1"/>
  <c r="J349" i="20" a="1"/>
  <c r="J349" i="20"/>
  <c r="J350" i="20" a="1"/>
  <c r="J350" i="20"/>
  <c r="J351" i="20" a="1"/>
  <c r="J351" i="20"/>
  <c r="J352" i="20" a="1"/>
  <c r="J352" i="20" s="1"/>
  <c r="J353" i="20" a="1"/>
  <c r="J353" i="20" s="1"/>
  <c r="J354" i="20" a="1"/>
  <c r="J354" i="20" s="1"/>
  <c r="J355" i="20" a="1"/>
  <c r="J355" i="20" s="1"/>
  <c r="J356" i="20" a="1"/>
  <c r="J356" i="20" s="1"/>
  <c r="J357" i="20" a="1"/>
  <c r="J357" i="20" s="1"/>
  <c r="J358" i="20" a="1"/>
  <c r="J358" i="20"/>
  <c r="J359" i="20" a="1"/>
  <c r="J359" i="20"/>
  <c r="J360" i="20" a="1"/>
  <c r="J360" i="20"/>
  <c r="J361" i="20" a="1"/>
  <c r="J361" i="20" s="1"/>
  <c r="J362" i="20" a="1"/>
  <c r="J362" i="20"/>
  <c r="J363" i="20" a="1"/>
  <c r="J363" i="20" s="1"/>
  <c r="J364" i="20" a="1"/>
  <c r="J364" i="20" s="1"/>
  <c r="J365" i="20" a="1"/>
  <c r="J365" i="20" s="1"/>
  <c r="J366" i="20" a="1"/>
  <c r="J366" i="20"/>
  <c r="J367" i="20" a="1"/>
  <c r="J367" i="20" s="1"/>
  <c r="J368" i="20" a="1"/>
  <c r="J368" i="20" s="1"/>
  <c r="J369" i="20" a="1"/>
  <c r="J369" i="20" s="1"/>
  <c r="J370" i="20" a="1"/>
  <c r="J370" i="20"/>
  <c r="J371" i="20" a="1"/>
  <c r="J371" i="20"/>
  <c r="J372" i="20" a="1"/>
  <c r="J372" i="20"/>
  <c r="J373" i="20" a="1"/>
  <c r="J373" i="20" s="1"/>
  <c r="J374" i="20" a="1"/>
  <c r="J374" i="20" s="1"/>
  <c r="J375" i="20" a="1"/>
  <c r="J375" i="20"/>
  <c r="J376" i="20" a="1"/>
  <c r="J376" i="20" s="1"/>
  <c r="J377" i="20" a="1"/>
  <c r="J377" i="20" s="1"/>
  <c r="J378" i="20" a="1"/>
  <c r="J378" i="20"/>
  <c r="J379" i="20" a="1"/>
  <c r="J379" i="20"/>
  <c r="J380" i="20" a="1"/>
  <c r="J380" i="20" s="1"/>
  <c r="J381" i="20" a="1"/>
  <c r="J381" i="20"/>
  <c r="J382" i="20" a="1"/>
  <c r="J382" i="20"/>
  <c r="J383" i="20" a="1"/>
  <c r="J383" i="20" s="1"/>
  <c r="J384" i="20" a="1"/>
  <c r="J384" i="20" s="1"/>
  <c r="J385" i="20" a="1"/>
  <c r="J385" i="20" s="1"/>
  <c r="J386" i="20" a="1"/>
  <c r="J386" i="20" s="1"/>
  <c r="J387" i="20" a="1"/>
  <c r="J387" i="20" s="1"/>
  <c r="J388" i="20" a="1"/>
  <c r="J388" i="20"/>
  <c r="J389" i="20" a="1"/>
  <c r="J389" i="20"/>
  <c r="J390" i="20" a="1"/>
  <c r="J390" i="20"/>
  <c r="J391" i="20" a="1"/>
  <c r="J391" i="20"/>
  <c r="J392" i="20" a="1"/>
  <c r="J392" i="20" s="1"/>
  <c r="J393" i="20" a="1"/>
  <c r="J393" i="20"/>
  <c r="J394" i="20" a="1"/>
  <c r="J394" i="20" s="1"/>
  <c r="J395" i="20" a="1"/>
  <c r="J395" i="20" s="1"/>
  <c r="J396" i="20" a="1"/>
  <c r="J396" i="20"/>
  <c r="J397" i="20" a="1"/>
  <c r="J397" i="20" s="1"/>
  <c r="J398" i="20" a="1"/>
  <c r="J398" i="20"/>
  <c r="J399" i="20" a="1"/>
  <c r="J399" i="20"/>
  <c r="J400" i="20" a="1"/>
  <c r="J400" i="20" s="1"/>
  <c r="J401" i="20" a="1"/>
  <c r="J401" i="20" s="1"/>
  <c r="J402" i="20" a="1"/>
  <c r="J402" i="20"/>
  <c r="J403" i="20" a="1"/>
  <c r="J403" i="20"/>
  <c r="J404" i="20" a="1"/>
  <c r="J404" i="20"/>
  <c r="J405" i="20" a="1"/>
  <c r="J405" i="20" s="1"/>
  <c r="J406" i="20" a="1"/>
  <c r="J406" i="20" s="1"/>
  <c r="J407" i="20" a="1"/>
  <c r="J407" i="20" s="1"/>
  <c r="J408" i="20" a="1"/>
  <c r="J408" i="20"/>
  <c r="J409" i="20" a="1"/>
  <c r="J409" i="20"/>
  <c r="J410" i="20" a="1"/>
  <c r="J410" i="20" s="1"/>
  <c r="J411" i="20" a="1"/>
  <c r="J411" i="20" s="1"/>
  <c r="J412" i="20" a="1"/>
  <c r="J412" i="20" s="1"/>
  <c r="J413" i="20" a="1"/>
  <c r="J413" i="20"/>
  <c r="J414" i="20" a="1"/>
  <c r="J414" i="20" s="1"/>
  <c r="J415" i="20" a="1"/>
  <c r="J415" i="20"/>
  <c r="J416" i="20" a="1"/>
  <c r="J416" i="20" s="1"/>
  <c r="J417" i="20" a="1"/>
  <c r="J417" i="20" s="1"/>
  <c r="J418" i="20" a="1"/>
  <c r="J418" i="20" s="1"/>
  <c r="J419" i="20" a="1"/>
  <c r="J419" i="20" s="1"/>
  <c r="J420" i="20" a="1"/>
  <c r="J420" i="20" s="1"/>
  <c r="J421" i="20" a="1"/>
  <c r="J421" i="20" s="1"/>
  <c r="J422" i="20" a="1"/>
  <c r="J422" i="20" s="1"/>
  <c r="J423" i="20" a="1"/>
  <c r="J423" i="20" s="1"/>
  <c r="J424" i="20" a="1"/>
  <c r="J424" i="20"/>
  <c r="J425" i="20" a="1"/>
  <c r="J425" i="20"/>
  <c r="J426" i="20" a="1"/>
  <c r="J426" i="20"/>
  <c r="J427" i="20" a="1"/>
  <c r="J427" i="20"/>
  <c r="J428" i="20" a="1"/>
  <c r="J428" i="20" s="1"/>
  <c r="J429" i="20" a="1"/>
  <c r="J429" i="20" s="1"/>
  <c r="J430" i="20" a="1"/>
  <c r="J430" i="20" s="1"/>
  <c r="J431" i="20" a="1"/>
  <c r="J431" i="20" s="1"/>
  <c r="J432" i="20" a="1"/>
  <c r="J432" i="20" s="1"/>
  <c r="J433" i="20" a="1"/>
  <c r="J433" i="20" s="1"/>
  <c r="J434" i="20" a="1"/>
  <c r="J434" i="20" s="1"/>
  <c r="J435" i="20" a="1"/>
  <c r="J435" i="20" s="1"/>
  <c r="J436" i="20" a="1"/>
  <c r="J436" i="20"/>
  <c r="J437" i="20" a="1"/>
  <c r="J437" i="20"/>
  <c r="J438" i="20" a="1"/>
  <c r="J438" i="20"/>
  <c r="J439" i="20" a="1"/>
  <c r="J439" i="20" s="1"/>
  <c r="J440" i="20" a="1"/>
  <c r="J440" i="20"/>
  <c r="J441" i="20" a="1"/>
  <c r="J441" i="20"/>
  <c r="J442" i="20" a="1"/>
  <c r="J442" i="20"/>
  <c r="J443" i="20" a="1"/>
  <c r="J443" i="20"/>
  <c r="J444" i="20" a="1"/>
  <c r="J444" i="20"/>
  <c r="J445" i="20" a="1"/>
  <c r="J445" i="20"/>
  <c r="J446" i="20" a="1"/>
  <c r="J446" i="20"/>
  <c r="J447" i="20" a="1"/>
  <c r="J447" i="20" s="1"/>
  <c r="J448" i="20" a="1"/>
  <c r="J448" i="20" s="1"/>
  <c r="J449" i="20" a="1"/>
  <c r="J449" i="20" s="1"/>
  <c r="P8" i="20"/>
  <c r="A2" i="20"/>
  <c r="A3" i="20" s="1"/>
  <c r="A4" i="20" s="1"/>
  <c r="A5" i="20" s="1"/>
  <c r="A6" i="20" s="1"/>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4" i="20" s="1"/>
  <c r="A55" i="20" s="1"/>
  <c r="A56" i="20" s="1"/>
  <c r="A57" i="20" s="1"/>
  <c r="A58" i="20" s="1"/>
  <c r="A59" i="20" s="1"/>
  <c r="A60" i="20" s="1"/>
  <c r="A61" i="20" s="1"/>
  <c r="A62" i="20" s="1"/>
  <c r="A63" i="20" s="1"/>
  <c r="A64" i="20" s="1"/>
  <c r="A65" i="20" s="1"/>
  <c r="A66" i="20" s="1"/>
  <c r="A67" i="20" s="1"/>
  <c r="A68" i="20" s="1"/>
  <c r="A69" i="20" s="1"/>
  <c r="A70" i="20" s="1"/>
  <c r="A71" i="20" s="1"/>
  <c r="A72" i="20" s="1"/>
  <c r="A73" i="20" s="1"/>
  <c r="A74" i="20" s="1"/>
  <c r="A75" i="20" s="1"/>
  <c r="A76" i="20" s="1"/>
  <c r="A77" i="20" s="1"/>
  <c r="A78" i="20" s="1"/>
  <c r="A79" i="20" s="1"/>
  <c r="A80" i="20" s="1"/>
  <c r="A81" i="20" s="1"/>
  <c r="A82" i="20" s="1"/>
  <c r="A83" i="20" s="1"/>
  <c r="A84" i="20" s="1"/>
  <c r="A85" i="20" s="1"/>
  <c r="A86" i="20" s="1"/>
  <c r="A87" i="20" s="1"/>
  <c r="A88" i="20" s="1"/>
  <c r="A89" i="20" s="1"/>
  <c r="A90" i="20" s="1"/>
  <c r="A91" i="20" s="1"/>
  <c r="A92" i="20" s="1"/>
  <c r="A93" i="20" s="1"/>
  <c r="A94" i="20" s="1"/>
  <c r="A95" i="20" s="1"/>
  <c r="A96" i="20" s="1"/>
  <c r="A97" i="20" s="1"/>
  <c r="A98" i="20" s="1"/>
  <c r="A99" i="20" s="1"/>
  <c r="A100" i="20" s="1"/>
  <c r="A101" i="20" s="1"/>
  <c r="A102" i="20" s="1"/>
  <c r="A103" i="20" s="1"/>
  <c r="A104" i="20" s="1"/>
  <c r="A105" i="20" s="1"/>
  <c r="A106" i="20" s="1"/>
  <c r="A107" i="20" s="1"/>
  <c r="A108" i="20" s="1"/>
  <c r="A109" i="20" s="1"/>
  <c r="A110" i="20" s="1"/>
  <c r="A111" i="20" s="1"/>
  <c r="A112" i="20" s="1"/>
  <c r="A113" i="20" s="1"/>
  <c r="A114" i="20" s="1"/>
  <c r="A115" i="20" s="1"/>
  <c r="A116" i="20" s="1"/>
  <c r="A117" i="20" s="1"/>
  <c r="A118" i="20" s="1"/>
  <c r="A119" i="20" s="1"/>
  <c r="A120" i="20" s="1"/>
  <c r="A121" i="20" s="1"/>
  <c r="A122" i="20" s="1"/>
  <c r="A123" i="20" s="1"/>
  <c r="A124" i="20" s="1"/>
  <c r="A125" i="20" s="1"/>
  <c r="A126" i="20" s="1"/>
  <c r="A127" i="20" s="1"/>
  <c r="A128" i="20" s="1"/>
  <c r="A129" i="20" s="1"/>
  <c r="A130" i="20" s="1"/>
  <c r="A131" i="20" s="1"/>
  <c r="A132" i="20" s="1"/>
  <c r="A133" i="20" s="1"/>
  <c r="A134" i="20" s="1"/>
  <c r="A135" i="20" s="1"/>
  <c r="A136" i="20" s="1"/>
  <c r="A137" i="20" s="1"/>
  <c r="A138" i="20" s="1"/>
  <c r="A139" i="20" s="1"/>
  <c r="A140" i="20" s="1"/>
  <c r="A141" i="20" s="1"/>
  <c r="A142" i="20" s="1"/>
  <c r="A143" i="20" s="1"/>
  <c r="A144" i="20" s="1"/>
  <c r="A145" i="20" s="1"/>
  <c r="A146" i="20" s="1"/>
  <c r="A147" i="20" s="1"/>
  <c r="A148" i="20" s="1"/>
  <c r="A149" i="20" s="1"/>
  <c r="A150" i="20" s="1"/>
  <c r="A151" i="20" s="1"/>
  <c r="A152" i="20" s="1"/>
  <c r="A153" i="20" s="1"/>
  <c r="A154" i="20" s="1"/>
  <c r="A155" i="20" s="1"/>
  <c r="A156" i="20" s="1"/>
  <c r="A157" i="20" s="1"/>
  <c r="A158" i="20" s="1"/>
  <c r="A159" i="20" s="1"/>
  <c r="A160" i="20" s="1"/>
  <c r="A161" i="20" s="1"/>
  <c r="A162" i="20" s="1"/>
  <c r="A163" i="20" s="1"/>
  <c r="A164" i="20" s="1"/>
  <c r="A165" i="20" s="1"/>
  <c r="A166" i="20" s="1"/>
  <c r="A167" i="20" s="1"/>
  <c r="A168" i="20" s="1"/>
  <c r="A169" i="20" s="1"/>
  <c r="A170" i="20" s="1"/>
  <c r="A171" i="20" s="1"/>
  <c r="A172" i="20" s="1"/>
  <c r="A173" i="20" s="1"/>
  <c r="A174" i="20" s="1"/>
  <c r="A175" i="20" s="1"/>
  <c r="A176" i="20" s="1"/>
  <c r="A177" i="20" s="1"/>
  <c r="A178" i="20" s="1"/>
  <c r="A179" i="20" s="1"/>
  <c r="A180" i="20" s="1"/>
  <c r="A181" i="20" s="1"/>
  <c r="A182" i="20" s="1"/>
  <c r="A183" i="20" s="1"/>
  <c r="A184" i="20" s="1"/>
  <c r="A185" i="20" s="1"/>
  <c r="A186" i="20" s="1"/>
  <c r="A187" i="20" s="1"/>
  <c r="A188" i="20" s="1"/>
  <c r="A189" i="20" s="1"/>
  <c r="A190" i="20" s="1"/>
  <c r="A191" i="20" s="1"/>
  <c r="A192" i="20" s="1"/>
  <c r="A193" i="20" s="1"/>
  <c r="A194" i="20" s="1"/>
  <c r="A195" i="20" s="1"/>
  <c r="A196" i="20" s="1"/>
  <c r="A197" i="20" s="1"/>
  <c r="A198" i="20" s="1"/>
  <c r="A199" i="20" s="1"/>
  <c r="A200" i="20" s="1"/>
  <c r="A201" i="20" s="1"/>
  <c r="A202" i="20" s="1"/>
  <c r="A203" i="20" s="1"/>
  <c r="A204" i="20" s="1"/>
  <c r="A205" i="20" s="1"/>
  <c r="A206" i="20" s="1"/>
  <c r="A207" i="20" s="1"/>
  <c r="A208" i="20" s="1"/>
  <c r="A209" i="20" s="1"/>
  <c r="A210" i="20" s="1"/>
  <c r="A211" i="20" s="1"/>
  <c r="A212" i="20" s="1"/>
  <c r="A213" i="20" s="1"/>
  <c r="A214" i="20" s="1"/>
  <c r="A215" i="20" s="1"/>
  <c r="A216" i="20" s="1"/>
  <c r="A217" i="20" s="1"/>
  <c r="A218" i="20" s="1"/>
  <c r="A219" i="20" s="1"/>
  <c r="A220" i="20" s="1"/>
  <c r="A221" i="20" s="1"/>
  <c r="A222" i="20" s="1"/>
  <c r="A223" i="20" s="1"/>
  <c r="A224" i="20" s="1"/>
  <c r="A225" i="20" s="1"/>
  <c r="A226" i="20" s="1"/>
  <c r="A227" i="20" s="1"/>
  <c r="A228" i="20" s="1"/>
  <c r="A229" i="20" s="1"/>
  <c r="A230" i="20" s="1"/>
  <c r="A231" i="20" s="1"/>
  <c r="A232" i="20" s="1"/>
  <c r="A233" i="20" s="1"/>
  <c r="A234" i="20" s="1"/>
  <c r="A235" i="20" s="1"/>
  <c r="A236" i="20" s="1"/>
  <c r="A237" i="20" s="1"/>
  <c r="A238" i="20" s="1"/>
  <c r="A239" i="20" s="1"/>
  <c r="A240" i="20" s="1"/>
  <c r="A241" i="20" s="1"/>
  <c r="A242" i="20" s="1"/>
  <c r="A243" i="20" s="1"/>
  <c r="A244" i="20" s="1"/>
  <c r="A245" i="20" s="1"/>
  <c r="A246" i="20" s="1"/>
  <c r="A247" i="20" s="1"/>
  <c r="A248" i="20" s="1"/>
  <c r="A249" i="20" s="1"/>
  <c r="A250" i="20" s="1"/>
  <c r="A251" i="20" s="1"/>
  <c r="A252" i="20" s="1"/>
  <c r="A253" i="20" s="1"/>
  <c r="A254" i="20" s="1"/>
  <c r="A255" i="20" s="1"/>
  <c r="A256" i="20" s="1"/>
  <c r="A257" i="20" s="1"/>
  <c r="A258" i="20" s="1"/>
  <c r="A259" i="20" s="1"/>
  <c r="A260" i="20" s="1"/>
  <c r="A261" i="20" s="1"/>
  <c r="A262" i="20" s="1"/>
  <c r="A263" i="20" s="1"/>
  <c r="A264" i="20" s="1"/>
  <c r="A265" i="20" s="1"/>
  <c r="A266" i="20" s="1"/>
  <c r="A267" i="20" s="1"/>
  <c r="A268" i="20" s="1"/>
  <c r="A269" i="20" s="1"/>
  <c r="A270" i="20" s="1"/>
  <c r="A271" i="20" s="1"/>
  <c r="A272" i="20" s="1"/>
  <c r="A273" i="20" s="1"/>
  <c r="A274" i="20" s="1"/>
  <c r="A275" i="20" s="1"/>
  <c r="A276" i="20" s="1"/>
  <c r="A277" i="20" s="1"/>
  <c r="A278" i="20" s="1"/>
  <c r="A279" i="20" s="1"/>
  <c r="A280" i="20" s="1"/>
  <c r="A281" i="20" s="1"/>
  <c r="A282" i="20" s="1"/>
  <c r="A283" i="20" s="1"/>
  <c r="A284" i="20" s="1"/>
  <c r="A285" i="20" s="1"/>
  <c r="A286" i="20" s="1"/>
  <c r="A287" i="20" s="1"/>
  <c r="A288" i="20" s="1"/>
  <c r="A289" i="20" s="1"/>
  <c r="A290" i="20" s="1"/>
  <c r="A291" i="20" s="1"/>
  <c r="A292" i="20" s="1"/>
  <c r="A293" i="20" s="1"/>
  <c r="A294" i="20" s="1"/>
  <c r="A295" i="20" s="1"/>
  <c r="A296" i="20" s="1"/>
  <c r="A297" i="20" s="1"/>
  <c r="A298" i="20" s="1"/>
  <c r="A299" i="20" s="1"/>
  <c r="A300" i="20" s="1"/>
  <c r="A301" i="20" s="1"/>
  <c r="A302" i="20" s="1"/>
  <c r="A303" i="20" s="1"/>
  <c r="A304" i="20" s="1"/>
  <c r="A305" i="20" s="1"/>
  <c r="A306" i="20" s="1"/>
  <c r="A307" i="20" s="1"/>
  <c r="A308" i="20" s="1"/>
  <c r="A309" i="20" s="1"/>
  <c r="A310" i="20" s="1"/>
  <c r="A311" i="20" s="1"/>
  <c r="A312" i="20" s="1"/>
  <c r="A313" i="20" s="1"/>
  <c r="A314" i="20" s="1"/>
  <c r="A315" i="20" s="1"/>
  <c r="A316" i="20" s="1"/>
  <c r="A317" i="20" s="1"/>
  <c r="A318" i="20" s="1"/>
  <c r="A319" i="20" s="1"/>
  <c r="A320" i="20" s="1"/>
  <c r="A321" i="20" s="1"/>
  <c r="A322" i="20" s="1"/>
  <c r="A323" i="20" s="1"/>
  <c r="A324" i="20" s="1"/>
  <c r="A325" i="20" s="1"/>
  <c r="A326" i="20" s="1"/>
  <c r="A327" i="20" s="1"/>
  <c r="A328" i="20" s="1"/>
  <c r="A329" i="20" s="1"/>
  <c r="A330" i="20" s="1"/>
  <c r="A331" i="20" s="1"/>
  <c r="A332" i="20" s="1"/>
  <c r="A333" i="20" s="1"/>
  <c r="A334" i="20" s="1"/>
  <c r="A335" i="20" s="1"/>
  <c r="A336" i="20" s="1"/>
  <c r="A337" i="20" s="1"/>
  <c r="A338" i="20" s="1"/>
  <c r="A339" i="20" s="1"/>
  <c r="A340" i="20" s="1"/>
  <c r="A341" i="20" s="1"/>
  <c r="A342" i="20" s="1"/>
  <c r="A343" i="20" s="1"/>
  <c r="A344" i="20" s="1"/>
  <c r="A345" i="20" s="1"/>
  <c r="A346" i="20" s="1"/>
  <c r="A347" i="20" s="1"/>
  <c r="A348" i="20" s="1"/>
  <c r="A349" i="20" s="1"/>
  <c r="A350" i="20" s="1"/>
  <c r="A351" i="20" s="1"/>
  <c r="A352" i="20" s="1"/>
  <c r="A353" i="20" s="1"/>
  <c r="A354" i="20" s="1"/>
  <c r="A355" i="20" s="1"/>
  <c r="A356" i="20" s="1"/>
  <c r="A357" i="20" s="1"/>
  <c r="A358" i="20" s="1"/>
  <c r="A359" i="20" s="1"/>
  <c r="A360" i="20" s="1"/>
  <c r="A361" i="20" s="1"/>
  <c r="A362" i="20" s="1"/>
  <c r="A363" i="20" s="1"/>
  <c r="A364" i="20" s="1"/>
  <c r="A365" i="20" s="1"/>
  <c r="A366" i="20" s="1"/>
  <c r="A367" i="20" s="1"/>
  <c r="A368" i="20" s="1"/>
  <c r="A369" i="20" s="1"/>
  <c r="A370" i="20" s="1"/>
  <c r="A371" i="20" s="1"/>
  <c r="A372" i="20" s="1"/>
  <c r="A373" i="20" s="1"/>
  <c r="A374" i="20" s="1"/>
  <c r="A375" i="20" s="1"/>
  <c r="A376" i="20" s="1"/>
  <c r="A377" i="20" s="1"/>
  <c r="A378" i="20" s="1"/>
  <c r="A379" i="20" s="1"/>
  <c r="A380" i="20" s="1"/>
  <c r="A381" i="20" s="1"/>
  <c r="A382" i="20" s="1"/>
  <c r="A383" i="20" s="1"/>
  <c r="A384" i="20" s="1"/>
  <c r="A385" i="20" s="1"/>
  <c r="A386" i="20" s="1"/>
  <c r="A387" i="20" s="1"/>
  <c r="A388" i="20" s="1"/>
  <c r="A389" i="20" s="1"/>
  <c r="A390" i="20" s="1"/>
  <c r="A391" i="20" s="1"/>
  <c r="A392" i="20" s="1"/>
  <c r="A393" i="20" s="1"/>
  <c r="A394" i="20" s="1"/>
  <c r="A395" i="20" s="1"/>
  <c r="A396" i="20" s="1"/>
  <c r="A397" i="20" s="1"/>
  <c r="A398" i="20" s="1"/>
  <c r="A399" i="20" s="1"/>
  <c r="A400" i="20" s="1"/>
  <c r="A401" i="20" s="1"/>
  <c r="A402" i="20" s="1"/>
  <c r="A403" i="20" s="1"/>
  <c r="A404" i="20" s="1"/>
  <c r="A405" i="20" s="1"/>
  <c r="A406" i="20" s="1"/>
  <c r="A407" i="20" s="1"/>
  <c r="A408" i="20" s="1"/>
  <c r="A409" i="20" s="1"/>
  <c r="A410" i="20" s="1"/>
  <c r="A411" i="20" s="1"/>
  <c r="A412" i="20" s="1"/>
  <c r="A413" i="20" s="1"/>
  <c r="A414" i="20" s="1"/>
  <c r="A415" i="20" s="1"/>
  <c r="A416" i="20" s="1"/>
  <c r="A417" i="20" s="1"/>
  <c r="A418" i="20" s="1"/>
  <c r="A419" i="20" s="1"/>
  <c r="A420" i="20" s="1"/>
  <c r="A421" i="20" s="1"/>
  <c r="A422" i="20" s="1"/>
  <c r="A423" i="20" s="1"/>
  <c r="A424" i="20" s="1"/>
  <c r="A425" i="20" s="1"/>
  <c r="A426" i="20" s="1"/>
  <c r="A427" i="20" s="1"/>
  <c r="A428" i="20" s="1"/>
  <c r="A429" i="20" s="1"/>
  <c r="A430" i="20" s="1"/>
  <c r="A431" i="20" s="1"/>
  <c r="A432" i="20" s="1"/>
  <c r="A433" i="20" s="1"/>
  <c r="A434" i="20" s="1"/>
  <c r="A435" i="20" s="1"/>
  <c r="A436" i="20" s="1"/>
  <c r="A437" i="20" s="1"/>
  <c r="A438" i="20" s="1"/>
  <c r="A439" i="20" s="1"/>
  <c r="A440" i="20" s="1"/>
  <c r="A441" i="20" s="1"/>
  <c r="A442" i="20" s="1"/>
  <c r="A443" i="20" s="1"/>
  <c r="A444" i="20" s="1"/>
  <c r="A445" i="20" s="1"/>
  <c r="A446" i="20" s="1"/>
  <c r="A447" i="20" s="1"/>
  <c r="A448" i="20" s="1"/>
  <c r="A449" i="20" s="1"/>
  <c r="N9" i="9"/>
  <c r="M8" i="9"/>
  <c r="M9" i="9"/>
  <c r="I3" i="9" a="1"/>
  <c r="I3" i="9" s="1"/>
  <c r="I4" i="9" a="1"/>
  <c r="I4" i="9" s="1"/>
  <c r="I5" i="9" a="1"/>
  <c r="I5" i="9" s="1"/>
  <c r="I6" i="9" a="1"/>
  <c r="I6" i="9" s="1"/>
  <c r="I7" i="9" a="1"/>
  <c r="I7" i="9" s="1"/>
  <c r="I8" i="9" a="1"/>
  <c r="I8" i="9"/>
  <c r="I9" i="9" a="1"/>
  <c r="I9" i="9"/>
  <c r="I10" i="9" a="1"/>
  <c r="I10" i="9"/>
  <c r="I11" i="9" a="1"/>
  <c r="I11" i="9" s="1"/>
  <c r="I12" i="9" a="1"/>
  <c r="I12" i="9"/>
  <c r="I13" i="9" a="1"/>
  <c r="I13" i="9" s="1"/>
  <c r="I14" i="9" a="1"/>
  <c r="I14" i="9"/>
  <c r="I15" i="9" a="1"/>
  <c r="I15" i="9"/>
  <c r="I16" i="9" a="1"/>
  <c r="I16" i="9"/>
  <c r="I17" i="9" a="1"/>
  <c r="I17" i="9"/>
  <c r="I18" i="9" a="1"/>
  <c r="I18" i="9"/>
  <c r="I19" i="9" a="1"/>
  <c r="I19" i="9" s="1"/>
  <c r="I20" i="9" a="1"/>
  <c r="I20" i="9" s="1"/>
  <c r="I21" i="9" a="1"/>
  <c r="I21" i="9" s="1"/>
  <c r="I22" i="9" a="1"/>
  <c r="I22" i="9" s="1"/>
  <c r="I23" i="9" a="1"/>
  <c r="I23" i="9" s="1"/>
  <c r="I24" i="9" a="1"/>
  <c r="I24" i="9" s="1"/>
  <c r="I25" i="9" a="1"/>
  <c r="I25" i="9"/>
  <c r="I26" i="9" a="1"/>
  <c r="I26" i="9"/>
  <c r="I27" i="9" a="1"/>
  <c r="I27" i="9" s="1"/>
  <c r="I28" i="9" a="1"/>
  <c r="I28" i="9"/>
  <c r="I29" i="9" a="1"/>
  <c r="I29" i="9" s="1"/>
  <c r="I30" i="9" a="1"/>
  <c r="I30" i="9"/>
  <c r="I31" i="9" a="1"/>
  <c r="I31" i="9"/>
  <c r="I32" i="9" a="1"/>
  <c r="I32" i="9"/>
  <c r="I33" i="9" a="1"/>
  <c r="I33" i="9"/>
  <c r="I34" i="9" a="1"/>
  <c r="I34" i="9"/>
  <c r="I35" i="9" a="1"/>
  <c r="I35" i="9" s="1"/>
  <c r="I36" i="9" a="1"/>
  <c r="I36" i="9" s="1"/>
  <c r="I37" i="9" a="1"/>
  <c r="I37" i="9" s="1"/>
  <c r="I38" i="9" a="1"/>
  <c r="I38" i="9" s="1"/>
  <c r="I39" i="9" a="1"/>
  <c r="I39" i="9" s="1"/>
  <c r="I40" i="9" a="1"/>
  <c r="I40" i="9" s="1"/>
  <c r="I41" i="9" a="1"/>
  <c r="I41" i="9"/>
  <c r="I42" i="9" a="1"/>
  <c r="I42" i="9"/>
  <c r="I43" i="9" a="1"/>
  <c r="I43" i="9" s="1"/>
  <c r="I44" i="9" a="1"/>
  <c r="I44" i="9"/>
  <c r="I45" i="9" a="1"/>
  <c r="I45" i="9" s="1"/>
  <c r="I46" i="9" a="1"/>
  <c r="I46" i="9"/>
  <c r="I47" i="9" a="1"/>
  <c r="I47" i="9"/>
  <c r="I48" i="9" a="1"/>
  <c r="I48" i="9"/>
  <c r="I49" i="9" a="1"/>
  <c r="I49" i="9"/>
  <c r="I50" i="9" a="1"/>
  <c r="I50" i="9" s="1"/>
  <c r="I51" i="9" a="1"/>
  <c r="I51" i="9" s="1"/>
  <c r="I52" i="9" a="1"/>
  <c r="I52" i="9" s="1"/>
  <c r="I53" i="9" a="1"/>
  <c r="I53" i="9" s="1"/>
  <c r="I54" i="9" a="1"/>
  <c r="I54" i="9" s="1"/>
  <c r="I55" i="9" a="1"/>
  <c r="I55" i="9" s="1"/>
  <c r="I56" i="9" a="1"/>
  <c r="I56" i="9" s="1"/>
  <c r="I57" i="9" a="1"/>
  <c r="I57" i="9"/>
  <c r="I58" i="9" a="1"/>
  <c r="I58" i="9"/>
  <c r="I59" i="9" a="1"/>
  <c r="I59" i="9" s="1"/>
  <c r="I60" i="9" a="1"/>
  <c r="I60" i="9"/>
  <c r="I61" i="9" a="1"/>
  <c r="I61" i="9" s="1"/>
  <c r="I62" i="9" a="1"/>
  <c r="I62" i="9"/>
  <c r="I63" i="9" a="1"/>
  <c r="I63" i="9" s="1"/>
  <c r="I64" i="9" a="1"/>
  <c r="I64" i="9"/>
  <c r="I65" i="9" a="1"/>
  <c r="I65" i="9"/>
  <c r="I66" i="9" a="1"/>
  <c r="I66" i="9" s="1"/>
  <c r="I67" i="9" a="1"/>
  <c r="I67" i="9" s="1"/>
  <c r="I68" i="9" a="1"/>
  <c r="I68" i="9" s="1"/>
  <c r="I69" i="9" a="1"/>
  <c r="I69" i="9" s="1"/>
  <c r="I70" i="9" a="1"/>
  <c r="I70" i="9" s="1"/>
  <c r="I71" i="9" a="1"/>
  <c r="I71" i="9" s="1"/>
  <c r="I72" i="9" a="1"/>
  <c r="I72" i="9" s="1"/>
  <c r="I73" i="9" a="1"/>
  <c r="I73" i="9"/>
  <c r="I74" i="9" a="1"/>
  <c r="I74" i="9"/>
  <c r="I75" i="9" a="1"/>
  <c r="I75" i="9" s="1"/>
  <c r="I76" i="9" a="1"/>
  <c r="I76" i="9"/>
  <c r="I77" i="9" a="1"/>
  <c r="I77" i="9" s="1"/>
  <c r="I78" i="9" a="1"/>
  <c r="I78" i="9"/>
  <c r="I79" i="9" a="1"/>
  <c r="I79" i="9"/>
  <c r="I80" i="9" a="1"/>
  <c r="I80" i="9"/>
  <c r="I81" i="9" a="1"/>
  <c r="I81" i="9"/>
  <c r="I82" i="9" a="1"/>
  <c r="I82" i="9" s="1"/>
  <c r="I83" i="9" a="1"/>
  <c r="I83" i="9" s="1"/>
  <c r="I84" i="9" a="1"/>
  <c r="I84" i="9" s="1"/>
  <c r="I85" i="9" a="1"/>
  <c r="I85" i="9" s="1"/>
  <c r="I86" i="9" a="1"/>
  <c r="I86" i="9" s="1"/>
  <c r="I87" i="9" a="1"/>
  <c r="I87" i="9" s="1"/>
  <c r="I88" i="9" a="1"/>
  <c r="I88" i="9" s="1"/>
  <c r="I89" i="9" a="1"/>
  <c r="I89" i="9"/>
  <c r="I90" i="9" a="1"/>
  <c r="I90" i="9"/>
  <c r="I91" i="9" a="1"/>
  <c r="I91" i="9" s="1"/>
  <c r="I92" i="9" a="1"/>
  <c r="I92" i="9"/>
  <c r="I93" i="9" a="1"/>
  <c r="I93" i="9" s="1"/>
  <c r="I94" i="9" a="1"/>
  <c r="I94" i="9"/>
  <c r="I95" i="9" a="1"/>
  <c r="I95" i="9"/>
  <c r="I96" i="9" a="1"/>
  <c r="I96" i="9"/>
  <c r="I97" i="9" a="1"/>
  <c r="I97" i="9"/>
  <c r="I98" i="9" a="1"/>
  <c r="I98" i="9" s="1"/>
  <c r="I99" i="9" a="1"/>
  <c r="I99" i="9" s="1"/>
  <c r="I100" i="9" a="1"/>
  <c r="I100" i="9" s="1"/>
  <c r="I101" i="9" a="1"/>
  <c r="I101" i="9" s="1"/>
  <c r="I102" i="9" a="1"/>
  <c r="I102" i="9" s="1"/>
  <c r="I103" i="9" a="1"/>
  <c r="I103" i="9" s="1"/>
  <c r="I104" i="9" a="1"/>
  <c r="I104" i="9" s="1"/>
  <c r="I105" i="9" a="1"/>
  <c r="I105" i="9"/>
  <c r="I106" i="9" a="1"/>
  <c r="I106" i="9"/>
  <c r="I107" i="9" a="1"/>
  <c r="I107" i="9" s="1"/>
  <c r="I108" i="9" a="1"/>
  <c r="I108" i="9"/>
  <c r="I109" i="9" a="1"/>
  <c r="I109" i="9" s="1"/>
  <c r="I110" i="9" a="1"/>
  <c r="I110" i="9"/>
  <c r="I111" i="9" a="1"/>
  <c r="I111" i="9"/>
  <c r="I112" i="9" a="1"/>
  <c r="I112" i="9"/>
  <c r="I113" i="9" a="1"/>
  <c r="I113" i="9"/>
  <c r="I114" i="9" a="1"/>
  <c r="I114" i="9" s="1"/>
  <c r="I115" i="9" a="1"/>
  <c r="I115" i="9" s="1"/>
  <c r="I116" i="9" a="1"/>
  <c r="I116" i="9" s="1"/>
  <c r="I117" i="9" a="1"/>
  <c r="I117" i="9" s="1"/>
  <c r="I118" i="9" a="1"/>
  <c r="I118" i="9" s="1"/>
  <c r="I119" i="9" a="1"/>
  <c r="I119" i="9" s="1"/>
  <c r="I120" i="9" a="1"/>
  <c r="I120" i="9" s="1"/>
  <c r="I121" i="9" a="1"/>
  <c r="I121" i="9"/>
  <c r="I122" i="9" a="1"/>
  <c r="I122" i="9"/>
  <c r="I123" i="9" a="1"/>
  <c r="I123" i="9" s="1"/>
  <c r="I124" i="9" a="1"/>
  <c r="I124" i="9"/>
  <c r="I125" i="9" a="1"/>
  <c r="I125" i="9" s="1"/>
  <c r="I126" i="9" a="1"/>
  <c r="I126" i="9"/>
  <c r="I127" i="9" a="1"/>
  <c r="I127" i="9"/>
  <c r="I128" i="9" a="1"/>
  <c r="I128" i="9"/>
  <c r="I129" i="9" a="1"/>
  <c r="I129" i="9"/>
  <c r="I130" i="9" a="1"/>
  <c r="I130" i="9" s="1"/>
  <c r="I131" i="9" a="1"/>
  <c r="I131" i="9" s="1"/>
  <c r="I132" i="9" a="1"/>
  <c r="I132" i="9" s="1"/>
  <c r="I133" i="9" a="1"/>
  <c r="I133" i="9" s="1"/>
  <c r="I134" i="9" a="1"/>
  <c r="I134" i="9" s="1"/>
  <c r="I135" i="9" a="1"/>
  <c r="I135" i="9" s="1"/>
  <c r="I136" i="9" a="1"/>
  <c r="I136" i="9" s="1"/>
  <c r="I137" i="9" a="1"/>
  <c r="I137" i="9"/>
  <c r="I138" i="9" a="1"/>
  <c r="I138" i="9"/>
  <c r="I139" i="9" a="1"/>
  <c r="I139" i="9" s="1"/>
  <c r="I140" i="9" a="1"/>
  <c r="I140" i="9"/>
  <c r="I141" i="9" a="1"/>
  <c r="I141" i="9" s="1"/>
  <c r="I142" i="9" a="1"/>
  <c r="I142" i="9"/>
  <c r="I143" i="9" a="1"/>
  <c r="I143" i="9"/>
  <c r="I144" i="9" a="1"/>
  <c r="I144" i="9"/>
  <c r="I145" i="9" a="1"/>
  <c r="I145" i="9"/>
  <c r="I146" i="9" a="1"/>
  <c r="I146" i="9" s="1"/>
  <c r="I147" i="9" a="1"/>
  <c r="I147" i="9" s="1"/>
  <c r="I148" i="9" a="1"/>
  <c r="I148" i="9" s="1"/>
  <c r="I149" i="9" a="1"/>
  <c r="I149" i="9" s="1"/>
  <c r="I150" i="9" a="1"/>
  <c r="I150" i="9" s="1"/>
  <c r="I151" i="9" a="1"/>
  <c r="I151" i="9" s="1"/>
  <c r="I152" i="9" a="1"/>
  <c r="I152" i="9" s="1"/>
  <c r="I153" i="9" a="1"/>
  <c r="I153" i="9"/>
  <c r="I154" i="9" a="1"/>
  <c r="I154" i="9"/>
  <c r="I155" i="9" a="1"/>
  <c r="I155" i="9" s="1"/>
  <c r="I156" i="9" a="1"/>
  <c r="I156" i="9"/>
  <c r="I157" i="9" a="1"/>
  <c r="I157" i="9" s="1"/>
  <c r="I158" i="9" a="1"/>
  <c r="I158" i="9"/>
  <c r="I159" i="9" a="1"/>
  <c r="I159" i="9"/>
  <c r="I160" i="9" a="1"/>
  <c r="I160" i="9"/>
  <c r="I161" i="9" a="1"/>
  <c r="I161" i="9"/>
  <c r="I162" i="9" a="1"/>
  <c r="I162" i="9" s="1"/>
  <c r="I163" i="9" a="1"/>
  <c r="I163" i="9" s="1"/>
  <c r="I164" i="9" a="1"/>
  <c r="I164" i="9" s="1"/>
  <c r="I165" i="9" a="1"/>
  <c r="I165" i="9" s="1"/>
  <c r="I166" i="9" a="1"/>
  <c r="I166" i="9" s="1"/>
  <c r="I167" i="9" a="1"/>
  <c r="I167" i="9" s="1"/>
  <c r="I168" i="9" a="1"/>
  <c r="I168" i="9" s="1"/>
  <c r="I169" i="9" a="1"/>
  <c r="I169" i="9"/>
  <c r="I170" i="9" a="1"/>
  <c r="I170" i="9"/>
  <c r="I171" i="9" a="1"/>
  <c r="I171" i="9" s="1"/>
  <c r="I172" i="9" a="1"/>
  <c r="I172" i="9"/>
  <c r="I173" i="9" a="1"/>
  <c r="I173" i="9" s="1"/>
  <c r="I174" i="9" a="1"/>
  <c r="I174" i="9"/>
  <c r="I175" i="9" a="1"/>
  <c r="I175" i="9"/>
  <c r="I176" i="9" a="1"/>
  <c r="I176" i="9"/>
  <c r="I177" i="9" a="1"/>
  <c r="I177" i="9"/>
  <c r="I178" i="9" a="1"/>
  <c r="I178" i="9" s="1"/>
  <c r="I179" i="9" a="1"/>
  <c r="I179" i="9" s="1"/>
  <c r="I180" i="9" a="1"/>
  <c r="I180" i="9" s="1"/>
  <c r="I181" i="9" a="1"/>
  <c r="I181" i="9" s="1"/>
  <c r="I182" i="9" a="1"/>
  <c r="I182" i="9" s="1"/>
  <c r="I183" i="9" a="1"/>
  <c r="I183" i="9" s="1"/>
  <c r="I184" i="9" a="1"/>
  <c r="I184" i="9" s="1"/>
  <c r="I185" i="9" a="1"/>
  <c r="I185" i="9"/>
  <c r="I186" i="9" a="1"/>
  <c r="I186" i="9"/>
  <c r="I187" i="9" a="1"/>
  <c r="I187" i="9" s="1"/>
  <c r="I188" i="9" a="1"/>
  <c r="I188" i="9"/>
  <c r="I189" i="9" a="1"/>
  <c r="I189" i="9" s="1"/>
  <c r="I190" i="9" a="1"/>
  <c r="I190" i="9"/>
  <c r="I191" i="9" a="1"/>
  <c r="I191" i="9"/>
  <c r="I192" i="9" a="1"/>
  <c r="I192" i="9"/>
  <c r="I193" i="9" a="1"/>
  <c r="I193" i="9"/>
  <c r="I194" i="9" a="1"/>
  <c r="I194" i="9" s="1"/>
  <c r="I195" i="9" a="1"/>
  <c r="I195" i="9" s="1"/>
  <c r="I196" i="9" a="1"/>
  <c r="I196" i="9" s="1"/>
  <c r="I197" i="9" a="1"/>
  <c r="I197" i="9" s="1"/>
  <c r="I198" i="9" a="1"/>
  <c r="I198" i="9" s="1"/>
  <c r="I199" i="9" a="1"/>
  <c r="I199" i="9" s="1"/>
  <c r="I200" i="9" a="1"/>
  <c r="I200" i="9" s="1"/>
  <c r="I201" i="9" a="1"/>
  <c r="I201" i="9"/>
  <c r="I202" i="9" a="1"/>
  <c r="I202" i="9"/>
  <c r="I203" i="9" a="1"/>
  <c r="I203" i="9" s="1"/>
  <c r="I204" i="9" a="1"/>
  <c r="I204" i="9"/>
  <c r="I205" i="9" a="1"/>
  <c r="I205" i="9" s="1"/>
  <c r="I206" i="9" a="1"/>
  <c r="I206" i="9"/>
  <c r="I207" i="9" a="1"/>
  <c r="I207" i="9"/>
  <c r="I208" i="9" a="1"/>
  <c r="I208" i="9"/>
  <c r="I209" i="9" a="1"/>
  <c r="I209" i="9"/>
  <c r="I210" i="9" a="1"/>
  <c r="I210" i="9" s="1"/>
  <c r="I211" i="9" a="1"/>
  <c r="I211" i="9" s="1"/>
  <c r="I212" i="9" a="1"/>
  <c r="I212" i="9" s="1"/>
  <c r="I213" i="9" a="1"/>
  <c r="I213" i="9" s="1"/>
  <c r="I214" i="9" a="1"/>
  <c r="I214" i="9" s="1"/>
  <c r="I215" i="9" a="1"/>
  <c r="I215" i="9" s="1"/>
  <c r="I216" i="9" a="1"/>
  <c r="I216" i="9" s="1"/>
  <c r="I217" i="9" a="1"/>
  <c r="I217" i="9"/>
  <c r="I218" i="9" a="1"/>
  <c r="I218" i="9"/>
  <c r="I219" i="9" a="1"/>
  <c r="I219" i="9" s="1"/>
  <c r="I220" i="9" a="1"/>
  <c r="I220" i="9"/>
  <c r="I221" i="9" a="1"/>
  <c r="I221" i="9" s="1"/>
  <c r="I222" i="9" a="1"/>
  <c r="I222" i="9"/>
  <c r="I223" i="9" a="1"/>
  <c r="I223" i="9"/>
  <c r="I224" i="9" a="1"/>
  <c r="I224" i="9"/>
  <c r="I225" i="9" a="1"/>
  <c r="I225" i="9"/>
  <c r="I226" i="9" a="1"/>
  <c r="I226" i="9" s="1"/>
  <c r="I227" i="9" a="1"/>
  <c r="I227" i="9" s="1"/>
  <c r="I228" i="9" a="1"/>
  <c r="I228" i="9" s="1"/>
  <c r="I229" i="9" a="1"/>
  <c r="I229" i="9" s="1"/>
  <c r="I230" i="9" a="1"/>
  <c r="I230" i="9" s="1"/>
  <c r="I231" i="9" a="1"/>
  <c r="I231" i="9" s="1"/>
  <c r="I232" i="9" a="1"/>
  <c r="I232" i="9" s="1"/>
  <c r="I233" i="9" a="1"/>
  <c r="I233" i="9"/>
  <c r="I234" i="9" a="1"/>
  <c r="I234" i="9"/>
  <c r="I235" i="9" a="1"/>
  <c r="I235" i="9" s="1"/>
  <c r="I236" i="9" a="1"/>
  <c r="I236" i="9"/>
  <c r="I237" i="9" a="1"/>
  <c r="I237" i="9" s="1"/>
  <c r="I238" i="9" a="1"/>
  <c r="I238" i="9"/>
  <c r="I239" i="9" a="1"/>
  <c r="I239" i="9"/>
  <c r="I240" i="9" a="1"/>
  <c r="I240" i="9"/>
  <c r="I241" i="9" a="1"/>
  <c r="I241" i="9"/>
  <c r="I242" i="9" a="1"/>
  <c r="I242" i="9" s="1"/>
  <c r="I243" i="9" a="1"/>
  <c r="I243" i="9" s="1"/>
  <c r="I244" i="9" a="1"/>
  <c r="I244" i="9" s="1"/>
  <c r="I245" i="9" a="1"/>
  <c r="I245" i="9" s="1"/>
  <c r="I246" i="9" a="1"/>
  <c r="I246" i="9" s="1"/>
  <c r="I247" i="9" a="1"/>
  <c r="I247" i="9" s="1"/>
  <c r="I248" i="9" a="1"/>
  <c r="I248" i="9" s="1"/>
  <c r="I249" i="9" a="1"/>
  <c r="I249" i="9"/>
  <c r="I250" i="9" a="1"/>
  <c r="I250" i="9"/>
  <c r="I251" i="9" a="1"/>
  <c r="I251" i="9" s="1"/>
  <c r="I252" i="9" a="1"/>
  <c r="I252" i="9"/>
  <c r="I253" i="9" a="1"/>
  <c r="I253" i="9" s="1"/>
  <c r="I254" i="9" a="1"/>
  <c r="I254" i="9"/>
  <c r="I255" i="9" a="1"/>
  <c r="I255" i="9"/>
  <c r="I256" i="9" a="1"/>
  <c r="I256" i="9"/>
  <c r="I257" i="9" a="1"/>
  <c r="I257" i="9"/>
  <c r="I258" i="9" a="1"/>
  <c r="I258" i="9" s="1"/>
  <c r="I259" i="9" a="1"/>
  <c r="I259" i="9" s="1"/>
  <c r="I260" i="9" a="1"/>
  <c r="I260" i="9" s="1"/>
  <c r="I261" i="9" a="1"/>
  <c r="I261" i="9" s="1"/>
  <c r="I262" i="9" a="1"/>
  <c r="I262" i="9" s="1"/>
  <c r="I263" i="9" a="1"/>
  <c r="I263" i="9" s="1"/>
  <c r="I264" i="9" a="1"/>
  <c r="I264" i="9" s="1"/>
  <c r="I265" i="9" a="1"/>
  <c r="I265" i="9"/>
  <c r="I266" i="9" a="1"/>
  <c r="I266" i="9"/>
  <c r="I267" i="9" a="1"/>
  <c r="I267" i="9" s="1"/>
  <c r="I268" i="9" a="1"/>
  <c r="I268" i="9"/>
  <c r="I269" i="9" a="1"/>
  <c r="I269" i="9" s="1"/>
  <c r="I270" i="9" a="1"/>
  <c r="I270" i="9"/>
  <c r="I271" i="9" a="1"/>
  <c r="I271" i="9"/>
  <c r="I272" i="9" a="1"/>
  <c r="I272" i="9"/>
  <c r="I273" i="9" a="1"/>
  <c r="I273" i="9"/>
  <c r="I274" i="9" a="1"/>
  <c r="I274" i="9" s="1"/>
  <c r="I275" i="9" a="1"/>
  <c r="I275" i="9" s="1"/>
  <c r="I276" i="9" a="1"/>
  <c r="I276" i="9" s="1"/>
  <c r="I277" i="9" a="1"/>
  <c r="I277" i="9" s="1"/>
  <c r="I278" i="9" a="1"/>
  <c r="I278" i="9" s="1"/>
  <c r="I279" i="9" a="1"/>
  <c r="I279" i="9" s="1"/>
  <c r="I280" i="9" a="1"/>
  <c r="I280" i="9" s="1"/>
  <c r="I281" i="9" a="1"/>
  <c r="I281" i="9"/>
  <c r="I282" i="9" a="1"/>
  <c r="I282" i="9"/>
  <c r="I283" i="9" a="1"/>
  <c r="I283" i="9" s="1"/>
  <c r="I284" i="9" a="1"/>
  <c r="I284" i="9"/>
  <c r="I285" i="9" a="1"/>
  <c r="I285" i="9" s="1"/>
  <c r="I286" i="9" a="1"/>
  <c r="I286" i="9"/>
  <c r="I287" i="9" a="1"/>
  <c r="I287" i="9"/>
  <c r="I288" i="9" a="1"/>
  <c r="I288" i="9"/>
  <c r="I289" i="9" a="1"/>
  <c r="I289" i="9"/>
  <c r="I290" i="9" a="1"/>
  <c r="I290" i="9" s="1"/>
  <c r="I291" i="9" a="1"/>
  <c r="I291" i="9" s="1"/>
  <c r="I292" i="9" a="1"/>
  <c r="I292" i="9" s="1"/>
  <c r="I293" i="9" a="1"/>
  <c r="I293" i="9" s="1"/>
  <c r="I294" i="9" a="1"/>
  <c r="I294" i="9" s="1"/>
  <c r="I295" i="9" a="1"/>
  <c r="I295" i="9" s="1"/>
  <c r="I296" i="9" a="1"/>
  <c r="I296" i="9" s="1"/>
  <c r="I297" i="9" a="1"/>
  <c r="I297" i="9"/>
  <c r="I298" i="9" a="1"/>
  <c r="I298" i="9"/>
  <c r="I299" i="9" a="1"/>
  <c r="I299" i="9" s="1"/>
  <c r="I300" i="9" a="1"/>
  <c r="I300" i="9"/>
  <c r="I301" i="9" a="1"/>
  <c r="I301" i="9" s="1"/>
  <c r="I302" i="9" a="1"/>
  <c r="I302" i="9"/>
  <c r="I303" i="9" a="1"/>
  <c r="I303" i="9"/>
  <c r="I304" i="9" a="1"/>
  <c r="I304" i="9"/>
  <c r="I305" i="9" a="1"/>
  <c r="I305" i="9"/>
  <c r="I306" i="9" a="1"/>
  <c r="I306" i="9" s="1"/>
  <c r="I307" i="9" a="1"/>
  <c r="I307" i="9" s="1"/>
  <c r="I308" i="9" a="1"/>
  <c r="I308" i="9" s="1"/>
  <c r="I309" i="9" a="1"/>
  <c r="I309" i="9" s="1"/>
  <c r="I310" i="9" a="1"/>
  <c r="I310" i="9" s="1"/>
  <c r="I311" i="9" a="1"/>
  <c r="I311" i="9" s="1"/>
  <c r="I312" i="9" a="1"/>
  <c r="I312" i="9" s="1"/>
  <c r="I313" i="9" a="1"/>
  <c r="I313" i="9"/>
  <c r="I314" i="9" a="1"/>
  <c r="I314" i="9"/>
  <c r="I315" i="9" a="1"/>
  <c r="I315" i="9" s="1"/>
  <c r="I316" i="9" a="1"/>
  <c r="I316" i="9"/>
  <c r="I317" i="9" a="1"/>
  <c r="I317" i="9" s="1"/>
  <c r="I318" i="9" a="1"/>
  <c r="I318" i="9"/>
  <c r="I319" i="9" a="1"/>
  <c r="I319" i="9"/>
  <c r="I320" i="9" a="1"/>
  <c r="I320" i="9"/>
  <c r="I321" i="9" a="1"/>
  <c r="I321" i="9" s="1"/>
  <c r="I322" i="9" a="1"/>
  <c r="I322" i="9" s="1"/>
  <c r="I323" i="9" a="1"/>
  <c r="I323" i="9" s="1"/>
  <c r="I324" i="9" a="1"/>
  <c r="I324" i="9" s="1"/>
  <c r="I325" i="9" a="1"/>
  <c r="I325" i="9" s="1"/>
  <c r="I326" i="9" a="1"/>
  <c r="I326" i="9" s="1"/>
  <c r="I327" i="9" a="1"/>
  <c r="I327" i="9" s="1"/>
  <c r="I328" i="9" a="1"/>
  <c r="I328" i="9" s="1"/>
  <c r="I329" i="9" a="1"/>
  <c r="I329" i="9"/>
  <c r="I330" i="9" a="1"/>
  <c r="I330" i="9"/>
  <c r="I331" i="9" a="1"/>
  <c r="I331" i="9" s="1"/>
  <c r="I332" i="9" a="1"/>
  <c r="I332" i="9"/>
  <c r="I333" i="9" a="1"/>
  <c r="I333" i="9" s="1"/>
  <c r="I334" i="9" a="1"/>
  <c r="I334" i="9"/>
  <c r="I335" i="9" a="1"/>
  <c r="I335" i="9"/>
  <c r="I336" i="9" a="1"/>
  <c r="I336" i="9"/>
  <c r="I337" i="9" a="1"/>
  <c r="I337" i="9"/>
  <c r="I338" i="9" a="1"/>
  <c r="I338" i="9" s="1"/>
  <c r="I339" i="9" a="1"/>
  <c r="I339" i="9" s="1"/>
  <c r="I340" i="9" a="1"/>
  <c r="I340" i="9" s="1"/>
  <c r="I341" i="9" a="1"/>
  <c r="I341" i="9" s="1"/>
  <c r="I342" i="9" a="1"/>
  <c r="I342" i="9" s="1"/>
  <c r="I343" i="9" a="1"/>
  <c r="I343" i="9" s="1"/>
  <c r="I344" i="9" a="1"/>
  <c r="I344" i="9" s="1"/>
  <c r="I345" i="9" a="1"/>
  <c r="I345" i="9"/>
  <c r="I346" i="9" a="1"/>
  <c r="I346" i="9"/>
  <c r="I347" i="9" a="1"/>
  <c r="I347" i="9" s="1"/>
  <c r="I348" i="9" a="1"/>
  <c r="I348" i="9"/>
  <c r="I349" i="9" a="1"/>
  <c r="I349" i="9" s="1"/>
  <c r="I350" i="9" a="1"/>
  <c r="I350" i="9"/>
  <c r="I351" i="9" a="1"/>
  <c r="I351" i="9"/>
  <c r="I352" i="9" a="1"/>
  <c r="I352" i="9"/>
  <c r="I353" i="9" a="1"/>
  <c r="I353" i="9"/>
  <c r="I354" i="9" a="1"/>
  <c r="I354" i="9" s="1"/>
  <c r="I355" i="9" a="1"/>
  <c r="I355" i="9" s="1"/>
  <c r="I356" i="9" a="1"/>
  <c r="I356" i="9" s="1"/>
  <c r="I357" i="9" a="1"/>
  <c r="I357" i="9" s="1"/>
  <c r="I358" i="9" a="1"/>
  <c r="I358" i="9" s="1"/>
  <c r="I359" i="9" a="1"/>
  <c r="I359" i="9" s="1"/>
  <c r="I360" i="9" a="1"/>
  <c r="I360" i="9" s="1"/>
  <c r="I361" i="9" a="1"/>
  <c r="I361" i="9"/>
  <c r="I362" i="9" a="1"/>
  <c r="I362" i="9"/>
  <c r="I363" i="9" a="1"/>
  <c r="I363" i="9" s="1"/>
  <c r="I364" i="9" a="1"/>
  <c r="I364" i="9"/>
  <c r="I365" i="9" a="1"/>
  <c r="I365" i="9" s="1"/>
  <c r="I366" i="9" a="1"/>
  <c r="I366" i="9"/>
  <c r="I367" i="9" a="1"/>
  <c r="I367" i="9"/>
  <c r="I368" i="9" a="1"/>
  <c r="I368" i="9"/>
  <c r="I369" i="9" a="1"/>
  <c r="I369" i="9"/>
  <c r="I370" i="9" a="1"/>
  <c r="I370" i="9" s="1"/>
  <c r="I371" i="9" a="1"/>
  <c r="I371" i="9" s="1"/>
  <c r="I372" i="9" a="1"/>
  <c r="I372" i="9" s="1"/>
  <c r="I373" i="9" a="1"/>
  <c r="I373" i="9" s="1"/>
  <c r="I374" i="9" a="1"/>
  <c r="I374" i="9" s="1"/>
  <c r="I375" i="9" a="1"/>
  <c r="I375" i="9" s="1"/>
  <c r="I376" i="9" a="1"/>
  <c r="I376" i="9" s="1"/>
  <c r="I377" i="9" a="1"/>
  <c r="I377" i="9"/>
  <c r="I378" i="9" a="1"/>
  <c r="I378" i="9"/>
  <c r="I379" i="9" a="1"/>
  <c r="I379" i="9" s="1"/>
  <c r="I380" i="9" a="1"/>
  <c r="I380" i="9"/>
  <c r="I381" i="9" a="1"/>
  <c r="I381" i="9" s="1"/>
  <c r="I382" i="9" a="1"/>
  <c r="I382" i="9"/>
  <c r="I383" i="9" a="1"/>
  <c r="I383" i="9"/>
  <c r="I384" i="9" a="1"/>
  <c r="I384" i="9"/>
  <c r="I385" i="9" a="1"/>
  <c r="I385" i="9"/>
  <c r="I386" i="9" a="1"/>
  <c r="I386" i="9" s="1"/>
  <c r="I387" i="9" a="1"/>
  <c r="I387" i="9" s="1"/>
  <c r="I388" i="9" a="1"/>
  <c r="I388" i="9" s="1"/>
  <c r="I389" i="9" a="1"/>
  <c r="I389" i="9" s="1"/>
  <c r="I390" i="9" a="1"/>
  <c r="I390" i="9" s="1"/>
  <c r="I391" i="9" a="1"/>
  <c r="I391" i="9" s="1"/>
  <c r="I392" i="9" a="1"/>
  <c r="I392" i="9" s="1"/>
  <c r="I393" i="9" a="1"/>
  <c r="I393" i="9"/>
  <c r="I394" i="9" a="1"/>
  <c r="I394" i="9"/>
  <c r="I395" i="9" a="1"/>
  <c r="I395" i="9" s="1"/>
  <c r="I396" i="9" a="1"/>
  <c r="I396" i="9"/>
  <c r="I397" i="9" a="1"/>
  <c r="I397" i="9" s="1"/>
  <c r="I398" i="9" a="1"/>
  <c r="I398" i="9"/>
  <c r="I399" i="9" a="1"/>
  <c r="I399" i="9"/>
  <c r="I400" i="9" a="1"/>
  <c r="I400" i="9"/>
  <c r="I401" i="9" a="1"/>
  <c r="I401" i="9"/>
  <c r="I402" i="9" a="1"/>
  <c r="I402" i="9" s="1"/>
  <c r="I403" i="9" a="1"/>
  <c r="I403" i="9" s="1"/>
  <c r="I404" i="9" a="1"/>
  <c r="I404" i="9" s="1"/>
  <c r="I405" i="9" a="1"/>
  <c r="I405" i="9" s="1"/>
  <c r="I406" i="9" a="1"/>
  <c r="I406" i="9" s="1"/>
  <c r="I407" i="9" a="1"/>
  <c r="I407" i="9" s="1"/>
  <c r="I408" i="9" a="1"/>
  <c r="I408" i="9" s="1"/>
  <c r="I409" i="9" a="1"/>
  <c r="I409" i="9"/>
  <c r="I410" i="9" a="1"/>
  <c r="I410" i="9"/>
  <c r="I411" i="9" a="1"/>
  <c r="I411" i="9" s="1"/>
  <c r="I412" i="9" a="1"/>
  <c r="I412" i="9"/>
  <c r="I413" i="9" a="1"/>
  <c r="I413" i="9" s="1"/>
  <c r="I414" i="9" a="1"/>
  <c r="I414" i="9"/>
  <c r="I415" i="9" a="1"/>
  <c r="I415" i="9"/>
  <c r="I416" i="9" a="1"/>
  <c r="I416" i="9"/>
  <c r="I417" i="9" a="1"/>
  <c r="I417" i="9"/>
  <c r="I418" i="9" a="1"/>
  <c r="I418" i="9" s="1"/>
  <c r="I419" i="9" a="1"/>
  <c r="I419" i="9" s="1"/>
  <c r="I420" i="9" a="1"/>
  <c r="I420" i="9" s="1"/>
  <c r="I421" i="9" a="1"/>
  <c r="I421" i="9" s="1"/>
  <c r="I422" i="9" a="1"/>
  <c r="I422" i="9" s="1"/>
  <c r="I423" i="9" a="1"/>
  <c r="I423" i="9" s="1"/>
  <c r="I424" i="9" a="1"/>
  <c r="I424" i="9" s="1"/>
  <c r="I425" i="9" a="1"/>
  <c r="I425" i="9"/>
  <c r="I426" i="9" a="1"/>
  <c r="I426" i="9"/>
  <c r="I427" i="9" a="1"/>
  <c r="I427" i="9" s="1"/>
  <c r="I428" i="9" a="1"/>
  <c r="I428" i="9"/>
  <c r="I429" i="9" a="1"/>
  <c r="I429" i="9" s="1"/>
  <c r="I430" i="9" a="1"/>
  <c r="I430" i="9"/>
  <c r="I431" i="9" a="1"/>
  <c r="I431" i="9"/>
  <c r="I432" i="9" a="1"/>
  <c r="I432" i="9"/>
  <c r="I433" i="9" a="1"/>
  <c r="I433" i="9"/>
  <c r="I434" i="9" a="1"/>
  <c r="I434" i="9" s="1"/>
  <c r="I435" i="9" a="1"/>
  <c r="I435" i="9" s="1"/>
  <c r="I436" i="9" a="1"/>
  <c r="I436" i="9" s="1"/>
  <c r="I437" i="9" a="1"/>
  <c r="I437" i="9" s="1"/>
  <c r="I438" i="9" a="1"/>
  <c r="I438" i="9" s="1"/>
  <c r="I439" i="9" a="1"/>
  <c r="I439" i="9" s="1"/>
  <c r="I440" i="9" a="1"/>
  <c r="I440" i="9" s="1"/>
  <c r="I441" i="9" a="1"/>
  <c r="I441" i="9"/>
  <c r="I442" i="9" a="1"/>
  <c r="I442" i="9"/>
  <c r="I443" i="9" a="1"/>
  <c r="I443" i="9" s="1"/>
  <c r="I444" i="9" a="1"/>
  <c r="I444" i="9" s="1"/>
  <c r="I445" i="9" a="1"/>
  <c r="I445" i="9" s="1"/>
  <c r="I446" i="9" a="1"/>
  <c r="I446" i="9"/>
  <c r="I447" i="9" a="1"/>
  <c r="I447" i="9"/>
  <c r="I448" i="9" a="1"/>
  <c r="I448" i="9"/>
  <c r="I449" i="9" a="1"/>
  <c r="I449" i="9"/>
  <c r="I450" i="9" a="1"/>
  <c r="I450" i="9" s="1"/>
  <c r="I451" i="9" a="1"/>
  <c r="I451" i="9" s="1"/>
  <c r="I452" i="9" a="1"/>
  <c r="I452" i="9" s="1"/>
  <c r="I453" i="9" a="1"/>
  <c r="I453" i="9" s="1"/>
  <c r="I454" i="9" a="1"/>
  <c r="I454" i="9" s="1"/>
  <c r="I455" i="9" a="1"/>
  <c r="I455" i="9" s="1"/>
  <c r="I2" i="9" a="1"/>
  <c r="I2" i="9"/>
  <c r="O9" i="17"/>
  <c r="O8" i="17"/>
  <c r="Q8" i="17" s="1"/>
  <c r="P8" i="17"/>
  <c r="P9" i="17"/>
  <c r="J2" i="17" a="1"/>
  <c r="J2" i="17"/>
  <c r="A3" i="17"/>
  <c r="A4" i="17" s="1"/>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 i="16"/>
  <c r="A5" i="16" s="1"/>
  <c r="A6" i="16" s="1"/>
  <c r="A7" i="16" s="1"/>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A115" i="16" s="1"/>
  <c r="A116" i="16" s="1"/>
  <c r="A117" i="16" s="1"/>
  <c r="A118" i="16" s="1"/>
  <c r="A119" i="16" s="1"/>
  <c r="A120" i="16" s="1"/>
  <c r="A121" i="16" s="1"/>
  <c r="A122" i="16" s="1"/>
  <c r="A123" i="16" s="1"/>
  <c r="A124" i="16" s="1"/>
  <c r="A125" i="16" s="1"/>
  <c r="A126" i="16" s="1"/>
  <c r="A127" i="16" s="1"/>
  <c r="A128" i="16" s="1"/>
  <c r="A129" i="16" s="1"/>
  <c r="A130" i="16" s="1"/>
  <c r="A131" i="16" s="1"/>
  <c r="A132" i="16" s="1"/>
  <c r="A133" i="16" s="1"/>
  <c r="A134" i="16" s="1"/>
  <c r="A135" i="16" s="1"/>
  <c r="A136" i="16" s="1"/>
  <c r="A137" i="16" s="1"/>
  <c r="A138" i="16" s="1"/>
  <c r="A139" i="16" s="1"/>
  <c r="A140" i="16" s="1"/>
  <c r="A141" i="16" s="1"/>
  <c r="A142" i="16" s="1"/>
  <c r="A143" i="16" s="1"/>
  <c r="A144" i="16" s="1"/>
  <c r="A145" i="16" s="1"/>
  <c r="A146" i="16" s="1"/>
  <c r="A147" i="16" s="1"/>
  <c r="A148" i="16" s="1"/>
  <c r="A149" i="16" s="1"/>
  <c r="A150" i="16" s="1"/>
  <c r="A151" i="16" s="1"/>
  <c r="A152" i="16" s="1"/>
  <c r="A153" i="16" s="1"/>
  <c r="A154" i="16" s="1"/>
  <c r="A155" i="16" s="1"/>
  <c r="A156" i="16" s="1"/>
  <c r="A157" i="16" s="1"/>
  <c r="A158" i="16" s="1"/>
  <c r="A159" i="16" s="1"/>
  <c r="A160" i="16" s="1"/>
  <c r="A161" i="16" s="1"/>
  <c r="A162" i="16" s="1"/>
  <c r="A163" i="16" s="1"/>
  <c r="A164" i="16" s="1"/>
  <c r="A165" i="16" s="1"/>
  <c r="A166" i="16" s="1"/>
  <c r="A167" i="16" s="1"/>
  <c r="A168" i="16" s="1"/>
  <c r="A169" i="16" s="1"/>
  <c r="A170" i="16" s="1"/>
  <c r="A171" i="16" s="1"/>
  <c r="A172" i="16" s="1"/>
  <c r="A173" i="16" s="1"/>
  <c r="A174" i="16" s="1"/>
  <c r="A175" i="16" s="1"/>
  <c r="A176" i="16" s="1"/>
  <c r="A177" i="16" s="1"/>
  <c r="A178" i="16" s="1"/>
  <c r="A179" i="16" s="1"/>
  <c r="A180" i="16" s="1"/>
  <c r="A181" i="16" s="1"/>
  <c r="A182" i="16" s="1"/>
  <c r="A183" i="16" s="1"/>
  <c r="A184" i="16" s="1"/>
  <c r="A185" i="16" s="1"/>
  <c r="A186" i="16" s="1"/>
  <c r="A187" i="16" s="1"/>
  <c r="A188" i="16" s="1"/>
  <c r="A189" i="16" s="1"/>
  <c r="A190" i="16" s="1"/>
  <c r="A191" i="16" s="1"/>
  <c r="A192" i="16" s="1"/>
  <c r="A193" i="16" s="1"/>
  <c r="A194" i="16" s="1"/>
  <c r="A195" i="16" s="1"/>
  <c r="A196" i="16" s="1"/>
  <c r="A197" i="16" s="1"/>
  <c r="A198" i="16" s="1"/>
  <c r="A199" i="16" s="1"/>
  <c r="A200" i="16" s="1"/>
  <c r="A201" i="16" s="1"/>
  <c r="A202" i="16" s="1"/>
  <c r="A203" i="16" s="1"/>
  <c r="A204" i="16" s="1"/>
  <c r="A205" i="16" s="1"/>
  <c r="A206" i="16" s="1"/>
  <c r="A207" i="16" s="1"/>
  <c r="A208" i="16" s="1"/>
  <c r="A209" i="16" s="1"/>
  <c r="A210" i="16" s="1"/>
  <c r="A211" i="16" s="1"/>
  <c r="A212" i="16" s="1"/>
  <c r="A213" i="16" s="1"/>
  <c r="A214" i="16" s="1"/>
  <c r="A215" i="16" s="1"/>
  <c r="A216" i="16" s="1"/>
  <c r="A217" i="16" s="1"/>
  <c r="A218" i="16" s="1"/>
  <c r="A219" i="16" s="1"/>
  <c r="A220" i="16" s="1"/>
  <c r="A221" i="16" s="1"/>
  <c r="A222" i="16" s="1"/>
  <c r="A223" i="16" s="1"/>
  <c r="A224" i="16" s="1"/>
  <c r="A225" i="16" s="1"/>
  <c r="A226" i="16" s="1"/>
  <c r="A227" i="16" s="1"/>
  <c r="A228" i="16" s="1"/>
  <c r="A229" i="16" s="1"/>
  <c r="A230" i="16" s="1"/>
  <c r="A231" i="16" s="1"/>
  <c r="A232" i="16" s="1"/>
  <c r="A233" i="16" s="1"/>
  <c r="A234" i="16" s="1"/>
  <c r="A235" i="16" s="1"/>
  <c r="A236" i="16" s="1"/>
  <c r="A237" i="16" s="1"/>
  <c r="A238" i="16" s="1"/>
  <c r="A239" i="16" s="1"/>
  <c r="A240" i="16" s="1"/>
  <c r="A241" i="16" s="1"/>
  <c r="A242" i="16" s="1"/>
  <c r="A243" i="16" s="1"/>
  <c r="A244" i="16" s="1"/>
  <c r="A245" i="16" s="1"/>
  <c r="A246" i="16" s="1"/>
  <c r="A247" i="16" s="1"/>
  <c r="A248" i="16" s="1"/>
  <c r="A249" i="16" s="1"/>
  <c r="A250" i="16" s="1"/>
  <c r="A251" i="16" s="1"/>
  <c r="A252" i="16" s="1"/>
  <c r="A253" i="16" s="1"/>
  <c r="A254" i="16" s="1"/>
  <c r="A255" i="16" s="1"/>
  <c r="A256" i="16" s="1"/>
  <c r="A257" i="16" s="1"/>
  <c r="A258" i="16" s="1"/>
  <c r="A259" i="16" s="1"/>
  <c r="A260" i="16" s="1"/>
  <c r="A261" i="16" s="1"/>
  <c r="A262" i="16" s="1"/>
  <c r="A263" i="16" s="1"/>
  <c r="A264" i="16" s="1"/>
  <c r="A265" i="16" s="1"/>
  <c r="A266" i="16" s="1"/>
  <c r="A267" i="16" s="1"/>
  <c r="A268" i="16" s="1"/>
  <c r="A269" i="16" s="1"/>
  <c r="A270" i="16" s="1"/>
  <c r="A271" i="16" s="1"/>
  <c r="A272" i="16" s="1"/>
  <c r="A273" i="16" s="1"/>
  <c r="A274" i="16" s="1"/>
  <c r="A275" i="16" s="1"/>
  <c r="A276" i="16" s="1"/>
  <c r="A277" i="16" s="1"/>
  <c r="A278" i="16" s="1"/>
  <c r="A279" i="16" s="1"/>
  <c r="A280" i="16" s="1"/>
  <c r="A281" i="16" s="1"/>
  <c r="A282" i="16" s="1"/>
  <c r="A283" i="16" s="1"/>
  <c r="A284" i="16" s="1"/>
  <c r="A285" i="16" s="1"/>
  <c r="A286" i="16" s="1"/>
  <c r="A287" i="16" s="1"/>
  <c r="A288" i="16" s="1"/>
  <c r="A289" i="16" s="1"/>
  <c r="A290" i="16" s="1"/>
  <c r="A291" i="16" s="1"/>
  <c r="A292" i="16" s="1"/>
  <c r="A293" i="16" s="1"/>
  <c r="A294" i="16" s="1"/>
  <c r="A295" i="16" s="1"/>
  <c r="A296" i="16" s="1"/>
  <c r="A297" i="16" s="1"/>
  <c r="A298" i="16" s="1"/>
  <c r="A299" i="16" s="1"/>
  <c r="A300" i="16" s="1"/>
  <c r="A301" i="16" s="1"/>
  <c r="A302" i="16" s="1"/>
  <c r="A303" i="16" s="1"/>
  <c r="A304" i="16" s="1"/>
  <c r="A305" i="16" s="1"/>
  <c r="A306" i="16" s="1"/>
  <c r="A307" i="16" s="1"/>
  <c r="A308" i="16" s="1"/>
  <c r="A309" i="16" s="1"/>
  <c r="A310" i="16" s="1"/>
  <c r="A311" i="16" s="1"/>
  <c r="A312" i="16" s="1"/>
  <c r="A313" i="16" s="1"/>
  <c r="A314" i="16" s="1"/>
  <c r="A315" i="16" s="1"/>
  <c r="A316" i="16" s="1"/>
  <c r="A317" i="16" s="1"/>
  <c r="A318" i="16" s="1"/>
  <c r="A319" i="16" s="1"/>
  <c r="A320" i="16" s="1"/>
  <c r="A321" i="16" s="1"/>
  <c r="A322" i="16" s="1"/>
  <c r="A323" i="16" s="1"/>
  <c r="A324" i="16" s="1"/>
  <c r="A325" i="16" s="1"/>
  <c r="A326" i="16" s="1"/>
  <c r="A327" i="16" s="1"/>
  <c r="A328" i="16" s="1"/>
  <c r="A329" i="16" s="1"/>
  <c r="A330" i="16" s="1"/>
  <c r="A331" i="16" s="1"/>
  <c r="A332" i="16" s="1"/>
  <c r="A333" i="16" s="1"/>
  <c r="A334" i="16" s="1"/>
  <c r="A335" i="16" s="1"/>
  <c r="A336" i="16" s="1"/>
  <c r="A337" i="16" s="1"/>
  <c r="A338" i="16" s="1"/>
  <c r="A339" i="16" s="1"/>
  <c r="A340" i="16" s="1"/>
  <c r="A341" i="16" s="1"/>
  <c r="A342" i="16" s="1"/>
  <c r="A343" i="16" s="1"/>
  <c r="A344" i="16" s="1"/>
  <c r="A345" i="16" s="1"/>
  <c r="A346" i="16" s="1"/>
  <c r="A347" i="16" s="1"/>
  <c r="A348" i="16" s="1"/>
  <c r="A349" i="16" s="1"/>
  <c r="A350" i="16" s="1"/>
  <c r="A351" i="16" s="1"/>
  <c r="A352" i="16" s="1"/>
  <c r="A353" i="16" s="1"/>
  <c r="A354" i="16" s="1"/>
  <c r="A355" i="16" s="1"/>
  <c r="A356" i="16" s="1"/>
  <c r="A357" i="16" s="1"/>
  <c r="A358" i="16" s="1"/>
  <c r="A359" i="16" s="1"/>
  <c r="A360" i="16" s="1"/>
  <c r="A361" i="16" s="1"/>
  <c r="A362" i="16" s="1"/>
  <c r="A363" i="16" s="1"/>
  <c r="A364" i="16" s="1"/>
  <c r="A365" i="16" s="1"/>
  <c r="A366" i="16" s="1"/>
  <c r="A367" i="16" s="1"/>
  <c r="A368" i="16" s="1"/>
  <c r="A369" i="16" s="1"/>
  <c r="A370" i="16" s="1"/>
  <c r="A371" i="16" s="1"/>
  <c r="A372" i="16" s="1"/>
  <c r="A373" i="16" s="1"/>
  <c r="A374" i="16" s="1"/>
  <c r="A375" i="16" s="1"/>
  <c r="A376" i="16" s="1"/>
  <c r="A377" i="16" s="1"/>
  <c r="A378" i="16" s="1"/>
  <c r="A379" i="16" s="1"/>
  <c r="A380" i="16" s="1"/>
  <c r="A381" i="16" s="1"/>
  <c r="A382" i="16" s="1"/>
  <c r="A383" i="16" s="1"/>
  <c r="A384" i="16" s="1"/>
  <c r="A385" i="16" s="1"/>
  <c r="A386" i="16" s="1"/>
  <c r="A387" i="16" s="1"/>
  <c r="A388" i="16" s="1"/>
  <c r="A389" i="16" s="1"/>
  <c r="A390" i="16" s="1"/>
  <c r="A391" i="16" s="1"/>
  <c r="A392" i="16" s="1"/>
  <c r="A393" i="16" s="1"/>
  <c r="A394" i="16" s="1"/>
  <c r="A395" i="16" s="1"/>
  <c r="A396" i="16" s="1"/>
  <c r="A397" i="16" s="1"/>
  <c r="A398" i="16" s="1"/>
  <c r="A399" i="16" s="1"/>
  <c r="A400" i="16" s="1"/>
  <c r="A401" i="16" s="1"/>
  <c r="A402" i="16" s="1"/>
  <c r="A403" i="16" s="1"/>
  <c r="A404" i="16" s="1"/>
  <c r="A405" i="16" s="1"/>
  <c r="A406" i="16" s="1"/>
  <c r="A407" i="16" s="1"/>
  <c r="A408" i="16" s="1"/>
  <c r="A409" i="16" s="1"/>
  <c r="A410" i="16" s="1"/>
  <c r="A411" i="16" s="1"/>
  <c r="A412" i="16" s="1"/>
  <c r="A413" i="16" s="1"/>
  <c r="A414" i="16" s="1"/>
  <c r="A415" i="16" s="1"/>
  <c r="A416" i="16" s="1"/>
  <c r="A417" i="16" s="1"/>
  <c r="A418" i="16" s="1"/>
  <c r="A419" i="16" s="1"/>
  <c r="A420" i="16" s="1"/>
  <c r="A421" i="16" s="1"/>
  <c r="A422" i="16" s="1"/>
  <c r="A423" i="16" s="1"/>
  <c r="A424" i="16" s="1"/>
  <c r="A425" i="16" s="1"/>
  <c r="A426" i="16" s="1"/>
  <c r="A427" i="16" s="1"/>
  <c r="A428" i="16" s="1"/>
  <c r="A429" i="16" s="1"/>
  <c r="A430" i="16" s="1"/>
  <c r="A431" i="16" s="1"/>
  <c r="A432" i="16" s="1"/>
  <c r="A433" i="16" s="1"/>
  <c r="A434" i="16" s="1"/>
  <c r="A435" i="16" s="1"/>
  <c r="A436" i="16" s="1"/>
  <c r="A437" i="16" s="1"/>
  <c r="A438" i="16" s="1"/>
  <c r="A439" i="16" s="1"/>
  <c r="A440" i="16" s="1"/>
  <c r="A441" i="16" s="1"/>
  <c r="A442" i="16" s="1"/>
  <c r="A443" i="16" s="1"/>
  <c r="A444" i="16" s="1"/>
  <c r="A445" i="16" s="1"/>
  <c r="A446" i="16" s="1"/>
  <c r="A447" i="16" s="1"/>
  <c r="A448" i="16" s="1"/>
  <c r="A449" i="16" s="1"/>
  <c r="A450" i="16" s="1"/>
  <c r="A451" i="16" s="1"/>
  <c r="A452" i="16" s="1"/>
  <c r="A3" i="16"/>
  <c r="A4" i="15"/>
  <c r="A5" i="15"/>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c r="A47" i="15"/>
  <c r="A48" i="15"/>
  <c r="A49" i="15"/>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A128" i="15" s="1"/>
  <c r="A129" i="15" s="1"/>
  <c r="A130" i="15" s="1"/>
  <c r="A131" i="15" s="1"/>
  <c r="A132" i="15" s="1"/>
  <c r="A133" i="15" s="1"/>
  <c r="A134" i="15" s="1"/>
  <c r="A135" i="15" s="1"/>
  <c r="A136" i="15" s="1"/>
  <c r="A137" i="15" s="1"/>
  <c r="A138" i="15" s="1"/>
  <c r="A139" i="15" s="1"/>
  <c r="A140" i="15" s="1"/>
  <c r="A141" i="15" s="1"/>
  <c r="A142" i="15" s="1"/>
  <c r="A143" i="15" s="1"/>
  <c r="A144" i="15" s="1"/>
  <c r="A145" i="15" s="1"/>
  <c r="A146" i="15" s="1"/>
  <c r="A147" i="15" s="1"/>
  <c r="A148" i="15" s="1"/>
  <c r="A149" i="15" s="1"/>
  <c r="A150" i="15" s="1"/>
  <c r="A151" i="15" s="1"/>
  <c r="A152" i="15" s="1"/>
  <c r="A153" i="15" s="1"/>
  <c r="A154" i="15" s="1"/>
  <c r="A155" i="15" s="1"/>
  <c r="A156" i="15" s="1"/>
  <c r="A157" i="15" s="1"/>
  <c r="A158" i="15" s="1"/>
  <c r="A159" i="15" s="1"/>
  <c r="A160" i="15" s="1"/>
  <c r="A161" i="15" s="1"/>
  <c r="A162" i="15" s="1"/>
  <c r="A163" i="15" s="1"/>
  <c r="A164" i="15" s="1"/>
  <c r="A165" i="15" s="1"/>
  <c r="A166" i="15" s="1"/>
  <c r="A167" i="15" s="1"/>
  <c r="A168" i="15" s="1"/>
  <c r="A169" i="15" s="1"/>
  <c r="A170" i="15" s="1"/>
  <c r="A171" i="15" s="1"/>
  <c r="A172" i="15" s="1"/>
  <c r="A173" i="15" s="1"/>
  <c r="A174" i="15" s="1"/>
  <c r="A175" i="15" s="1"/>
  <c r="A176" i="15" s="1"/>
  <c r="A177" i="15" s="1"/>
  <c r="A178" i="15" s="1"/>
  <c r="A179" i="15" s="1"/>
  <c r="A180" i="15" s="1"/>
  <c r="A181" i="15" s="1"/>
  <c r="A182" i="15" s="1"/>
  <c r="A183" i="15" s="1"/>
  <c r="A184" i="15" s="1"/>
  <c r="A185" i="15" s="1"/>
  <c r="A186" i="15" s="1"/>
  <c r="A187" i="15" s="1"/>
  <c r="A188" i="15" s="1"/>
  <c r="A189" i="15" s="1"/>
  <c r="A190" i="15" s="1"/>
  <c r="A191" i="15" s="1"/>
  <c r="A192" i="15" s="1"/>
  <c r="A193" i="15" s="1"/>
  <c r="A194" i="15" s="1"/>
  <c r="A195" i="15" s="1"/>
  <c r="A196" i="15" s="1"/>
  <c r="A197" i="15" s="1"/>
  <c r="A198" i="15" s="1"/>
  <c r="A199" i="15" s="1"/>
  <c r="A200" i="15" s="1"/>
  <c r="A201" i="15" s="1"/>
  <c r="A202" i="15" s="1"/>
  <c r="A203" i="15" s="1"/>
  <c r="A204" i="15" s="1"/>
  <c r="A205" i="15" s="1"/>
  <c r="A206" i="15" s="1"/>
  <c r="A207" i="15" s="1"/>
  <c r="A208" i="15" s="1"/>
  <c r="A209" i="15" s="1"/>
  <c r="A210" i="15" s="1"/>
  <c r="A211" i="15" s="1"/>
  <c r="A212" i="15" s="1"/>
  <c r="A213" i="15" s="1"/>
  <c r="A214" i="15" s="1"/>
  <c r="A215" i="15" s="1"/>
  <c r="A216" i="15" s="1"/>
  <c r="A217" i="15" s="1"/>
  <c r="A218" i="15" s="1"/>
  <c r="A219" i="15" s="1"/>
  <c r="A220" i="15" s="1"/>
  <c r="A221" i="15" s="1"/>
  <c r="A222" i="15" s="1"/>
  <c r="A223" i="15" s="1"/>
  <c r="A224" i="15" s="1"/>
  <c r="A225" i="15" s="1"/>
  <c r="A226" i="15" s="1"/>
  <c r="A227" i="15" s="1"/>
  <c r="A228" i="15" s="1"/>
  <c r="A229" i="15" s="1"/>
  <c r="A230" i="15" s="1"/>
  <c r="A231" i="15" s="1"/>
  <c r="A232" i="15" s="1"/>
  <c r="A233" i="15" s="1"/>
  <c r="A234" i="15" s="1"/>
  <c r="A235" i="15" s="1"/>
  <c r="A236" i="15" s="1"/>
  <c r="A237" i="15" s="1"/>
  <c r="A238" i="15" s="1"/>
  <c r="A239" i="15" s="1"/>
  <c r="A240" i="15" s="1"/>
  <c r="A241" i="15" s="1"/>
  <c r="A242" i="15" s="1"/>
  <c r="A243" i="15" s="1"/>
  <c r="A244" i="15" s="1"/>
  <c r="A245" i="15" s="1"/>
  <c r="A246" i="15" s="1"/>
  <c r="A247" i="15" s="1"/>
  <c r="A248" i="15" s="1"/>
  <c r="A249" i="15" s="1"/>
  <c r="A250" i="15" s="1"/>
  <c r="A251" i="15" s="1"/>
  <c r="A252" i="15" s="1"/>
  <c r="A253" i="15" s="1"/>
  <c r="A254" i="15" s="1"/>
  <c r="A255" i="15" s="1"/>
  <c r="A256" i="15" s="1"/>
  <c r="A257" i="15" s="1"/>
  <c r="A258" i="15" s="1"/>
  <c r="A259" i="15" s="1"/>
  <c r="A260" i="15" s="1"/>
  <c r="A261" i="15" s="1"/>
  <c r="A262" i="15" s="1"/>
  <c r="A263" i="15" s="1"/>
  <c r="A264" i="15" s="1"/>
  <c r="A265" i="15" s="1"/>
  <c r="A266" i="15" s="1"/>
  <c r="A267" i="15" s="1"/>
  <c r="A268" i="15" s="1"/>
  <c r="A269" i="15" s="1"/>
  <c r="A270" i="15" s="1"/>
  <c r="A271" i="15" s="1"/>
  <c r="A272" i="15" s="1"/>
  <c r="A273" i="15" s="1"/>
  <c r="A274" i="15" s="1"/>
  <c r="A275" i="15" s="1"/>
  <c r="A276" i="15" s="1"/>
  <c r="A277" i="15" s="1"/>
  <c r="A278" i="15" s="1"/>
  <c r="A279" i="15" s="1"/>
  <c r="A280" i="15" s="1"/>
  <c r="A281" i="15" s="1"/>
  <c r="A282" i="15" s="1"/>
  <c r="A283" i="15" s="1"/>
  <c r="A284" i="15" s="1"/>
  <c r="A285" i="15" s="1"/>
  <c r="A286" i="15" s="1"/>
  <c r="A287" i="15" s="1"/>
  <c r="A288" i="15" s="1"/>
  <c r="A289" i="15" s="1"/>
  <c r="A290" i="15" s="1"/>
  <c r="A291" i="15" s="1"/>
  <c r="A292" i="15" s="1"/>
  <c r="A293" i="15" s="1"/>
  <c r="A294" i="15" s="1"/>
  <c r="A295" i="15" s="1"/>
  <c r="A296" i="15" s="1"/>
  <c r="A297" i="15" s="1"/>
  <c r="A298" i="15" s="1"/>
  <c r="A299" i="15" s="1"/>
  <c r="A300" i="15" s="1"/>
  <c r="A301" i="15" s="1"/>
  <c r="A302" i="15" s="1"/>
  <c r="A303" i="15" s="1"/>
  <c r="A304" i="15" s="1"/>
  <c r="A305" i="15" s="1"/>
  <c r="A306" i="15" s="1"/>
  <c r="A307" i="15" s="1"/>
  <c r="A308" i="15" s="1"/>
  <c r="A309" i="15" s="1"/>
  <c r="A310" i="15" s="1"/>
  <c r="A311" i="15" s="1"/>
  <c r="A312" i="15" s="1"/>
  <c r="A313" i="15" s="1"/>
  <c r="A314" i="15" s="1"/>
  <c r="A315" i="15" s="1"/>
  <c r="A316" i="15" s="1"/>
  <c r="A317" i="15" s="1"/>
  <c r="A318" i="15" s="1"/>
  <c r="A319" i="15" s="1"/>
  <c r="A320" i="15" s="1"/>
  <c r="A321" i="15" s="1"/>
  <c r="A322" i="15" s="1"/>
  <c r="A323" i="15" s="1"/>
  <c r="A324" i="15" s="1"/>
  <c r="A325" i="15" s="1"/>
  <c r="A326" i="15" s="1"/>
  <c r="A327" i="15" s="1"/>
  <c r="A328" i="15" s="1"/>
  <c r="A329" i="15" s="1"/>
  <c r="A330" i="15" s="1"/>
  <c r="A331" i="15" s="1"/>
  <c r="A332" i="15" s="1"/>
  <c r="A333" i="15" s="1"/>
  <c r="A334" i="15" s="1"/>
  <c r="A335" i="15" s="1"/>
  <c r="A336" i="15" s="1"/>
  <c r="A337" i="15" s="1"/>
  <c r="A338" i="15" s="1"/>
  <c r="A339" i="15" s="1"/>
  <c r="A340" i="15" s="1"/>
  <c r="A341" i="15" s="1"/>
  <c r="A342" i="15" s="1"/>
  <c r="A343" i="15" s="1"/>
  <c r="A344" i="15" s="1"/>
  <c r="A345" i="15" s="1"/>
  <c r="A346" i="15" s="1"/>
  <c r="A347" i="15" s="1"/>
  <c r="A348" i="15" s="1"/>
  <c r="A349" i="15" s="1"/>
  <c r="A350" i="15" s="1"/>
  <c r="A351" i="15" s="1"/>
  <c r="A352" i="15" s="1"/>
  <c r="A353" i="15" s="1"/>
  <c r="A354" i="15" s="1"/>
  <c r="A355" i="15" s="1"/>
  <c r="A356" i="15" s="1"/>
  <c r="A357" i="15" s="1"/>
  <c r="A358" i="15" s="1"/>
  <c r="A359" i="15" s="1"/>
  <c r="A360" i="15" s="1"/>
  <c r="A361" i="15" s="1"/>
  <c r="A362" i="15" s="1"/>
  <c r="A363" i="15" s="1"/>
  <c r="A364" i="15" s="1"/>
  <c r="A365" i="15" s="1"/>
  <c r="A366" i="15" s="1"/>
  <c r="A367" i="15" s="1"/>
  <c r="A368" i="15" s="1"/>
  <c r="A369" i="15" s="1"/>
  <c r="A370" i="15" s="1"/>
  <c r="A371" i="15" s="1"/>
  <c r="A372" i="15" s="1"/>
  <c r="A373" i="15" s="1"/>
  <c r="A374" i="15" s="1"/>
  <c r="A375" i="15" s="1"/>
  <c r="A376" i="15" s="1"/>
  <c r="A377" i="15" s="1"/>
  <c r="A378" i="15" s="1"/>
  <c r="A379" i="15" s="1"/>
  <c r="A380" i="15" s="1"/>
  <c r="A381" i="15" s="1"/>
  <c r="A382" i="15" s="1"/>
  <c r="A383" i="15" s="1"/>
  <c r="A384" i="15" s="1"/>
  <c r="A385" i="15" s="1"/>
  <c r="A386" i="15" s="1"/>
  <c r="A387" i="15" s="1"/>
  <c r="A388" i="15" s="1"/>
  <c r="A389" i="15" s="1"/>
  <c r="A390" i="15" s="1"/>
  <c r="A391" i="15" s="1"/>
  <c r="A392" i="15" s="1"/>
  <c r="A393" i="15" s="1"/>
  <c r="A394" i="15" s="1"/>
  <c r="A395" i="15" s="1"/>
  <c r="A396" i="15" s="1"/>
  <c r="A397" i="15" s="1"/>
  <c r="A398" i="15" s="1"/>
  <c r="A399" i="15" s="1"/>
  <c r="A400" i="15" s="1"/>
  <c r="A401" i="15" s="1"/>
  <c r="A402" i="15" s="1"/>
  <c r="A403" i="15" s="1"/>
  <c r="A404" i="15" s="1"/>
  <c r="A405" i="15" s="1"/>
  <c r="A406" i="15" s="1"/>
  <c r="A407" i="15" s="1"/>
  <c r="A408" i="15" s="1"/>
  <c r="A409" i="15" s="1"/>
  <c r="A410" i="15" s="1"/>
  <c r="A411" i="15" s="1"/>
  <c r="A412" i="15" s="1"/>
  <c r="A413" i="15" s="1"/>
  <c r="A414" i="15" s="1"/>
  <c r="A415" i="15" s="1"/>
  <c r="A416" i="15" s="1"/>
  <c r="A417" i="15" s="1"/>
  <c r="A418" i="15" s="1"/>
  <c r="A419" i="15" s="1"/>
  <c r="A420" i="15" s="1"/>
  <c r="A421" i="15" s="1"/>
  <c r="A422" i="15" s="1"/>
  <c r="A423" i="15" s="1"/>
  <c r="A424" i="15" s="1"/>
  <c r="A425" i="15" s="1"/>
  <c r="A426" i="15" s="1"/>
  <c r="A427" i="15" s="1"/>
  <c r="A428" i="15" s="1"/>
  <c r="A429" i="15" s="1"/>
  <c r="A430" i="15" s="1"/>
  <c r="A431" i="15" s="1"/>
  <c r="A432" i="15" s="1"/>
  <c r="A433" i="15" s="1"/>
  <c r="A434" i="15" s="1"/>
  <c r="A435" i="15" s="1"/>
  <c r="A436" i="15" s="1"/>
  <c r="A437" i="15" s="1"/>
  <c r="A438" i="15" s="1"/>
  <c r="A439" i="15" s="1"/>
  <c r="A440" i="15" s="1"/>
  <c r="A441" i="15" s="1"/>
  <c r="A442" i="15" s="1"/>
  <c r="A443" i="15" s="1"/>
  <c r="A444" i="15" s="1"/>
  <c r="A445" i="15" s="1"/>
  <c r="A446" i="15" s="1"/>
  <c r="A447" i="15" s="1"/>
  <c r="A448" i="15" s="1"/>
  <c r="A449" i="15" s="1"/>
  <c r="A450" i="15" s="1"/>
  <c r="A451" i="15" s="1"/>
  <c r="A452" i="15" s="1"/>
  <c r="A453" i="15" s="1"/>
  <c r="A454" i="15" s="1"/>
  <c r="A455" i="15" s="1"/>
  <c r="A456" i="15" s="1"/>
  <c r="A457" i="15" s="1"/>
  <c r="A458" i="15" s="1"/>
  <c r="A459" i="15" s="1"/>
  <c r="A460" i="15" s="1"/>
  <c r="A461" i="15" s="1"/>
  <c r="A462" i="15" s="1"/>
  <c r="A463" i="15" s="1"/>
  <c r="A3" i="15"/>
  <c r="J3" i="17" a="1"/>
  <c r="J3" i="17"/>
  <c r="J4" i="17" a="1"/>
  <c r="J4" i="17" s="1"/>
  <c r="J5" i="17" a="1"/>
  <c r="J5" i="17"/>
  <c r="J6" i="17" a="1"/>
  <c r="J6" i="17"/>
  <c r="J7" i="17" a="1"/>
  <c r="J7" i="17"/>
  <c r="J8" i="17" a="1"/>
  <c r="J8" i="17"/>
  <c r="J9" i="17" a="1"/>
  <c r="J9" i="17"/>
  <c r="J10" i="17" a="1"/>
  <c r="J10" i="17" s="1"/>
  <c r="J11" i="17" a="1"/>
  <c r="J11" i="17"/>
  <c r="J12" i="17" a="1"/>
  <c r="J12" i="17"/>
  <c r="J13" i="17" a="1"/>
  <c r="J13" i="17"/>
  <c r="J14" i="17" a="1"/>
  <c r="J14" i="17"/>
  <c r="J15" i="17" a="1"/>
  <c r="J15" i="17"/>
  <c r="J16" i="17" a="1"/>
  <c r="J16" i="17"/>
  <c r="J17" i="17" a="1"/>
  <c r="J17" i="17"/>
  <c r="J18" i="17" a="1"/>
  <c r="J18" i="17" s="1"/>
  <c r="J19" i="17" a="1"/>
  <c r="J19" i="17"/>
  <c r="J20" i="17" a="1"/>
  <c r="J20" i="17" s="1"/>
  <c r="J21" i="17" a="1"/>
  <c r="J21" i="17"/>
  <c r="J22" i="17" a="1"/>
  <c r="J22" i="17"/>
  <c r="J23" i="17" a="1"/>
  <c r="J23" i="17"/>
  <c r="J24" i="17" a="1"/>
  <c r="J24" i="17"/>
  <c r="J25" i="17" a="1"/>
  <c r="J25" i="17"/>
  <c r="J26" i="17" a="1"/>
  <c r="J26" i="17" s="1"/>
  <c r="J27" i="17" a="1"/>
  <c r="J27" i="17"/>
  <c r="J28" i="17" a="1"/>
  <c r="J28" i="17"/>
  <c r="J29" i="17" a="1"/>
  <c r="J29" i="17"/>
  <c r="J30" i="17" a="1"/>
  <c r="J30" i="17"/>
  <c r="J31" i="17" a="1"/>
  <c r="J31" i="17"/>
  <c r="J32" i="17" a="1"/>
  <c r="J32" i="17"/>
  <c r="J33" i="17" a="1"/>
  <c r="J33" i="17"/>
  <c r="J34" i="17" a="1"/>
  <c r="J34" i="17" s="1"/>
  <c r="J35" i="17" a="1"/>
  <c r="J35" i="17"/>
  <c r="J36" i="17" a="1"/>
  <c r="J36" i="17" s="1"/>
  <c r="J37" i="17" a="1"/>
  <c r="J37" i="17"/>
  <c r="J38" i="17" a="1"/>
  <c r="J38" i="17"/>
  <c r="J39" i="17" a="1"/>
  <c r="J39" i="17"/>
  <c r="J40" i="17" a="1"/>
  <c r="J40" i="17"/>
  <c r="J41" i="17" a="1"/>
  <c r="J41" i="17"/>
  <c r="J42" i="17" a="1"/>
  <c r="J42" i="17" s="1"/>
  <c r="J43" i="17" a="1"/>
  <c r="J43" i="17"/>
  <c r="J44" i="17" a="1"/>
  <c r="J44" i="17"/>
  <c r="J45" i="17" a="1"/>
  <c r="J45" i="17"/>
  <c r="J46" i="17" a="1"/>
  <c r="J46" i="17"/>
  <c r="J47" i="17" a="1"/>
  <c r="J47" i="17"/>
  <c r="J48" i="17" a="1"/>
  <c r="J48" i="17"/>
  <c r="J49" i="17" a="1"/>
  <c r="J49" i="17"/>
  <c r="J50" i="17" a="1"/>
  <c r="J50" i="17" s="1"/>
  <c r="J51" i="17" a="1"/>
  <c r="J51" i="17"/>
  <c r="J52" i="17" a="1"/>
  <c r="J52" i="17" s="1"/>
  <c r="J53" i="17" a="1"/>
  <c r="J53" i="17"/>
  <c r="J54" i="17" a="1"/>
  <c r="J54" i="17"/>
  <c r="J55" i="17" a="1"/>
  <c r="J55" i="17"/>
  <c r="J56" i="17" a="1"/>
  <c r="J56" i="17"/>
  <c r="J57" i="17" a="1"/>
  <c r="J57" i="17"/>
  <c r="J58" i="17" a="1"/>
  <c r="J58" i="17" s="1"/>
  <c r="J59" i="17" a="1"/>
  <c r="J59" i="17"/>
  <c r="J60" i="17" a="1"/>
  <c r="J60" i="17"/>
  <c r="J61" i="17" a="1"/>
  <c r="J61" i="17"/>
  <c r="J62" i="17" a="1"/>
  <c r="J62" i="17"/>
  <c r="J63" i="17" a="1"/>
  <c r="J63" i="17"/>
  <c r="J64" i="17" a="1"/>
  <c r="J64" i="17"/>
  <c r="J65" i="17" a="1"/>
  <c r="J65" i="17"/>
  <c r="J66" i="17" a="1"/>
  <c r="J66" i="17" s="1"/>
  <c r="J67" i="17" a="1"/>
  <c r="J67" i="17" s="1"/>
  <c r="J68" i="17" a="1"/>
  <c r="J68" i="17" s="1"/>
  <c r="J69" i="17" a="1"/>
  <c r="J69" i="17"/>
  <c r="J70" i="17" a="1"/>
  <c r="J70" i="17"/>
  <c r="J71" i="17" a="1"/>
  <c r="J71" i="17"/>
  <c r="J72" i="17" a="1"/>
  <c r="J72" i="17"/>
  <c r="J73" i="17" a="1"/>
  <c r="J73" i="17"/>
  <c r="J74" i="17" a="1"/>
  <c r="J74" i="17" s="1"/>
  <c r="J75" i="17" a="1"/>
  <c r="J75" i="17"/>
  <c r="J76" i="17" a="1"/>
  <c r="J76" i="17"/>
  <c r="J77" i="17" a="1"/>
  <c r="J77" i="17"/>
  <c r="J78" i="17" a="1"/>
  <c r="J78" i="17"/>
  <c r="J79" i="17" a="1"/>
  <c r="J79" i="17"/>
  <c r="J80" i="17" a="1"/>
  <c r="J80" i="17"/>
  <c r="J81" i="17" a="1"/>
  <c r="J81" i="17"/>
  <c r="J82" i="17" a="1"/>
  <c r="J82" i="17" s="1"/>
  <c r="J83" i="17" a="1"/>
  <c r="J83" i="17"/>
  <c r="J84" i="17" a="1"/>
  <c r="J84" i="17" s="1"/>
  <c r="J85" i="17" a="1"/>
  <c r="J85" i="17"/>
  <c r="J86" i="17" a="1"/>
  <c r="J86" i="17"/>
  <c r="J87" i="17" a="1"/>
  <c r="J87" i="17"/>
  <c r="J88" i="17" a="1"/>
  <c r="J88" i="17"/>
  <c r="J89" i="17" a="1"/>
  <c r="J89" i="17"/>
  <c r="J90" i="17" a="1"/>
  <c r="J90" i="17" s="1"/>
  <c r="J91" i="17" a="1"/>
  <c r="J91" i="17"/>
  <c r="J92" i="17" a="1"/>
  <c r="J92" i="17"/>
  <c r="J93" i="17" a="1"/>
  <c r="J93" i="17"/>
  <c r="J94" i="17" a="1"/>
  <c r="J94" i="17"/>
  <c r="J95" i="17" a="1"/>
  <c r="J95" i="17"/>
  <c r="J96" i="17" a="1"/>
  <c r="J96" i="17"/>
  <c r="J97" i="17" a="1"/>
  <c r="J97" i="17"/>
  <c r="J98" i="17" a="1"/>
  <c r="J98" i="17" s="1"/>
  <c r="J99" i="17" a="1"/>
  <c r="J99" i="17"/>
  <c r="J100" i="17" a="1"/>
  <c r="J100" i="17" s="1"/>
  <c r="J101" i="17" a="1"/>
  <c r="J101" i="17"/>
  <c r="J102" i="17" a="1"/>
  <c r="J102" i="17"/>
  <c r="J103" i="17" a="1"/>
  <c r="J103" i="17"/>
  <c r="J104" i="17" a="1"/>
  <c r="J104" i="17"/>
  <c r="J105" i="17" a="1"/>
  <c r="J105" i="17"/>
  <c r="J106" i="17" a="1"/>
  <c r="J106" i="17" s="1"/>
  <c r="J107" i="17" a="1"/>
  <c r="J107" i="17"/>
  <c r="J108" i="17" a="1"/>
  <c r="J108" i="17"/>
  <c r="J109" i="17" a="1"/>
  <c r="J109" i="17"/>
  <c r="J110" i="17" a="1"/>
  <c r="J110" i="17"/>
  <c r="J111" i="17" a="1"/>
  <c r="J111" i="17"/>
  <c r="J112" i="17" a="1"/>
  <c r="J112" i="17"/>
  <c r="J113" i="17" a="1"/>
  <c r="J113" i="17"/>
  <c r="J114" i="17" a="1"/>
  <c r="J114" i="17" s="1"/>
  <c r="J115" i="17" a="1"/>
  <c r="J115" i="17"/>
  <c r="J116" i="17" a="1"/>
  <c r="J116" i="17" s="1"/>
  <c r="J117" i="17" a="1"/>
  <c r="J117" i="17"/>
  <c r="J118" i="17" a="1"/>
  <c r="J118" i="17"/>
  <c r="J119" i="17" a="1"/>
  <c r="J119" i="17"/>
  <c r="J120" i="17" a="1"/>
  <c r="J120" i="17"/>
  <c r="J121" i="17" a="1"/>
  <c r="J121" i="17"/>
  <c r="J122" i="17" a="1"/>
  <c r="J122" i="17" s="1"/>
  <c r="J123" i="17" a="1"/>
  <c r="J123" i="17"/>
  <c r="J124" i="17" a="1"/>
  <c r="J124" i="17"/>
  <c r="J125" i="17" a="1"/>
  <c r="J125" i="17"/>
  <c r="J126" i="17" a="1"/>
  <c r="J126" i="17"/>
  <c r="J127" i="17" a="1"/>
  <c r="J127" i="17"/>
  <c r="J128" i="17" a="1"/>
  <c r="J128" i="17"/>
  <c r="J129" i="17" a="1"/>
  <c r="J129" i="17"/>
  <c r="J130" i="17" a="1"/>
  <c r="J130" i="17" s="1"/>
  <c r="J131" i="17" a="1"/>
  <c r="J131" i="17"/>
  <c r="J132" i="17" a="1"/>
  <c r="J132" i="17" s="1"/>
  <c r="J133" i="17" a="1"/>
  <c r="J133" i="17"/>
  <c r="J134" i="17" a="1"/>
  <c r="J134" i="17"/>
  <c r="J135" i="17" a="1"/>
  <c r="J135" i="17"/>
  <c r="J136" i="17" a="1"/>
  <c r="J136" i="17"/>
  <c r="J137" i="17" a="1"/>
  <c r="J137" i="17"/>
  <c r="J138" i="17" a="1"/>
  <c r="J138" i="17" s="1"/>
  <c r="J139" i="17" a="1"/>
  <c r="J139" i="17"/>
  <c r="J140" i="17" a="1"/>
  <c r="J140" i="17"/>
  <c r="J141" i="17" a="1"/>
  <c r="J141" i="17"/>
  <c r="J142" i="17" a="1"/>
  <c r="J142" i="17"/>
  <c r="J143" i="17" a="1"/>
  <c r="J143" i="17"/>
  <c r="J144" i="17" a="1"/>
  <c r="J144" i="17"/>
  <c r="J145" i="17" a="1"/>
  <c r="J145" i="17"/>
  <c r="J146" i="17" a="1"/>
  <c r="J146" i="17" s="1"/>
  <c r="J147" i="17" a="1"/>
  <c r="J147" i="17"/>
  <c r="J148" i="17" a="1"/>
  <c r="J148" i="17" s="1"/>
  <c r="J149" i="17" a="1"/>
  <c r="J149" i="17"/>
  <c r="J150" i="17" a="1"/>
  <c r="J150" i="17"/>
  <c r="J151" i="17" a="1"/>
  <c r="J151" i="17"/>
  <c r="J152" i="17" a="1"/>
  <c r="J152" i="17"/>
  <c r="J153" i="17" a="1"/>
  <c r="J153" i="17"/>
  <c r="J154" i="17" a="1"/>
  <c r="J154" i="17" s="1"/>
  <c r="J155" i="17" a="1"/>
  <c r="J155" i="17"/>
  <c r="J156" i="17" a="1"/>
  <c r="J156" i="17"/>
  <c r="J157" i="17" a="1"/>
  <c r="J157" i="17"/>
  <c r="J158" i="17" a="1"/>
  <c r="J158" i="17"/>
  <c r="J159" i="17" a="1"/>
  <c r="J159" i="17"/>
  <c r="J160" i="17" a="1"/>
  <c r="J160" i="17"/>
  <c r="J161" i="17" a="1"/>
  <c r="J161" i="17"/>
  <c r="J162" i="17" a="1"/>
  <c r="J162" i="17" s="1"/>
  <c r="J163" i="17" a="1"/>
  <c r="J163" i="17"/>
  <c r="J164" i="17" a="1"/>
  <c r="J164" i="17" s="1"/>
  <c r="J165" i="17" a="1"/>
  <c r="J165" i="17"/>
  <c r="J166" i="17" a="1"/>
  <c r="J166" i="17"/>
  <c r="J167" i="17" a="1"/>
  <c r="J167" i="17"/>
  <c r="J168" i="17" a="1"/>
  <c r="J168" i="17"/>
  <c r="J169" i="17" a="1"/>
  <c r="J169" i="17"/>
  <c r="J170" i="17" a="1"/>
  <c r="J170" i="17" s="1"/>
  <c r="J171" i="17" a="1"/>
  <c r="J171" i="17"/>
  <c r="J172" i="17" a="1"/>
  <c r="J172" i="17"/>
  <c r="J173" i="17" a="1"/>
  <c r="J173" i="17"/>
  <c r="J174" i="17" a="1"/>
  <c r="J174" i="17"/>
  <c r="J175" i="17" a="1"/>
  <c r="J175" i="17"/>
  <c r="J176" i="17" a="1"/>
  <c r="J176" i="17"/>
  <c r="J177" i="17" a="1"/>
  <c r="J177" i="17"/>
  <c r="J178" i="17" a="1"/>
  <c r="J178" i="17" s="1"/>
  <c r="J179" i="17" a="1"/>
  <c r="J179" i="17"/>
  <c r="J180" i="17" a="1"/>
  <c r="J180" i="17" s="1"/>
  <c r="J181" i="17" a="1"/>
  <c r="J181" i="17"/>
  <c r="J182" i="17" a="1"/>
  <c r="J182" i="17"/>
  <c r="J183" i="17" a="1"/>
  <c r="J183" i="17"/>
  <c r="J184" i="17" a="1"/>
  <c r="J184" i="17"/>
  <c r="J185" i="17" a="1"/>
  <c r="J185" i="17"/>
  <c r="J186" i="17" a="1"/>
  <c r="J186" i="17" s="1"/>
  <c r="J187" i="17" a="1"/>
  <c r="J187" i="17"/>
  <c r="J188" i="17" a="1"/>
  <c r="J188" i="17"/>
  <c r="J189" i="17" a="1"/>
  <c r="J189" i="17"/>
  <c r="J190" i="17" a="1"/>
  <c r="J190" i="17"/>
  <c r="J191" i="17" a="1"/>
  <c r="J191" i="17"/>
  <c r="J192" i="17" a="1"/>
  <c r="J192" i="17"/>
  <c r="J193" i="17" a="1"/>
  <c r="J193" i="17"/>
  <c r="J194" i="17" a="1"/>
  <c r="J194" i="17" s="1"/>
  <c r="J195" i="17" a="1"/>
  <c r="J195" i="17"/>
  <c r="J196" i="17" a="1"/>
  <c r="J196" i="17" s="1"/>
  <c r="J197" i="17" a="1"/>
  <c r="J197" i="17"/>
  <c r="J198" i="17" a="1"/>
  <c r="J198" i="17"/>
  <c r="J199" i="17" a="1"/>
  <c r="J199" i="17"/>
  <c r="J200" i="17" a="1"/>
  <c r="J200" i="17"/>
  <c r="J201" i="17" a="1"/>
  <c r="J201" i="17" s="1"/>
  <c r="J202" i="17" a="1"/>
  <c r="J202" i="17" s="1"/>
  <c r="J203" i="17" a="1"/>
  <c r="J203" i="17"/>
  <c r="J204" i="17" a="1"/>
  <c r="J204" i="17"/>
  <c r="J205" i="17" a="1"/>
  <c r="J205" i="17"/>
  <c r="J206" i="17" a="1"/>
  <c r="J206" i="17"/>
  <c r="J207" i="17" a="1"/>
  <c r="J207" i="17"/>
  <c r="J208" i="17" a="1"/>
  <c r="J208" i="17"/>
  <c r="J209" i="17" a="1"/>
  <c r="J209" i="17"/>
  <c r="J210" i="17" a="1"/>
  <c r="J210" i="17" s="1"/>
  <c r="J211" i="17" a="1"/>
  <c r="J211" i="17"/>
  <c r="J212" i="17" a="1"/>
  <c r="J212" i="17" s="1"/>
  <c r="J213" i="17" a="1"/>
  <c r="J213" i="17"/>
  <c r="J214" i="17" a="1"/>
  <c r="J214" i="17"/>
  <c r="J215" i="17" a="1"/>
  <c r="J215" i="17"/>
  <c r="J216" i="17" a="1"/>
  <c r="J216" i="17"/>
  <c r="J217" i="17" a="1"/>
  <c r="J217" i="17"/>
  <c r="J218" i="17" a="1"/>
  <c r="J218" i="17" s="1"/>
  <c r="J219" i="17" a="1"/>
  <c r="J219" i="17"/>
  <c r="J220" i="17" a="1"/>
  <c r="J220" i="17"/>
  <c r="J221" i="17" a="1"/>
  <c r="J221" i="17"/>
  <c r="J222" i="17" a="1"/>
  <c r="J222" i="17"/>
  <c r="J223" i="17" a="1"/>
  <c r="J223" i="17"/>
  <c r="J224" i="17" a="1"/>
  <c r="J224" i="17"/>
  <c r="J225" i="17" a="1"/>
  <c r="J225" i="17"/>
  <c r="J226" i="17" a="1"/>
  <c r="J226" i="17" s="1"/>
  <c r="J227" i="17" a="1"/>
  <c r="J227" i="17"/>
  <c r="J228" i="17" a="1"/>
  <c r="J228" i="17" s="1"/>
  <c r="J229" i="17" a="1"/>
  <c r="J229" i="17"/>
  <c r="J230" i="17" a="1"/>
  <c r="J230" i="17"/>
  <c r="J231" i="17" a="1"/>
  <c r="J231" i="17"/>
  <c r="J232" i="17" a="1"/>
  <c r="J232" i="17"/>
  <c r="J233" i="17" a="1"/>
  <c r="J233" i="17"/>
  <c r="J234" i="17" a="1"/>
  <c r="J234" i="17" s="1"/>
  <c r="J235" i="17" a="1"/>
  <c r="J235" i="17"/>
  <c r="J236" i="17" a="1"/>
  <c r="J236" i="17"/>
  <c r="J237" i="17" a="1"/>
  <c r="J237" i="17"/>
  <c r="J238" i="17" a="1"/>
  <c r="J238" i="17"/>
  <c r="J239" i="17" a="1"/>
  <c r="J239" i="17"/>
  <c r="J240" i="17" a="1"/>
  <c r="J240" i="17"/>
  <c r="J241" i="17" a="1"/>
  <c r="J241" i="17"/>
  <c r="J242" i="17" a="1"/>
  <c r="J242" i="17" s="1"/>
  <c r="J243" i="17" a="1"/>
  <c r="J243" i="17"/>
  <c r="J244" i="17" a="1"/>
  <c r="J244" i="17" s="1"/>
  <c r="J245" i="17" a="1"/>
  <c r="J245" i="17"/>
  <c r="J246" i="17" a="1"/>
  <c r="J246" i="17"/>
  <c r="J247" i="17" a="1"/>
  <c r="J247" i="17"/>
  <c r="J248" i="17" a="1"/>
  <c r="J248" i="17"/>
  <c r="J249" i="17" a="1"/>
  <c r="J249" i="17"/>
  <c r="J250" i="17" a="1"/>
  <c r="J250" i="17" s="1"/>
  <c r="J251" i="17" a="1"/>
  <c r="J251" i="17"/>
  <c r="J252" i="17" a="1"/>
  <c r="J252" i="17"/>
  <c r="J253" i="17" a="1"/>
  <c r="J253" i="17"/>
  <c r="J254" i="17" a="1"/>
  <c r="J254" i="17"/>
  <c r="J255" i="17" a="1"/>
  <c r="J255" i="17"/>
  <c r="J256" i="17" a="1"/>
  <c r="J256" i="17"/>
  <c r="J257" i="17" a="1"/>
  <c r="J257" i="17"/>
  <c r="J258" i="17" a="1"/>
  <c r="J258" i="17" s="1"/>
  <c r="J259" i="17" a="1"/>
  <c r="J259" i="17"/>
  <c r="J260" i="17" a="1"/>
  <c r="J260" i="17" s="1"/>
  <c r="J261" i="17" a="1"/>
  <c r="J261" i="17"/>
  <c r="J262" i="17" a="1"/>
  <c r="J262" i="17"/>
  <c r="J263" i="17" a="1"/>
  <c r="J263" i="17"/>
  <c r="J264" i="17" a="1"/>
  <c r="J264" i="17"/>
  <c r="J265" i="17" a="1"/>
  <c r="J265" i="17"/>
  <c r="J266" i="17" a="1"/>
  <c r="J266" i="17" s="1"/>
  <c r="J267" i="17" a="1"/>
  <c r="J267" i="17"/>
  <c r="J268" i="17" a="1"/>
  <c r="J268" i="17"/>
  <c r="J269" i="17" a="1"/>
  <c r="J269" i="17"/>
  <c r="J270" i="17" a="1"/>
  <c r="J270" i="17"/>
  <c r="J271" i="17" a="1"/>
  <c r="J271" i="17"/>
  <c r="J272" i="17" a="1"/>
  <c r="J272" i="17"/>
  <c r="J273" i="17" a="1"/>
  <c r="J273" i="17"/>
  <c r="J274" i="17" a="1"/>
  <c r="J274" i="17" s="1"/>
  <c r="J275" i="17" a="1"/>
  <c r="J275" i="17"/>
  <c r="J276" i="17" a="1"/>
  <c r="J276" i="17" s="1"/>
  <c r="J277" i="17" a="1"/>
  <c r="J277" i="17"/>
  <c r="J278" i="17" a="1"/>
  <c r="J278" i="17"/>
  <c r="J279" i="17" a="1"/>
  <c r="J279" i="17"/>
  <c r="J280" i="17" a="1"/>
  <c r="J280" i="17"/>
  <c r="J281" i="17" a="1"/>
  <c r="J281" i="17"/>
  <c r="J282" i="17" a="1"/>
  <c r="J282" i="17" s="1"/>
  <c r="J283" i="17" a="1"/>
  <c r="J283" i="17"/>
  <c r="J284" i="17" a="1"/>
  <c r="J284" i="17"/>
  <c r="J285" i="17" a="1"/>
  <c r="J285" i="17"/>
  <c r="J286" i="17" a="1"/>
  <c r="J286" i="17"/>
  <c r="J287" i="17" a="1"/>
  <c r="J287" i="17"/>
  <c r="J288" i="17" a="1"/>
  <c r="J288" i="17"/>
  <c r="J289" i="17" a="1"/>
  <c r="J289" i="17"/>
  <c r="J290" i="17" a="1"/>
  <c r="J290" i="17" s="1"/>
  <c r="J291" i="17" a="1"/>
  <c r="J291" i="17"/>
  <c r="J292" i="17" a="1"/>
  <c r="J292" i="17" s="1"/>
  <c r="J293" i="17" a="1"/>
  <c r="J293" i="17"/>
  <c r="J294" i="17" a="1"/>
  <c r="J294" i="17"/>
  <c r="J295" i="17" a="1"/>
  <c r="J295" i="17"/>
  <c r="J296" i="17" a="1"/>
  <c r="J296" i="17"/>
  <c r="J297" i="17" a="1"/>
  <c r="J297" i="17"/>
  <c r="J298" i="17" a="1"/>
  <c r="J298" i="17" s="1"/>
  <c r="J299" i="17" a="1"/>
  <c r="J299" i="17"/>
  <c r="J300" i="17" a="1"/>
  <c r="J300" i="17"/>
  <c r="J301" i="17" a="1"/>
  <c r="J301" i="17"/>
  <c r="J302" i="17" a="1"/>
  <c r="J302" i="17"/>
  <c r="J303" i="17" a="1"/>
  <c r="J303" i="17"/>
  <c r="J304" i="17" a="1"/>
  <c r="J304" i="17"/>
  <c r="J305" i="17" a="1"/>
  <c r="J305" i="17"/>
  <c r="J306" i="17" a="1"/>
  <c r="J306" i="17" s="1"/>
  <c r="J307" i="17" a="1"/>
  <c r="J307" i="17"/>
  <c r="J308" i="17" a="1"/>
  <c r="J308" i="17" s="1"/>
  <c r="J309" i="17" a="1"/>
  <c r="J309" i="17"/>
  <c r="J310" i="17" a="1"/>
  <c r="J310" i="17"/>
  <c r="J311" i="17" a="1"/>
  <c r="J311" i="17"/>
  <c r="J312" i="17" a="1"/>
  <c r="J312" i="17"/>
  <c r="J313" i="17" a="1"/>
  <c r="J313" i="17"/>
  <c r="J314" i="17" a="1"/>
  <c r="J314" i="17" s="1"/>
  <c r="J315" i="17" a="1"/>
  <c r="J315" i="17"/>
  <c r="J316" i="17" a="1"/>
  <c r="J316" i="17"/>
  <c r="J317" i="17" a="1"/>
  <c r="J317" i="17"/>
  <c r="J318" i="17" a="1"/>
  <c r="J318" i="17"/>
  <c r="J319" i="17" a="1"/>
  <c r="J319" i="17"/>
  <c r="J320" i="17" a="1"/>
  <c r="J320" i="17"/>
  <c r="J321" i="17" a="1"/>
  <c r="J321" i="17"/>
  <c r="J322" i="17" a="1"/>
  <c r="J322" i="17" s="1"/>
  <c r="J323" i="17" a="1"/>
  <c r="J323" i="17"/>
  <c r="J324" i="17" a="1"/>
  <c r="J324" i="17" s="1"/>
  <c r="J325" i="17" a="1"/>
  <c r="J325" i="17"/>
  <c r="J326" i="17" a="1"/>
  <c r="J326" i="17"/>
  <c r="J327" i="17" a="1"/>
  <c r="J327" i="17"/>
  <c r="J328" i="17" a="1"/>
  <c r="J328" i="17"/>
  <c r="J329" i="17" a="1"/>
  <c r="J329" i="17"/>
  <c r="J330" i="17" a="1"/>
  <c r="J330" i="17" s="1"/>
  <c r="J331" i="17" a="1"/>
  <c r="J331" i="17"/>
  <c r="J332" i="17" a="1"/>
  <c r="J332" i="17"/>
  <c r="J333" i="17" a="1"/>
  <c r="J333" i="17" s="1"/>
  <c r="J334" i="17" a="1"/>
  <c r="J334" i="17"/>
  <c r="J335" i="17" a="1"/>
  <c r="J335" i="17"/>
  <c r="J336" i="17" a="1"/>
  <c r="J336" i="17"/>
  <c r="J337" i="17" a="1"/>
  <c r="J337" i="17"/>
  <c r="J338" i="17" a="1"/>
  <c r="J338" i="17" s="1"/>
  <c r="J339" i="17" a="1"/>
  <c r="J339" i="17"/>
  <c r="J340" i="17" a="1"/>
  <c r="J340" i="17" s="1"/>
  <c r="J341" i="17" a="1"/>
  <c r="J341" i="17"/>
  <c r="J342" i="17" a="1"/>
  <c r="J342" i="17"/>
  <c r="J343" i="17" a="1"/>
  <c r="J343" i="17"/>
  <c r="J344" i="17" a="1"/>
  <c r="J344" i="17"/>
  <c r="J345" i="17" a="1"/>
  <c r="J345" i="17"/>
  <c r="J346" i="17" a="1"/>
  <c r="J346" i="17" s="1"/>
  <c r="J347" i="17" a="1"/>
  <c r="J347" i="17"/>
  <c r="J348" i="17" a="1"/>
  <c r="J348" i="17"/>
  <c r="J349" i="17" a="1"/>
  <c r="J349" i="17"/>
  <c r="J350" i="17" a="1"/>
  <c r="J350" i="17"/>
  <c r="J351" i="17" a="1"/>
  <c r="J351" i="17"/>
  <c r="J352" i="17" a="1"/>
  <c r="J352" i="17"/>
  <c r="J353" i="17" a="1"/>
  <c r="J353" i="17"/>
  <c r="J354" i="17" a="1"/>
  <c r="J354" i="17" s="1"/>
  <c r="J355" i="17" a="1"/>
  <c r="J355" i="17"/>
  <c r="J356" i="17" a="1"/>
  <c r="J356" i="17" s="1"/>
  <c r="J357" i="17" a="1"/>
  <c r="J357" i="17"/>
  <c r="J358" i="17" a="1"/>
  <c r="J358" i="17"/>
  <c r="J359" i="17" a="1"/>
  <c r="J359" i="17"/>
  <c r="J360" i="17" a="1"/>
  <c r="J360" i="17"/>
  <c r="J361" i="17" a="1"/>
  <c r="J361" i="17"/>
  <c r="J362" i="17" a="1"/>
  <c r="J362" i="17" s="1"/>
  <c r="J363" i="17" a="1"/>
  <c r="J363" i="17"/>
  <c r="J364" i="17" a="1"/>
  <c r="J364" i="17"/>
  <c r="J365" i="17" a="1"/>
  <c r="J365" i="17"/>
  <c r="J366" i="17" a="1"/>
  <c r="J366" i="17"/>
  <c r="J367" i="17" a="1"/>
  <c r="J367" i="17"/>
  <c r="J368" i="17" a="1"/>
  <c r="J368" i="17"/>
  <c r="J369" i="17" a="1"/>
  <c r="J369" i="17"/>
  <c r="J370" i="17" a="1"/>
  <c r="J370" i="17" s="1"/>
  <c r="J371" i="17" a="1"/>
  <c r="J371" i="17"/>
  <c r="J372" i="17" a="1"/>
  <c r="J372" i="17" s="1"/>
  <c r="J373" i="17" a="1"/>
  <c r="J373" i="17"/>
  <c r="J374" i="17" a="1"/>
  <c r="J374" i="17"/>
  <c r="J375" i="17" a="1"/>
  <c r="J375" i="17"/>
  <c r="J376" i="17" a="1"/>
  <c r="J376" i="17"/>
  <c r="J377" i="17" a="1"/>
  <c r="J377" i="17"/>
  <c r="J378" i="17" a="1"/>
  <c r="J378" i="17" s="1"/>
  <c r="J379" i="17" a="1"/>
  <c r="J379" i="17"/>
  <c r="J380" i="17" a="1"/>
  <c r="J380" i="17"/>
  <c r="J381" i="17" a="1"/>
  <c r="J381" i="17"/>
  <c r="J382" i="17" a="1"/>
  <c r="J382" i="17"/>
  <c r="J383" i="17" a="1"/>
  <c r="J383" i="17"/>
  <c r="J384" i="17" a="1"/>
  <c r="J384" i="17"/>
  <c r="J385" i="17" a="1"/>
  <c r="J385" i="17"/>
  <c r="J386" i="17" a="1"/>
  <c r="J386" i="17" s="1"/>
  <c r="J387" i="17" a="1"/>
  <c r="J387" i="17"/>
  <c r="J388" i="17" a="1"/>
  <c r="J388" i="17" s="1"/>
  <c r="J389" i="17" a="1"/>
  <c r="J389" i="17"/>
  <c r="J390" i="17" a="1"/>
  <c r="J390" i="17"/>
  <c r="J391" i="17" a="1"/>
  <c r="J391" i="17"/>
  <c r="J392" i="17" a="1"/>
  <c r="J392" i="17"/>
  <c r="J393" i="17" a="1"/>
  <c r="J393" i="17"/>
  <c r="J394" i="17" a="1"/>
  <c r="J394" i="17" s="1"/>
  <c r="J395" i="17" a="1"/>
  <c r="J395" i="17"/>
  <c r="J396" i="17" a="1"/>
  <c r="J396" i="17"/>
  <c r="J397" i="17" a="1"/>
  <c r="J397" i="17"/>
  <c r="J398" i="17" a="1"/>
  <c r="J398" i="17"/>
  <c r="J399" i="17" a="1"/>
  <c r="J399" i="17"/>
  <c r="J400" i="17" a="1"/>
  <c r="J400" i="17"/>
  <c r="J401" i="17" a="1"/>
  <c r="J401" i="17"/>
  <c r="J402" i="17" a="1"/>
  <c r="J402" i="17" s="1"/>
  <c r="J403" i="17" a="1"/>
  <c r="J403" i="17"/>
  <c r="J404" i="17" a="1"/>
  <c r="J404" i="17" s="1"/>
  <c r="J405" i="17" a="1"/>
  <c r="J405" i="17"/>
  <c r="J406" i="17" a="1"/>
  <c r="J406" i="17"/>
  <c r="J407" i="17" a="1"/>
  <c r="J407" i="17"/>
  <c r="J408" i="17" a="1"/>
  <c r="J408" i="17"/>
  <c r="J409" i="17" a="1"/>
  <c r="J409" i="17"/>
  <c r="J410" i="17" a="1"/>
  <c r="J410" i="17" s="1"/>
  <c r="J411" i="17" a="1"/>
  <c r="J411" i="17"/>
  <c r="J412" i="17" a="1"/>
  <c r="J412" i="17"/>
  <c r="J413" i="17" a="1"/>
  <c r="J413" i="17"/>
  <c r="J414" i="17" a="1"/>
  <c r="J414" i="17"/>
  <c r="J415" i="17" a="1"/>
  <c r="J415" i="17"/>
  <c r="J416" i="17" a="1"/>
  <c r="J416" i="17"/>
  <c r="J417" i="17" a="1"/>
  <c r="J417" i="17"/>
  <c r="J418" i="17" a="1"/>
  <c r="J418" i="17" s="1"/>
  <c r="J419" i="17" a="1"/>
  <c r="J419" i="17"/>
  <c r="J420" i="17" a="1"/>
  <c r="J420" i="17" s="1"/>
  <c r="J421" i="17" a="1"/>
  <c r="J421" i="17"/>
  <c r="J422" i="17" a="1"/>
  <c r="J422" i="17"/>
  <c r="J423" i="17" a="1"/>
  <c r="J423" i="17"/>
  <c r="J424" i="17" a="1"/>
  <c r="J424" i="17"/>
  <c r="J425" i="17" a="1"/>
  <c r="J425" i="17"/>
  <c r="J426" i="17" a="1"/>
  <c r="J426" i="17" s="1"/>
  <c r="J427" i="17" a="1"/>
  <c r="J427" i="17"/>
  <c r="J428" i="17" a="1"/>
  <c r="J428" i="17"/>
  <c r="J429" i="17" a="1"/>
  <c r="J429" i="17"/>
  <c r="J430" i="17" a="1"/>
  <c r="J430" i="17"/>
  <c r="J431" i="17" a="1"/>
  <c r="J431" i="17"/>
  <c r="J432" i="17" a="1"/>
  <c r="J432" i="17"/>
  <c r="J433" i="17" a="1"/>
  <c r="J433" i="17"/>
  <c r="J434" i="17" a="1"/>
  <c r="J434" i="17" s="1"/>
  <c r="J435" i="17" a="1"/>
  <c r="J435" i="17"/>
  <c r="J436" i="17" a="1"/>
  <c r="J436" i="17" s="1"/>
  <c r="J437" i="17" a="1"/>
  <c r="J437" i="17"/>
  <c r="J438" i="17" a="1"/>
  <c r="J438" i="17"/>
  <c r="J439" i="17" a="1"/>
  <c r="J439" i="17"/>
  <c r="J440" i="17" a="1"/>
  <c r="J440" i="17"/>
  <c r="J441" i="17" a="1"/>
  <c r="J441" i="17"/>
  <c r="J442" i="17" a="1"/>
  <c r="J442" i="17" s="1"/>
  <c r="J443" i="17" a="1"/>
  <c r="J443" i="17"/>
  <c r="J444" i="17" a="1"/>
  <c r="J444" i="17" s="1"/>
  <c r="J445" i="17" a="1"/>
  <c r="J445" i="17"/>
  <c r="J446" i="17" a="1"/>
  <c r="J446" i="17"/>
  <c r="J447" i="17" a="1"/>
  <c r="J447" i="17"/>
  <c r="J448" i="17" a="1"/>
  <c r="J448" i="17"/>
  <c r="J449" i="17" a="1"/>
  <c r="J449" i="17"/>
  <c r="J450" i="17" a="1"/>
  <c r="J450" i="17" s="1"/>
  <c r="J451" i="17" a="1"/>
  <c r="J451" i="17"/>
  <c r="J452" i="17" a="1"/>
  <c r="J452" i="17" s="1"/>
  <c r="M9" i="13"/>
  <c r="T12" i="14"/>
  <c r="S12" i="14"/>
  <c r="R12" i="14"/>
  <c r="Q12" i="14"/>
  <c r="P12" i="14"/>
  <c r="A3" i="14"/>
  <c r="A4" i="14" s="1"/>
  <c r="A5" i="14" s="1"/>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A204" i="14" s="1"/>
  <c r="A205" i="14" s="1"/>
  <c r="A206" i="14" s="1"/>
  <c r="A207" i="14" s="1"/>
  <c r="A208" i="14" s="1"/>
  <c r="A209" i="14" s="1"/>
  <c r="A210" i="14" s="1"/>
  <c r="A211" i="14" s="1"/>
  <c r="A212" i="14" s="1"/>
  <c r="A213" i="14" s="1"/>
  <c r="A214" i="14" s="1"/>
  <c r="A215" i="14" s="1"/>
  <c r="A216" i="14" s="1"/>
  <c r="A217" i="14" s="1"/>
  <c r="A218" i="14" s="1"/>
  <c r="A219" i="14" s="1"/>
  <c r="A220" i="14" s="1"/>
  <c r="A221" i="14" s="1"/>
  <c r="A222" i="14" s="1"/>
  <c r="A223" i="14" s="1"/>
  <c r="A224" i="14" s="1"/>
  <c r="A225" i="14" s="1"/>
  <c r="A226" i="14" s="1"/>
  <c r="A227" i="14" s="1"/>
  <c r="A228" i="14" s="1"/>
  <c r="A229" i="14" s="1"/>
  <c r="A230" i="14" s="1"/>
  <c r="A231" i="14" s="1"/>
  <c r="A232" i="14" s="1"/>
  <c r="A233" i="14" s="1"/>
  <c r="A234" i="14" s="1"/>
  <c r="A235" i="14" s="1"/>
  <c r="A236" i="14" s="1"/>
  <c r="A237" i="14" s="1"/>
  <c r="A238" i="14" s="1"/>
  <c r="A239" i="14" s="1"/>
  <c r="A240" i="14" s="1"/>
  <c r="A241" i="14" s="1"/>
  <c r="A242" i="14" s="1"/>
  <c r="A243" i="14" s="1"/>
  <c r="A244" i="14" s="1"/>
  <c r="A245" i="14" s="1"/>
  <c r="A246" i="14" s="1"/>
  <c r="A247" i="14" s="1"/>
  <c r="A248" i="14" s="1"/>
  <c r="A249" i="14" s="1"/>
  <c r="A250" i="14" s="1"/>
  <c r="A251" i="14" s="1"/>
  <c r="A252" i="14" s="1"/>
  <c r="A253" i="14" s="1"/>
  <c r="A254" i="14" s="1"/>
  <c r="A255" i="14" s="1"/>
  <c r="A256" i="14" s="1"/>
  <c r="A257" i="14" s="1"/>
  <c r="A258" i="14" s="1"/>
  <c r="A259" i="14" s="1"/>
  <c r="A260" i="14" s="1"/>
  <c r="A261" i="14" s="1"/>
  <c r="A262" i="14" s="1"/>
  <c r="A263" i="14" s="1"/>
  <c r="A264" i="14" s="1"/>
  <c r="A265" i="14" s="1"/>
  <c r="A266" i="14" s="1"/>
  <c r="A267" i="14" s="1"/>
  <c r="A268" i="14" s="1"/>
  <c r="A269" i="14" s="1"/>
  <c r="A270" i="14" s="1"/>
  <c r="A271" i="14" s="1"/>
  <c r="A272" i="14" s="1"/>
  <c r="A273" i="14" s="1"/>
  <c r="A274" i="14" s="1"/>
  <c r="A275" i="14" s="1"/>
  <c r="A276" i="14" s="1"/>
  <c r="A277" i="14" s="1"/>
  <c r="A278" i="14" s="1"/>
  <c r="A279" i="14" s="1"/>
  <c r="A280" i="14" s="1"/>
  <c r="A281" i="14" s="1"/>
  <c r="A282" i="14" s="1"/>
  <c r="A283" i="14" s="1"/>
  <c r="A284" i="14" s="1"/>
  <c r="A285" i="14" s="1"/>
  <c r="A286" i="14" s="1"/>
  <c r="A287" i="14" s="1"/>
  <c r="A288" i="14" s="1"/>
  <c r="A289" i="14" s="1"/>
  <c r="A290" i="14" s="1"/>
  <c r="A291" i="14" s="1"/>
  <c r="A292" i="14" s="1"/>
  <c r="A293" i="14" s="1"/>
  <c r="A294" i="14" s="1"/>
  <c r="A295" i="14" s="1"/>
  <c r="A296" i="14" s="1"/>
  <c r="A297" i="14" s="1"/>
  <c r="A298" i="14" s="1"/>
  <c r="A299" i="14" s="1"/>
  <c r="A300" i="14" s="1"/>
  <c r="A301" i="14" s="1"/>
  <c r="A302" i="14" s="1"/>
  <c r="A303" i="14" s="1"/>
  <c r="A304" i="14" s="1"/>
  <c r="A305" i="14" s="1"/>
  <c r="A306" i="14" s="1"/>
  <c r="A307" i="14" s="1"/>
  <c r="A308" i="14" s="1"/>
  <c r="A309" i="14" s="1"/>
  <c r="A310" i="14" s="1"/>
  <c r="A311" i="14" s="1"/>
  <c r="A312" i="14" s="1"/>
  <c r="A313" i="14" s="1"/>
  <c r="A314" i="14" s="1"/>
  <c r="A315" i="14" s="1"/>
  <c r="A316" i="14" s="1"/>
  <c r="A317" i="14" s="1"/>
  <c r="A4" i="11"/>
  <c r="A5" i="1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74" i="11" s="1"/>
  <c r="A175" i="11" s="1"/>
  <c r="A176" i="11" s="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99" i="11" s="1"/>
  <c r="A200" i="11" s="1"/>
  <c r="A201" i="11" s="1"/>
  <c r="A202" i="11" s="1"/>
  <c r="A203" i="11" s="1"/>
  <c r="A204" i="11" s="1"/>
  <c r="A205" i="11" s="1"/>
  <c r="A206" i="11" s="1"/>
  <c r="A207" i="11" s="1"/>
  <c r="A208" i="11" s="1"/>
  <c r="A209" i="11" s="1"/>
  <c r="A210" i="11" s="1"/>
  <c r="A211" i="11" s="1"/>
  <c r="A212" i="11" s="1"/>
  <c r="A213" i="11" s="1"/>
  <c r="A214" i="11" s="1"/>
  <c r="A215" i="11" s="1"/>
  <c r="A216" i="11" s="1"/>
  <c r="A217" i="11" s="1"/>
  <c r="A218" i="11" s="1"/>
  <c r="A219" i="11" s="1"/>
  <c r="A220" i="11" s="1"/>
  <c r="A221" i="11" s="1"/>
  <c r="A222" i="11" s="1"/>
  <c r="A223" i="11" s="1"/>
  <c r="A224" i="11" s="1"/>
  <c r="A225" i="11" s="1"/>
  <c r="A226" i="11" s="1"/>
  <c r="A227" i="11" s="1"/>
  <c r="A228" i="11" s="1"/>
  <c r="A229" i="11" s="1"/>
  <c r="A230" i="11" s="1"/>
  <c r="A231" i="11" s="1"/>
  <c r="A232" i="11" s="1"/>
  <c r="A233" i="11" s="1"/>
  <c r="A234" i="11" s="1"/>
  <c r="A235" i="11" s="1"/>
  <c r="A236" i="11" s="1"/>
  <c r="A237" i="11" s="1"/>
  <c r="A238" i="11" s="1"/>
  <c r="A239" i="11" s="1"/>
  <c r="A240" i="11" s="1"/>
  <c r="A241" i="11" s="1"/>
  <c r="A242" i="11" s="1"/>
  <c r="A243" i="11" s="1"/>
  <c r="A244" i="11" s="1"/>
  <c r="A245" i="11" s="1"/>
  <c r="A246" i="11" s="1"/>
  <c r="A247" i="11" s="1"/>
  <c r="A248" i="11" s="1"/>
  <c r="A249" i="11" s="1"/>
  <c r="A250" i="11" s="1"/>
  <c r="A251" i="11" s="1"/>
  <c r="A252" i="11" s="1"/>
  <c r="A253" i="11" s="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81" i="11" s="1"/>
  <c r="A282" i="11" s="1"/>
  <c r="A283" i="11" s="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A326" i="11" s="1"/>
  <c r="A327" i="11" s="1"/>
  <c r="A328" i="11" s="1"/>
  <c r="A329" i="11" s="1"/>
  <c r="A330" i="11" s="1"/>
  <c r="A331" i="11" s="1"/>
  <c r="A332" i="11" s="1"/>
  <c r="A333" i="11" s="1"/>
  <c r="A334" i="11" s="1"/>
  <c r="A335" i="11" s="1"/>
  <c r="A336" i="11" s="1"/>
  <c r="A337" i="11" s="1"/>
  <c r="A338" i="11" s="1"/>
  <c r="A339" i="11" s="1"/>
  <c r="A340" i="11" s="1"/>
  <c r="A341" i="11" s="1"/>
  <c r="A342" i="11" s="1"/>
  <c r="A343" i="11" s="1"/>
  <c r="A344" i="11" s="1"/>
  <c r="A345" i="11" s="1"/>
  <c r="A346" i="11" s="1"/>
  <c r="A347" i="11" s="1"/>
  <c r="A348" i="11" s="1"/>
  <c r="A349" i="11" s="1"/>
  <c r="A350" i="11" s="1"/>
  <c r="A351" i="11" s="1"/>
  <c r="A352" i="11" s="1"/>
  <c r="A353" i="11" s="1"/>
  <c r="A354" i="11" s="1"/>
  <c r="A355" i="11" s="1"/>
  <c r="A356" i="11" s="1"/>
  <c r="A357" i="11" s="1"/>
  <c r="A358" i="11" s="1"/>
  <c r="A359" i="11" s="1"/>
  <c r="A360" i="11" s="1"/>
  <c r="A361" i="11" s="1"/>
  <c r="A362" i="11" s="1"/>
  <c r="A363" i="11" s="1"/>
  <c r="A364" i="11" s="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98" i="11" s="1"/>
  <c r="A399" i="11" s="1"/>
  <c r="A400" i="11" s="1"/>
  <c r="A401" i="11" s="1"/>
  <c r="A402" i="11" s="1"/>
  <c r="A403" i="11" s="1"/>
  <c r="A404" i="11" s="1"/>
  <c r="A405" i="11" s="1"/>
  <c r="A406" i="11" s="1"/>
  <c r="A407" i="11" s="1"/>
  <c r="A408" i="11" s="1"/>
  <c r="A409" i="11" s="1"/>
  <c r="A410" i="11" s="1"/>
  <c r="A411" i="11" s="1"/>
  <c r="A412" i="11" s="1"/>
  <c r="A413" i="11" s="1"/>
  <c r="A414" i="11" s="1"/>
  <c r="A415" i="11" s="1"/>
  <c r="A416" i="11" s="1"/>
  <c r="A417" i="11" s="1"/>
  <c r="A418" i="11" s="1"/>
  <c r="A419" i="11" s="1"/>
  <c r="A420" i="11" s="1"/>
  <c r="A421" i="11" s="1"/>
  <c r="A422" i="11" s="1"/>
  <c r="A423" i="11" s="1"/>
  <c r="A424" i="11" s="1"/>
  <c r="A425" i="11" s="1"/>
  <c r="A426" i="11" s="1"/>
  <c r="A427" i="11" s="1"/>
  <c r="A428" i="11" s="1"/>
  <c r="A429" i="11" s="1"/>
  <c r="A430" i="11" s="1"/>
  <c r="A431" i="11" s="1"/>
  <c r="A432" i="11" s="1"/>
  <c r="A433" i="11" s="1"/>
  <c r="A434" i="11" s="1"/>
  <c r="A435" i="11" s="1"/>
  <c r="A436" i="11" s="1"/>
  <c r="A437" i="11" s="1"/>
  <c r="A438" i="11" s="1"/>
  <c r="A439" i="11" s="1"/>
  <c r="A440" i="11" s="1"/>
  <c r="A441" i="11" s="1"/>
  <c r="A442" i="11" s="1"/>
  <c r="A443" i="11" s="1"/>
  <c r="A444" i="11" s="1"/>
  <c r="A445" i="11" s="1"/>
  <c r="A446" i="11" s="1"/>
  <c r="A447" i="11" s="1"/>
  <c r="A448" i="11" s="1"/>
  <c r="A449" i="11" s="1"/>
  <c r="A450" i="11" s="1"/>
  <c r="A451" i="11" s="1"/>
  <c r="A452" i="11" s="1"/>
  <c r="A3" i="11"/>
  <c r="J317" i="14" a="1"/>
  <c r="J317" i="14" s="1"/>
  <c r="J316" i="14" a="1"/>
  <c r="J316" i="14" s="1"/>
  <c r="J315" i="14" a="1"/>
  <c r="J315" i="14" s="1"/>
  <c r="J314" i="14" a="1"/>
  <c r="J314" i="14" s="1"/>
  <c r="J313" i="14" a="1"/>
  <c r="J313" i="14" s="1"/>
  <c r="J312" i="14" a="1"/>
  <c r="J312" i="14" s="1"/>
  <c r="J311" i="14" a="1"/>
  <c r="J311" i="14" s="1"/>
  <c r="J310" i="14" a="1"/>
  <c r="J310" i="14" s="1"/>
  <c r="J309" i="14" a="1"/>
  <c r="J309" i="14" s="1"/>
  <c r="J308" i="14" a="1"/>
  <c r="J308" i="14" s="1"/>
  <c r="J307" i="14" a="1"/>
  <c r="J307" i="14" s="1"/>
  <c r="J306" i="14" a="1"/>
  <c r="J306" i="14" s="1"/>
  <c r="J305" i="14" a="1"/>
  <c r="J305" i="14" s="1"/>
  <c r="J304" i="14" a="1"/>
  <c r="J304" i="14" s="1"/>
  <c r="J303" i="14" a="1"/>
  <c r="J303" i="14" s="1"/>
  <c r="J302" i="14" a="1"/>
  <c r="J302" i="14" s="1"/>
  <c r="J301" i="14" a="1"/>
  <c r="J301" i="14" s="1"/>
  <c r="J300" i="14" a="1"/>
  <c r="J300" i="14" s="1"/>
  <c r="J299" i="14" a="1"/>
  <c r="J299" i="14" s="1"/>
  <c r="J298" i="14" a="1"/>
  <c r="J298" i="14" s="1"/>
  <c r="J297" i="14" a="1"/>
  <c r="J297" i="14" s="1"/>
  <c r="J296" i="14" a="1"/>
  <c r="J296" i="14" s="1"/>
  <c r="J295" i="14" a="1"/>
  <c r="J295" i="14" s="1"/>
  <c r="J294" i="14" a="1"/>
  <c r="J294" i="14" s="1"/>
  <c r="J293" i="14" a="1"/>
  <c r="J293" i="14" s="1"/>
  <c r="J292" i="14" a="1"/>
  <c r="J292" i="14" s="1"/>
  <c r="J291" i="14" a="1"/>
  <c r="J291" i="14" s="1"/>
  <c r="J290" i="14" a="1"/>
  <c r="J290" i="14" s="1"/>
  <c r="J289" i="14" a="1"/>
  <c r="J289" i="14" s="1"/>
  <c r="J288" i="14" a="1"/>
  <c r="J288" i="14" s="1"/>
  <c r="J287" i="14" a="1"/>
  <c r="J287" i="14" s="1"/>
  <c r="J286" i="14" a="1"/>
  <c r="J286" i="14" s="1"/>
  <c r="J285" i="14" a="1"/>
  <c r="J285" i="14" s="1"/>
  <c r="J284" i="14" a="1"/>
  <c r="J284" i="14" s="1"/>
  <c r="J283" i="14" a="1"/>
  <c r="J283" i="14" s="1"/>
  <c r="J282" i="14" a="1"/>
  <c r="J282" i="14" s="1"/>
  <c r="J281" i="14" a="1"/>
  <c r="J281" i="14" s="1"/>
  <c r="J280" i="14" a="1"/>
  <c r="J280" i="14" s="1"/>
  <c r="J279" i="14" a="1"/>
  <c r="J279" i="14" s="1"/>
  <c r="J278" i="14" a="1"/>
  <c r="J278" i="14" s="1"/>
  <c r="J277" i="14" a="1"/>
  <c r="J277" i="14" s="1"/>
  <c r="J276" i="14" a="1"/>
  <c r="J276" i="14" s="1"/>
  <c r="J275" i="14" a="1"/>
  <c r="J275" i="14" s="1"/>
  <c r="J274" i="14" a="1"/>
  <c r="J274" i="14" s="1"/>
  <c r="J273" i="14" a="1"/>
  <c r="J273" i="14" s="1"/>
  <c r="J272" i="14" a="1"/>
  <c r="J272" i="14" s="1"/>
  <c r="J271" i="14" a="1"/>
  <c r="J271" i="14" s="1"/>
  <c r="J270" i="14" a="1"/>
  <c r="J270" i="14" s="1"/>
  <c r="J269" i="14" a="1"/>
  <c r="J269" i="14" s="1"/>
  <c r="J268" i="14" a="1"/>
  <c r="J268" i="14" s="1"/>
  <c r="J267" i="14" a="1"/>
  <c r="J267" i="14" s="1"/>
  <c r="J266" i="14" a="1"/>
  <c r="J266" i="14" s="1"/>
  <c r="J265" i="14" a="1"/>
  <c r="J265" i="14" s="1"/>
  <c r="J264" i="14" a="1"/>
  <c r="J264" i="14" s="1"/>
  <c r="J263" i="14" a="1"/>
  <c r="J263" i="14" s="1"/>
  <c r="J262" i="14" a="1"/>
  <c r="J262" i="14" s="1"/>
  <c r="J261" i="14" a="1"/>
  <c r="J261" i="14" s="1"/>
  <c r="J260" i="14" a="1"/>
  <c r="J260" i="14" s="1"/>
  <c r="J259" i="14" a="1"/>
  <c r="J259" i="14" s="1"/>
  <c r="J258" i="14" a="1"/>
  <c r="J258" i="14" s="1"/>
  <c r="J257" i="14" a="1"/>
  <c r="J257" i="14" s="1"/>
  <c r="J256" i="14" a="1"/>
  <c r="J256" i="14" s="1"/>
  <c r="J255" i="14" a="1"/>
  <c r="J255" i="14" s="1"/>
  <c r="J254" i="14" a="1"/>
  <c r="J254" i="14" s="1"/>
  <c r="J253" i="14" a="1"/>
  <c r="J253" i="14" s="1"/>
  <c r="J252" i="14" a="1"/>
  <c r="J252" i="14" s="1"/>
  <c r="J251" i="14" a="1"/>
  <c r="J251" i="14" s="1"/>
  <c r="J250" i="14" a="1"/>
  <c r="J250" i="14" s="1"/>
  <c r="J249" i="14" a="1"/>
  <c r="J249" i="14" s="1"/>
  <c r="J248" i="14" a="1"/>
  <c r="J248" i="14" s="1"/>
  <c r="J247" i="14" a="1"/>
  <c r="J247" i="14" s="1"/>
  <c r="J246" i="14" a="1"/>
  <c r="J246" i="14" s="1"/>
  <c r="J245" i="14" a="1"/>
  <c r="J245" i="14" s="1"/>
  <c r="J244" i="14" a="1"/>
  <c r="J244" i="14" s="1"/>
  <c r="J243" i="14" a="1"/>
  <c r="J243" i="14" s="1"/>
  <c r="J242" i="14" a="1"/>
  <c r="J242" i="14" s="1"/>
  <c r="J241" i="14" a="1"/>
  <c r="J241" i="14" s="1"/>
  <c r="J240" i="14" a="1"/>
  <c r="J240" i="14" s="1"/>
  <c r="J239" i="14" a="1"/>
  <c r="J239" i="14" s="1"/>
  <c r="J238" i="14" a="1"/>
  <c r="J238" i="14" s="1"/>
  <c r="J237" i="14" a="1"/>
  <c r="J237" i="14" s="1"/>
  <c r="J236" i="14" a="1"/>
  <c r="J236" i="14" s="1"/>
  <c r="J235" i="14" a="1"/>
  <c r="J235" i="14" s="1"/>
  <c r="J234" i="14" a="1"/>
  <c r="J234" i="14" s="1"/>
  <c r="J233" i="14" a="1"/>
  <c r="J233" i="14" s="1"/>
  <c r="J232" i="14" a="1"/>
  <c r="J232" i="14" s="1"/>
  <c r="J231" i="14" a="1"/>
  <c r="J231" i="14" s="1"/>
  <c r="J230" i="14" a="1"/>
  <c r="J230" i="14" s="1"/>
  <c r="J229" i="14" a="1"/>
  <c r="J229" i="14" s="1"/>
  <c r="J228" i="14" a="1"/>
  <c r="J228" i="14" s="1"/>
  <c r="J227" i="14" a="1"/>
  <c r="J227" i="14" s="1"/>
  <c r="J226" i="14" a="1"/>
  <c r="J226" i="14" s="1"/>
  <c r="J225" i="14" a="1"/>
  <c r="J225" i="14" s="1"/>
  <c r="J224" i="14" a="1"/>
  <c r="J224" i="14" s="1"/>
  <c r="J223" i="14" a="1"/>
  <c r="J223" i="14" s="1"/>
  <c r="J222" i="14" a="1"/>
  <c r="J222" i="14" s="1"/>
  <c r="J221" i="14" a="1"/>
  <c r="J221" i="14" s="1"/>
  <c r="J220" i="14" a="1"/>
  <c r="J220" i="14" s="1"/>
  <c r="J219" i="14" a="1"/>
  <c r="J219" i="14" s="1"/>
  <c r="J218" i="14" a="1"/>
  <c r="J218" i="14" s="1"/>
  <c r="J217" i="14" a="1"/>
  <c r="J217" i="14" s="1"/>
  <c r="J216" i="14" a="1"/>
  <c r="J216" i="14" s="1"/>
  <c r="J215" i="14" a="1"/>
  <c r="J215" i="14" s="1"/>
  <c r="J214" i="14" a="1"/>
  <c r="J214" i="14" s="1"/>
  <c r="J213" i="14" a="1"/>
  <c r="J213" i="14" s="1"/>
  <c r="J212" i="14" a="1"/>
  <c r="J212" i="14" s="1"/>
  <c r="J211" i="14" a="1"/>
  <c r="J211" i="14" s="1"/>
  <c r="J210" i="14" a="1"/>
  <c r="J210" i="14" s="1"/>
  <c r="J209" i="14" a="1"/>
  <c r="J209" i="14" s="1"/>
  <c r="J208" i="14" a="1"/>
  <c r="J208" i="14" s="1"/>
  <c r="J207" i="14" a="1"/>
  <c r="J207" i="14" s="1"/>
  <c r="J206" i="14" a="1"/>
  <c r="J206" i="14" s="1"/>
  <c r="J205" i="14" a="1"/>
  <c r="J205" i="14" s="1"/>
  <c r="J204" i="14" a="1"/>
  <c r="J204" i="14" s="1"/>
  <c r="J203" i="14" a="1"/>
  <c r="J203" i="14" s="1"/>
  <c r="J202" i="14" a="1"/>
  <c r="J202" i="14" s="1"/>
  <c r="J201" i="14" a="1"/>
  <c r="J201" i="14" s="1"/>
  <c r="J200" i="14" a="1"/>
  <c r="J200" i="14" s="1"/>
  <c r="J199" i="14" a="1"/>
  <c r="J199" i="14" s="1"/>
  <c r="J198" i="14" a="1"/>
  <c r="J198" i="14" s="1"/>
  <c r="J197" i="14" a="1"/>
  <c r="J197" i="14" s="1"/>
  <c r="J196" i="14" a="1"/>
  <c r="J196" i="14" s="1"/>
  <c r="J195" i="14" a="1"/>
  <c r="J195" i="14" s="1"/>
  <c r="J194" i="14" a="1"/>
  <c r="J194" i="14" s="1"/>
  <c r="J193" i="14" a="1"/>
  <c r="J193" i="14" s="1"/>
  <c r="J192" i="14" a="1"/>
  <c r="J192" i="14" s="1"/>
  <c r="J191" i="14" a="1"/>
  <c r="J191" i="14" s="1"/>
  <c r="J190" i="14" a="1"/>
  <c r="J190" i="14" s="1"/>
  <c r="J189" i="14" a="1"/>
  <c r="J189" i="14" s="1"/>
  <c r="J188" i="14" a="1"/>
  <c r="J188" i="14" s="1"/>
  <c r="J187" i="14" a="1"/>
  <c r="J187" i="14" s="1"/>
  <c r="J186" i="14" a="1"/>
  <c r="J186" i="14" s="1"/>
  <c r="J185" i="14" a="1"/>
  <c r="J185" i="14" s="1"/>
  <c r="J184" i="14" a="1"/>
  <c r="J184" i="14" s="1"/>
  <c r="J183" i="14" a="1"/>
  <c r="J183" i="14" s="1"/>
  <c r="J182" i="14" a="1"/>
  <c r="J182" i="14" s="1"/>
  <c r="J181" i="14" a="1"/>
  <c r="J181" i="14" s="1"/>
  <c r="J180" i="14" a="1"/>
  <c r="J180" i="14" s="1"/>
  <c r="J179" i="14" a="1"/>
  <c r="J179" i="14" s="1"/>
  <c r="J178" i="14" a="1"/>
  <c r="J178" i="14" s="1"/>
  <c r="J177" i="14" a="1"/>
  <c r="J177" i="14" s="1"/>
  <c r="J176" i="14" a="1"/>
  <c r="J176" i="14" s="1"/>
  <c r="J175" i="14" a="1"/>
  <c r="J175" i="14" s="1"/>
  <c r="J174" i="14" a="1"/>
  <c r="J174" i="14" s="1"/>
  <c r="J173" i="14" a="1"/>
  <c r="J173" i="14" s="1"/>
  <c r="J172" i="14" a="1"/>
  <c r="J172" i="14" s="1"/>
  <c r="J171" i="14" a="1"/>
  <c r="J171" i="14" s="1"/>
  <c r="J170" i="14" a="1"/>
  <c r="J170" i="14" s="1"/>
  <c r="J169" i="14" a="1"/>
  <c r="J169" i="14" s="1"/>
  <c r="J168" i="14" a="1"/>
  <c r="J168" i="14" s="1"/>
  <c r="J167" i="14" a="1"/>
  <c r="J167" i="14" s="1"/>
  <c r="J166" i="14" a="1"/>
  <c r="J166" i="14" s="1"/>
  <c r="J165" i="14" a="1"/>
  <c r="J165" i="14" s="1"/>
  <c r="J164" i="14" a="1"/>
  <c r="J164" i="14" s="1"/>
  <c r="J163" i="14" a="1"/>
  <c r="J163" i="14" s="1"/>
  <c r="J162" i="14" a="1"/>
  <c r="J162" i="14" s="1"/>
  <c r="J161" i="14" a="1"/>
  <c r="J161" i="14" s="1"/>
  <c r="J160" i="14" a="1"/>
  <c r="J160" i="14" s="1"/>
  <c r="J159" i="14" a="1"/>
  <c r="J159" i="14" s="1"/>
  <c r="J158" i="14" a="1"/>
  <c r="J158" i="14" s="1"/>
  <c r="J157" i="14" a="1"/>
  <c r="J157" i="14" s="1"/>
  <c r="J156" i="14" a="1"/>
  <c r="J156" i="14" s="1"/>
  <c r="J155" i="14" a="1"/>
  <c r="J155" i="14" s="1"/>
  <c r="J154" i="14" a="1"/>
  <c r="J154" i="14" s="1"/>
  <c r="J153" i="14" a="1"/>
  <c r="J153" i="14" s="1"/>
  <c r="J152" i="14" a="1"/>
  <c r="J152" i="14" s="1"/>
  <c r="J151" i="14" a="1"/>
  <c r="J151" i="14" s="1"/>
  <c r="J150" i="14" a="1"/>
  <c r="J150" i="14" s="1"/>
  <c r="J149" i="14" a="1"/>
  <c r="J149" i="14" s="1"/>
  <c r="J148" i="14" a="1"/>
  <c r="J148" i="14" s="1"/>
  <c r="J147" i="14" a="1"/>
  <c r="J147" i="14" s="1"/>
  <c r="J146" i="14" a="1"/>
  <c r="J146" i="14" s="1"/>
  <c r="J145" i="14" a="1"/>
  <c r="J145" i="14" s="1"/>
  <c r="J144" i="14" a="1"/>
  <c r="J144" i="14" s="1"/>
  <c r="J143" i="14" a="1"/>
  <c r="J143" i="14" s="1"/>
  <c r="J142" i="14" a="1"/>
  <c r="J142" i="14" s="1"/>
  <c r="J141" i="14" a="1"/>
  <c r="J141" i="14" s="1"/>
  <c r="J140" i="14" a="1"/>
  <c r="J140" i="14" s="1"/>
  <c r="J139" i="14" a="1"/>
  <c r="J139" i="14" s="1"/>
  <c r="J138" i="14" a="1"/>
  <c r="J138" i="14" s="1"/>
  <c r="J137" i="14" a="1"/>
  <c r="J137" i="14" s="1"/>
  <c r="J136" i="14" a="1"/>
  <c r="J136" i="14" s="1"/>
  <c r="J135" i="14" a="1"/>
  <c r="J135" i="14" s="1"/>
  <c r="J134" i="14" a="1"/>
  <c r="J134" i="14" s="1"/>
  <c r="J133" i="14" a="1"/>
  <c r="J133" i="14" s="1"/>
  <c r="J132" i="14" a="1"/>
  <c r="J132" i="14" s="1"/>
  <c r="J131" i="14" a="1"/>
  <c r="J131" i="14" s="1"/>
  <c r="J130" i="14" a="1"/>
  <c r="J130" i="14" s="1"/>
  <c r="J129" i="14" a="1"/>
  <c r="J129" i="14" s="1"/>
  <c r="J128" i="14" a="1"/>
  <c r="J128" i="14" s="1"/>
  <c r="J127" i="14" a="1"/>
  <c r="J127" i="14" s="1"/>
  <c r="J126" i="14" a="1"/>
  <c r="J126" i="14" s="1"/>
  <c r="J125" i="14" a="1"/>
  <c r="J125" i="14" s="1"/>
  <c r="J124" i="14" a="1"/>
  <c r="J124" i="14" s="1"/>
  <c r="J123" i="14" a="1"/>
  <c r="J123" i="14" s="1"/>
  <c r="J122" i="14" a="1"/>
  <c r="J122" i="14" s="1"/>
  <c r="J121" i="14" a="1"/>
  <c r="J121" i="14" s="1"/>
  <c r="J120" i="14" a="1"/>
  <c r="J120" i="14" s="1"/>
  <c r="J119" i="14" a="1"/>
  <c r="J119" i="14" s="1"/>
  <c r="J118" i="14" a="1"/>
  <c r="J118" i="14" s="1"/>
  <c r="J117" i="14" a="1"/>
  <c r="J117" i="14" s="1"/>
  <c r="J116" i="14" a="1"/>
  <c r="J116" i="14" s="1"/>
  <c r="J115" i="14" a="1"/>
  <c r="J115" i="14" s="1"/>
  <c r="J114" i="14" a="1"/>
  <c r="J114" i="14" s="1"/>
  <c r="J113" i="14" a="1"/>
  <c r="J113" i="14" s="1"/>
  <c r="J112" i="14" a="1"/>
  <c r="J112" i="14" s="1"/>
  <c r="J111" i="14" a="1"/>
  <c r="J111" i="14" s="1"/>
  <c r="J110" i="14" a="1"/>
  <c r="J110" i="14" s="1"/>
  <c r="J109" i="14" a="1"/>
  <c r="J109" i="14" s="1"/>
  <c r="J108" i="14" a="1"/>
  <c r="J108" i="14" s="1"/>
  <c r="J107" i="14" a="1"/>
  <c r="J107" i="14" s="1"/>
  <c r="J106" i="14" a="1"/>
  <c r="J106" i="14" s="1"/>
  <c r="J105" i="14" a="1"/>
  <c r="J105" i="14" s="1"/>
  <c r="J104" i="14" a="1"/>
  <c r="J104" i="14" s="1"/>
  <c r="J103" i="14" a="1"/>
  <c r="J103" i="14" s="1"/>
  <c r="J102" i="14" a="1"/>
  <c r="J102" i="14" s="1"/>
  <c r="J101" i="14" a="1"/>
  <c r="J101" i="14" s="1"/>
  <c r="J100" i="14" a="1"/>
  <c r="J100" i="14" s="1"/>
  <c r="J99" i="14" a="1"/>
  <c r="J99" i="14" s="1"/>
  <c r="J98" i="14" a="1"/>
  <c r="J98" i="14" s="1"/>
  <c r="J97" i="14" a="1"/>
  <c r="J97" i="14" s="1"/>
  <c r="J96" i="14" a="1"/>
  <c r="J96" i="14" s="1"/>
  <c r="J95" i="14" a="1"/>
  <c r="J95" i="14" s="1"/>
  <c r="J94" i="14" a="1"/>
  <c r="J94" i="14" s="1"/>
  <c r="J93" i="14" a="1"/>
  <c r="J93" i="14" s="1"/>
  <c r="J92" i="14" a="1"/>
  <c r="J92" i="14" s="1"/>
  <c r="J91" i="14" a="1"/>
  <c r="J91" i="14" s="1"/>
  <c r="J90" i="14" a="1"/>
  <c r="J90" i="14" s="1"/>
  <c r="J89" i="14" a="1"/>
  <c r="J89" i="14" s="1"/>
  <c r="J88" i="14" a="1"/>
  <c r="J88" i="14" s="1"/>
  <c r="J87" i="14" a="1"/>
  <c r="J87" i="14" s="1"/>
  <c r="J86" i="14" a="1"/>
  <c r="J86" i="14" s="1"/>
  <c r="J85" i="14" a="1"/>
  <c r="J85" i="14" s="1"/>
  <c r="J84" i="14" a="1"/>
  <c r="J84" i="14" s="1"/>
  <c r="J83" i="14" a="1"/>
  <c r="J83" i="14" s="1"/>
  <c r="J82" i="14" a="1"/>
  <c r="J82" i="14" s="1"/>
  <c r="J81" i="14" a="1"/>
  <c r="J81" i="14" s="1"/>
  <c r="J80" i="14" a="1"/>
  <c r="J80" i="14" s="1"/>
  <c r="J79" i="14" a="1"/>
  <c r="J79" i="14" s="1"/>
  <c r="J78" i="14" a="1"/>
  <c r="J78" i="14" s="1"/>
  <c r="J77" i="14" a="1"/>
  <c r="J77" i="14" s="1"/>
  <c r="J76" i="14" a="1"/>
  <c r="J76" i="14" s="1"/>
  <c r="J75" i="14" a="1"/>
  <c r="J75" i="14" s="1"/>
  <c r="J74" i="14" a="1"/>
  <c r="J74" i="14" s="1"/>
  <c r="J73" i="14" a="1"/>
  <c r="J73" i="14" s="1"/>
  <c r="J72" i="14" a="1"/>
  <c r="J72" i="14" s="1"/>
  <c r="J71" i="14" a="1"/>
  <c r="J71" i="14" s="1"/>
  <c r="J70" i="14" a="1"/>
  <c r="J70" i="14" s="1"/>
  <c r="J69" i="14" a="1"/>
  <c r="J69" i="14" s="1"/>
  <c r="J68" i="14" a="1"/>
  <c r="J68" i="14" s="1"/>
  <c r="J67" i="14" a="1"/>
  <c r="J67" i="14" s="1"/>
  <c r="J66" i="14" a="1"/>
  <c r="J66" i="14" s="1"/>
  <c r="J65" i="14" a="1"/>
  <c r="J65" i="14" s="1"/>
  <c r="J64" i="14" a="1"/>
  <c r="J64" i="14" s="1"/>
  <c r="J63" i="14" a="1"/>
  <c r="J63" i="14" s="1"/>
  <c r="J62" i="14" a="1"/>
  <c r="J62" i="14" s="1"/>
  <c r="J61" i="14" a="1"/>
  <c r="J61" i="14" s="1"/>
  <c r="J60" i="14" a="1"/>
  <c r="J60" i="14" s="1"/>
  <c r="J59" i="14" a="1"/>
  <c r="J59" i="14" s="1"/>
  <c r="J58" i="14" a="1"/>
  <c r="J58" i="14" s="1"/>
  <c r="J57" i="14" a="1"/>
  <c r="J57" i="14" s="1"/>
  <c r="J56" i="14" a="1"/>
  <c r="J56" i="14" s="1"/>
  <c r="J55" i="14" a="1"/>
  <c r="J55" i="14" s="1"/>
  <c r="J54" i="14" a="1"/>
  <c r="J54" i="14" s="1"/>
  <c r="J53" i="14" a="1"/>
  <c r="J53" i="14" s="1"/>
  <c r="J52" i="14" a="1"/>
  <c r="J52" i="14" s="1"/>
  <c r="J51" i="14" a="1"/>
  <c r="J51" i="14" s="1"/>
  <c r="J50" i="14" a="1"/>
  <c r="J50" i="14" s="1"/>
  <c r="J49" i="14" a="1"/>
  <c r="J49" i="14" s="1"/>
  <c r="J48" i="14" a="1"/>
  <c r="J48" i="14" s="1"/>
  <c r="J47" i="14" a="1"/>
  <c r="J47" i="14" s="1"/>
  <c r="J46" i="14" a="1"/>
  <c r="J46" i="14" s="1"/>
  <c r="J45" i="14" a="1"/>
  <c r="J45" i="14" s="1"/>
  <c r="J44" i="14" a="1"/>
  <c r="J44" i="14" s="1"/>
  <c r="J43" i="14" a="1"/>
  <c r="J43" i="14" s="1"/>
  <c r="J42" i="14" a="1"/>
  <c r="J42" i="14" s="1"/>
  <c r="J41" i="14" a="1"/>
  <c r="J41" i="14" s="1"/>
  <c r="J40" i="14" a="1"/>
  <c r="J40" i="14" s="1"/>
  <c r="J39" i="14" a="1"/>
  <c r="J39" i="14" s="1"/>
  <c r="J38" i="14" a="1"/>
  <c r="J38" i="14" s="1"/>
  <c r="J37" i="14" a="1"/>
  <c r="J37" i="14" s="1"/>
  <c r="J36" i="14" a="1"/>
  <c r="J36" i="14" s="1"/>
  <c r="J35" i="14" a="1"/>
  <c r="J35" i="14" s="1"/>
  <c r="J34" i="14" a="1"/>
  <c r="J34" i="14" s="1"/>
  <c r="J33" i="14" a="1"/>
  <c r="J33" i="14" s="1"/>
  <c r="J32" i="14" a="1"/>
  <c r="J32" i="14" s="1"/>
  <c r="J31" i="14" a="1"/>
  <c r="J31" i="14" s="1"/>
  <c r="J30" i="14" a="1"/>
  <c r="J30" i="14" s="1"/>
  <c r="J29" i="14" a="1"/>
  <c r="J29" i="14" s="1"/>
  <c r="J28" i="14" a="1"/>
  <c r="J28" i="14" s="1"/>
  <c r="J27" i="14" a="1"/>
  <c r="J27" i="14" s="1"/>
  <c r="J26" i="14" a="1"/>
  <c r="J26" i="14" s="1"/>
  <c r="J25" i="14" a="1"/>
  <c r="J25" i="14" s="1"/>
  <c r="J24" i="14" a="1"/>
  <c r="J24" i="14" s="1"/>
  <c r="J23" i="14" a="1"/>
  <c r="J23" i="14" s="1"/>
  <c r="J22" i="14" a="1"/>
  <c r="J22" i="14" s="1"/>
  <c r="J21" i="14" a="1"/>
  <c r="J21" i="14" s="1"/>
  <c r="J20" i="14" a="1"/>
  <c r="J20" i="14" s="1"/>
  <c r="J19" i="14" a="1"/>
  <c r="J19" i="14" s="1"/>
  <c r="J18" i="14" a="1"/>
  <c r="J18" i="14" s="1"/>
  <c r="J17" i="14" a="1"/>
  <c r="J17" i="14" s="1"/>
  <c r="J16" i="14" a="1"/>
  <c r="J16" i="14" s="1"/>
  <c r="J15" i="14" a="1"/>
  <c r="J15" i="14" s="1"/>
  <c r="J14" i="14" a="1"/>
  <c r="J14" i="14" s="1"/>
  <c r="J13" i="14" a="1"/>
  <c r="J13" i="14" s="1"/>
  <c r="U12" i="14"/>
  <c r="J12" i="14" a="1"/>
  <c r="J12" i="14" s="1"/>
  <c r="J11" i="14" a="1"/>
  <c r="J11" i="14" s="1"/>
  <c r="J10" i="14" a="1"/>
  <c r="J10" i="14" s="1"/>
  <c r="J9" i="14" a="1"/>
  <c r="J9" i="14" s="1"/>
  <c r="J8" i="14" a="1"/>
  <c r="J8" i="14" s="1"/>
  <c r="J7" i="14" a="1"/>
  <c r="J7" i="14" s="1"/>
  <c r="J6" i="14" a="1"/>
  <c r="J6" i="14" s="1"/>
  <c r="J5" i="14" a="1"/>
  <c r="J5" i="14" s="1"/>
  <c r="J4" i="14" a="1"/>
  <c r="J4" i="14" s="1"/>
  <c r="J3" i="14" a="1"/>
  <c r="J3" i="14" s="1"/>
  <c r="J2" i="14" a="1"/>
  <c r="J2" i="14" s="1"/>
  <c r="T12" i="11"/>
  <c r="R9" i="11"/>
  <c r="Q12" i="11"/>
  <c r="Q7" i="11"/>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A77" i="13" s="1"/>
  <c r="A78" i="13" s="1"/>
  <c r="A79" i="13" s="1"/>
  <c r="A80" i="13" s="1"/>
  <c r="A81" i="13" s="1"/>
  <c r="A82" i="13" s="1"/>
  <c r="A83" i="13" s="1"/>
  <c r="A84" i="13" s="1"/>
  <c r="A85" i="13" s="1"/>
  <c r="A86" i="13" s="1"/>
  <c r="A87" i="13" s="1"/>
  <c r="A88" i="13" s="1"/>
  <c r="A89" i="13" s="1"/>
  <c r="A90" i="13" s="1"/>
  <c r="A91" i="13" s="1"/>
  <c r="A92" i="13" s="1"/>
  <c r="A93" i="13" s="1"/>
  <c r="A94" i="13" s="1"/>
  <c r="A95" i="13" s="1"/>
  <c r="A96" i="13" s="1"/>
  <c r="A97" i="13" s="1"/>
  <c r="A98" i="13" s="1"/>
  <c r="A99" i="13" s="1"/>
  <c r="A100" i="13" s="1"/>
  <c r="A101" i="13" s="1"/>
  <c r="A102" i="13" s="1"/>
  <c r="A103" i="13" s="1"/>
  <c r="A104" i="13" s="1"/>
  <c r="A105" i="13" s="1"/>
  <c r="A106" i="13" s="1"/>
  <c r="A107" i="13" s="1"/>
  <c r="A108" i="13" s="1"/>
  <c r="A109" i="13" s="1"/>
  <c r="A110" i="13" s="1"/>
  <c r="A111" i="13" s="1"/>
  <c r="A112" i="13" s="1"/>
  <c r="A113" i="13" s="1"/>
  <c r="A114" i="13" s="1"/>
  <c r="A115" i="13" s="1"/>
  <c r="A116" i="13" s="1"/>
  <c r="A117" i="13" s="1"/>
  <c r="A118" i="13" s="1"/>
  <c r="A119" i="13" s="1"/>
  <c r="A120" i="13" s="1"/>
  <c r="A121" i="13" s="1"/>
  <c r="A122" i="13" s="1"/>
  <c r="A123" i="13" s="1"/>
  <c r="A124" i="13" s="1"/>
  <c r="A125" i="13" s="1"/>
  <c r="A126" i="13" s="1"/>
  <c r="A127" i="13" s="1"/>
  <c r="A128" i="13" s="1"/>
  <c r="A129" i="13" s="1"/>
  <c r="A130" i="13" s="1"/>
  <c r="A131" i="13" s="1"/>
  <c r="A132" i="13" s="1"/>
  <c r="A133" i="13" s="1"/>
  <c r="A134" i="13" s="1"/>
  <c r="A135" i="13" s="1"/>
  <c r="A136" i="13" s="1"/>
  <c r="A137" i="13" s="1"/>
  <c r="A138" i="13" s="1"/>
  <c r="A139" i="13" s="1"/>
  <c r="A140" i="13" s="1"/>
  <c r="A141" i="13" s="1"/>
  <c r="A142" i="13" s="1"/>
  <c r="A143" i="13" s="1"/>
  <c r="A144" i="13" s="1"/>
  <c r="A145" i="13" s="1"/>
  <c r="A146" i="13" s="1"/>
  <c r="A147" i="13" s="1"/>
  <c r="A148" i="13" s="1"/>
  <c r="A149" i="13" s="1"/>
  <c r="A150" i="13" s="1"/>
  <c r="A151" i="13" s="1"/>
  <c r="A152" i="13" s="1"/>
  <c r="A153" i="13" s="1"/>
  <c r="A154" i="13" s="1"/>
  <c r="A155" i="13" s="1"/>
  <c r="A156" i="13" s="1"/>
  <c r="A157" i="13" s="1"/>
  <c r="A158" i="13" s="1"/>
  <c r="A159" i="13" s="1"/>
  <c r="A160" i="13" s="1"/>
  <c r="A161" i="13" s="1"/>
  <c r="A162" i="13" s="1"/>
  <c r="A163" i="13" s="1"/>
  <c r="A164" i="13" s="1"/>
  <c r="A165" i="13" s="1"/>
  <c r="A166" i="13" s="1"/>
  <c r="A167" i="13" s="1"/>
  <c r="A168" i="13" s="1"/>
  <c r="A169" i="13" s="1"/>
  <c r="A170" i="13" s="1"/>
  <c r="A171" i="13" s="1"/>
  <c r="A172" i="13" s="1"/>
  <c r="A173" i="13" s="1"/>
  <c r="A174" i="13" s="1"/>
  <c r="A175" i="13" s="1"/>
  <c r="A176" i="13" s="1"/>
  <c r="A177" i="13" s="1"/>
  <c r="A178" i="13" s="1"/>
  <c r="A179" i="13" s="1"/>
  <c r="A180" i="13" s="1"/>
  <c r="A181" i="13" s="1"/>
  <c r="A182" i="13" s="1"/>
  <c r="A183" i="13" s="1"/>
  <c r="A184" i="13" s="1"/>
  <c r="A185" i="13" s="1"/>
  <c r="A186" i="13" s="1"/>
  <c r="A187" i="13" s="1"/>
  <c r="A188" i="13" s="1"/>
  <c r="A189" i="13" s="1"/>
  <c r="A190" i="13" s="1"/>
  <c r="A191" i="13" s="1"/>
  <c r="A192" i="13" s="1"/>
  <c r="A193" i="13" s="1"/>
  <c r="A194" i="13" s="1"/>
  <c r="A195" i="13" s="1"/>
  <c r="A196" i="13" s="1"/>
  <c r="A197" i="13" s="1"/>
  <c r="A198" i="13" s="1"/>
  <c r="A199" i="13" s="1"/>
  <c r="A200" i="13" s="1"/>
  <c r="A201" i="13" s="1"/>
  <c r="A202" i="13" s="1"/>
  <c r="A203" i="13" s="1"/>
  <c r="A204" i="13" s="1"/>
  <c r="A205" i="13" s="1"/>
  <c r="A206" i="13" s="1"/>
  <c r="A207" i="13" s="1"/>
  <c r="A208" i="13" s="1"/>
  <c r="A209" i="13" s="1"/>
  <c r="A210" i="13" s="1"/>
  <c r="A211" i="13" s="1"/>
  <c r="A212" i="13" s="1"/>
  <c r="A213" i="13" s="1"/>
  <c r="A214" i="13" s="1"/>
  <c r="A215" i="13" s="1"/>
  <c r="A216" i="13" s="1"/>
  <c r="A217" i="13" s="1"/>
  <c r="A218" i="13" s="1"/>
  <c r="A219" i="13" s="1"/>
  <c r="A220" i="13" s="1"/>
  <c r="A221" i="13" s="1"/>
  <c r="A222" i="13" s="1"/>
  <c r="A223" i="13" s="1"/>
  <c r="A224" i="13" s="1"/>
  <c r="A225" i="13" s="1"/>
  <c r="A226" i="13" s="1"/>
  <c r="A227" i="13" s="1"/>
  <c r="A228" i="13" s="1"/>
  <c r="A229" i="13" s="1"/>
  <c r="A230" i="13" s="1"/>
  <c r="A231" i="13" s="1"/>
  <c r="A232" i="13" s="1"/>
  <c r="A233" i="13" s="1"/>
  <c r="A234" i="13" s="1"/>
  <c r="A235" i="13" s="1"/>
  <c r="A236" i="13" s="1"/>
  <c r="A237" i="13" s="1"/>
  <c r="A238" i="13" s="1"/>
  <c r="A239" i="13" s="1"/>
  <c r="A240" i="13" s="1"/>
  <c r="A241" i="13" s="1"/>
  <c r="A242" i="13" s="1"/>
  <c r="A243" i="13" s="1"/>
  <c r="A244" i="13" s="1"/>
  <c r="A245" i="13" s="1"/>
  <c r="A246" i="13" s="1"/>
  <c r="A247" i="13" s="1"/>
  <c r="A248" i="13" s="1"/>
  <c r="A249" i="13" s="1"/>
  <c r="A250" i="13" s="1"/>
  <c r="A251" i="13" s="1"/>
  <c r="A252" i="13" s="1"/>
  <c r="A253" i="13" s="1"/>
  <c r="A254" i="13" s="1"/>
  <c r="A255" i="13" s="1"/>
  <c r="A256" i="13" s="1"/>
  <c r="A257" i="13" s="1"/>
  <c r="A258" i="13" s="1"/>
  <c r="A259" i="13" s="1"/>
  <c r="A260" i="13" s="1"/>
  <c r="A261" i="13" s="1"/>
  <c r="A262" i="13" s="1"/>
  <c r="A263" i="13" s="1"/>
  <c r="A264" i="13" s="1"/>
  <c r="A265" i="13" s="1"/>
  <c r="A266" i="13" s="1"/>
  <c r="A267" i="13" s="1"/>
  <c r="A268" i="13" s="1"/>
  <c r="A269" i="13" s="1"/>
  <c r="A270" i="13" s="1"/>
  <c r="A271" i="13" s="1"/>
  <c r="A272" i="13" s="1"/>
  <c r="A273" i="13" s="1"/>
  <c r="A274" i="13" s="1"/>
  <c r="A275" i="13" s="1"/>
  <c r="A276" i="13" s="1"/>
  <c r="A277" i="13" s="1"/>
  <c r="A278" i="13" s="1"/>
  <c r="A279" i="13" s="1"/>
  <c r="A280" i="13" s="1"/>
  <c r="A281" i="13" s="1"/>
  <c r="A282" i="13" s="1"/>
  <c r="A283" i="13" s="1"/>
  <c r="A284" i="13" s="1"/>
  <c r="A285" i="13" s="1"/>
  <c r="A286" i="13" s="1"/>
  <c r="A287" i="13" s="1"/>
  <c r="A288" i="13" s="1"/>
  <c r="A289" i="13" s="1"/>
  <c r="A290" i="13" s="1"/>
  <c r="A291" i="13" s="1"/>
  <c r="A292" i="13" s="1"/>
  <c r="A293" i="13" s="1"/>
  <c r="A294" i="13" s="1"/>
  <c r="A295" i="13" s="1"/>
  <c r="A296" i="13" s="1"/>
  <c r="A297" i="13" s="1"/>
  <c r="A298" i="13" s="1"/>
  <c r="A299" i="13" s="1"/>
  <c r="A300" i="13" s="1"/>
  <c r="A301" i="13" s="1"/>
  <c r="A302" i="13" s="1"/>
  <c r="A303" i="13" s="1"/>
  <c r="A304" i="13" s="1"/>
  <c r="A305" i="13" s="1"/>
  <c r="A306" i="13" s="1"/>
  <c r="A307" i="13" s="1"/>
  <c r="A308" i="13" s="1"/>
  <c r="A309" i="13" s="1"/>
  <c r="A310" i="13" s="1"/>
  <c r="A311" i="13" s="1"/>
  <c r="A312" i="13" s="1"/>
  <c r="A313" i="13" s="1"/>
  <c r="A314" i="13" s="1"/>
  <c r="A315" i="13" s="1"/>
  <c r="A316" i="13" s="1"/>
  <c r="A317" i="13" s="1"/>
  <c r="A318" i="13" s="1"/>
  <c r="A319" i="13" s="1"/>
  <c r="A320" i="13" s="1"/>
  <c r="A321" i="13" s="1"/>
  <c r="A322" i="13" s="1"/>
  <c r="A323" i="13" s="1"/>
  <c r="A324" i="13" s="1"/>
  <c r="A325" i="13" s="1"/>
  <c r="A326" i="13" s="1"/>
  <c r="A327" i="13" s="1"/>
  <c r="A328" i="13" s="1"/>
  <c r="A329" i="13" s="1"/>
  <c r="A330" i="13" s="1"/>
  <c r="A331" i="13" s="1"/>
  <c r="A332" i="13" s="1"/>
  <c r="A333" i="13" s="1"/>
  <c r="A334" i="13" s="1"/>
  <c r="A335" i="13" s="1"/>
  <c r="A336" i="13" s="1"/>
  <c r="A337" i="13" s="1"/>
  <c r="A338" i="13" s="1"/>
  <c r="A339" i="13" s="1"/>
  <c r="A340" i="13" s="1"/>
  <c r="A341" i="13" s="1"/>
  <c r="A342" i="13" s="1"/>
  <c r="A343" i="13" s="1"/>
  <c r="A344" i="13" s="1"/>
  <c r="A345" i="13" s="1"/>
  <c r="A346" i="13" s="1"/>
  <c r="A347" i="13" s="1"/>
  <c r="A348" i="13" s="1"/>
  <c r="A349" i="13" s="1"/>
  <c r="A350" i="13" s="1"/>
  <c r="A351" i="13" s="1"/>
  <c r="A352" i="13" s="1"/>
  <c r="A353" i="13" s="1"/>
  <c r="A354" i="13" s="1"/>
  <c r="A355" i="13" s="1"/>
  <c r="A356" i="13" s="1"/>
  <c r="A357" i="13" s="1"/>
  <c r="A358" i="13" s="1"/>
  <c r="A359" i="13" s="1"/>
  <c r="A360" i="13" s="1"/>
  <c r="A361" i="13" s="1"/>
  <c r="A362" i="13" s="1"/>
  <c r="A363" i="13" s="1"/>
  <c r="A364" i="13" s="1"/>
  <c r="A365" i="13" s="1"/>
  <c r="A366" i="13" s="1"/>
  <c r="A367" i="13" s="1"/>
  <c r="A368" i="13" s="1"/>
  <c r="A369" i="13" s="1"/>
  <c r="A370" i="13" s="1"/>
  <c r="A371" i="13" s="1"/>
  <c r="A372" i="13" s="1"/>
  <c r="A373" i="13" s="1"/>
  <c r="A374" i="13" s="1"/>
  <c r="A375" i="13" s="1"/>
  <c r="A376" i="13" s="1"/>
  <c r="A377" i="13" s="1"/>
  <c r="A378" i="13" s="1"/>
  <c r="A379" i="13" s="1"/>
  <c r="A380" i="13" s="1"/>
  <c r="A381" i="13" s="1"/>
  <c r="A382" i="13" s="1"/>
  <c r="A383" i="13" s="1"/>
  <c r="A384" i="13" s="1"/>
  <c r="A385" i="13" s="1"/>
  <c r="A386" i="13" s="1"/>
  <c r="A387" i="13" s="1"/>
  <c r="A388" i="13" s="1"/>
  <c r="A389" i="13" s="1"/>
  <c r="A390" i="13" s="1"/>
  <c r="A391" i="13" s="1"/>
  <c r="A392" i="13" s="1"/>
  <c r="A393" i="13" s="1"/>
  <c r="A394" i="13" s="1"/>
  <c r="A395" i="13" s="1"/>
  <c r="A396" i="13" s="1"/>
  <c r="A397" i="13" s="1"/>
  <c r="A398" i="13" s="1"/>
  <c r="A399" i="13" s="1"/>
  <c r="A400" i="13" s="1"/>
  <c r="A401" i="13" s="1"/>
  <c r="A402" i="13" s="1"/>
  <c r="A403" i="13" s="1"/>
  <c r="A404" i="13" s="1"/>
  <c r="A405" i="13" s="1"/>
  <c r="A406" i="13" s="1"/>
  <c r="A407" i="13" s="1"/>
  <c r="A408" i="13" s="1"/>
  <c r="A409" i="13" s="1"/>
  <c r="A410" i="13" s="1"/>
  <c r="A411" i="13" s="1"/>
  <c r="A412" i="13" s="1"/>
  <c r="A413" i="13" s="1"/>
  <c r="A414" i="13" s="1"/>
  <c r="A415" i="13" s="1"/>
  <c r="A416" i="13" s="1"/>
  <c r="A417" i="13" s="1"/>
  <c r="A418" i="13" s="1"/>
  <c r="A419" i="13" s="1"/>
  <c r="A420" i="13" s="1"/>
  <c r="A421" i="13" s="1"/>
  <c r="A422" i="13" s="1"/>
  <c r="A423" i="13" s="1"/>
  <c r="A424" i="13" s="1"/>
  <c r="A425" i="13" s="1"/>
  <c r="A426" i="13" s="1"/>
  <c r="A427" i="13" s="1"/>
  <c r="A428" i="13" s="1"/>
  <c r="A429" i="13" s="1"/>
  <c r="A430" i="13" s="1"/>
  <c r="A431" i="13" s="1"/>
  <c r="A432" i="13" s="1"/>
  <c r="A433" i="13" s="1"/>
  <c r="A434" i="13" s="1"/>
  <c r="A435" i="13" s="1"/>
  <c r="A436" i="13" s="1"/>
  <c r="A437" i="13" s="1"/>
  <c r="A438" i="13" s="1"/>
  <c r="A439" i="13" s="1"/>
  <c r="A440" i="13" s="1"/>
  <c r="A441" i="13" s="1"/>
  <c r="A442" i="13" s="1"/>
  <c r="A443" i="13" s="1"/>
  <c r="A444" i="13" s="1"/>
  <c r="A445" i="13" s="1"/>
  <c r="A446" i="13" s="1"/>
  <c r="A447" i="13" s="1"/>
  <c r="A448" i="13" s="1"/>
  <c r="A449" i="13" s="1"/>
  <c r="A450" i="13" s="1"/>
  <c r="A451" i="13" s="1"/>
  <c r="A452" i="13" s="1"/>
  <c r="M8" i="13"/>
  <c r="I452" i="13" a="1"/>
  <c r="I452" i="13" s="1"/>
  <c r="I451" i="13" a="1"/>
  <c r="I451" i="13" s="1"/>
  <c r="I450" i="13" a="1"/>
  <c r="I450" i="13" s="1"/>
  <c r="I449" i="13" a="1"/>
  <c r="I449" i="13" s="1"/>
  <c r="I448" i="13" a="1"/>
  <c r="I448" i="13" s="1"/>
  <c r="I447" i="13" a="1"/>
  <c r="I447" i="13" s="1"/>
  <c r="I446" i="13" a="1"/>
  <c r="I446" i="13" s="1"/>
  <c r="I445" i="13" a="1"/>
  <c r="I445" i="13" s="1"/>
  <c r="I444" i="13" a="1"/>
  <c r="I444" i="13" s="1"/>
  <c r="I443" i="13" a="1"/>
  <c r="I443" i="13" s="1"/>
  <c r="I442" i="13" a="1"/>
  <c r="I442" i="13" s="1"/>
  <c r="I441" i="13" a="1"/>
  <c r="I441" i="13" s="1"/>
  <c r="I440" i="13" a="1"/>
  <c r="I440" i="13" s="1"/>
  <c r="I439" i="13" a="1"/>
  <c r="I439" i="13" s="1"/>
  <c r="I438" i="13" a="1"/>
  <c r="I438" i="13" s="1"/>
  <c r="I437" i="13" a="1"/>
  <c r="I437" i="13" s="1"/>
  <c r="I436" i="13" a="1"/>
  <c r="I436" i="13" s="1"/>
  <c r="I435" i="13" a="1"/>
  <c r="I435" i="13" s="1"/>
  <c r="I434" i="13" a="1"/>
  <c r="I434" i="13" s="1"/>
  <c r="I433" i="13" a="1"/>
  <c r="I433" i="13" s="1"/>
  <c r="I432" i="13" a="1"/>
  <c r="I432" i="13" s="1"/>
  <c r="I431" i="13" a="1"/>
  <c r="I431" i="13" s="1"/>
  <c r="I430" i="13" a="1"/>
  <c r="I430" i="13" s="1"/>
  <c r="I429" i="13" a="1"/>
  <c r="I429" i="13" s="1"/>
  <c r="I428" i="13" a="1"/>
  <c r="I428" i="13" s="1"/>
  <c r="I427" i="13" a="1"/>
  <c r="I427" i="13" s="1"/>
  <c r="I426" i="13" a="1"/>
  <c r="I426" i="13" s="1"/>
  <c r="I425" i="13" a="1"/>
  <c r="I425" i="13" s="1"/>
  <c r="I424" i="13" a="1"/>
  <c r="I424" i="13" s="1"/>
  <c r="I423" i="13" a="1"/>
  <c r="I423" i="13" s="1"/>
  <c r="I422" i="13" a="1"/>
  <c r="I422" i="13" s="1"/>
  <c r="I421" i="13" a="1"/>
  <c r="I421" i="13" s="1"/>
  <c r="I420" i="13" a="1"/>
  <c r="I420" i="13" s="1"/>
  <c r="I419" i="13" a="1"/>
  <c r="I419" i="13" s="1"/>
  <c r="I418" i="13" a="1"/>
  <c r="I418" i="13" s="1"/>
  <c r="I417" i="13" a="1"/>
  <c r="I417" i="13" s="1"/>
  <c r="I416" i="13" a="1"/>
  <c r="I416" i="13" s="1"/>
  <c r="I415" i="13" a="1"/>
  <c r="I415" i="13" s="1"/>
  <c r="I414" i="13" a="1"/>
  <c r="I414" i="13" s="1"/>
  <c r="I413" i="13" a="1"/>
  <c r="I413" i="13" s="1"/>
  <c r="I412" i="13" a="1"/>
  <c r="I412" i="13" s="1"/>
  <c r="I411" i="13" a="1"/>
  <c r="I411" i="13" s="1"/>
  <c r="I410" i="13" a="1"/>
  <c r="I410" i="13" s="1"/>
  <c r="I409" i="13" a="1"/>
  <c r="I409" i="13" s="1"/>
  <c r="I408" i="13" a="1"/>
  <c r="I408" i="13" s="1"/>
  <c r="I407" i="13" a="1"/>
  <c r="I407" i="13" s="1"/>
  <c r="I406" i="13" a="1"/>
  <c r="I406" i="13" s="1"/>
  <c r="I405" i="13" a="1"/>
  <c r="I405" i="13" s="1"/>
  <c r="I404" i="13" a="1"/>
  <c r="I404" i="13" s="1"/>
  <c r="I403" i="13" a="1"/>
  <c r="I403" i="13" s="1"/>
  <c r="I402" i="13" a="1"/>
  <c r="I402" i="13" s="1"/>
  <c r="I401" i="13" a="1"/>
  <c r="I401" i="13" s="1"/>
  <c r="I400" i="13" a="1"/>
  <c r="I400" i="13" s="1"/>
  <c r="I399" i="13" a="1"/>
  <c r="I399" i="13" s="1"/>
  <c r="I398" i="13" a="1"/>
  <c r="I398" i="13" s="1"/>
  <c r="I397" i="13" a="1"/>
  <c r="I397" i="13" s="1"/>
  <c r="I396" i="13" a="1"/>
  <c r="I396" i="13" s="1"/>
  <c r="I395" i="13" a="1"/>
  <c r="I395" i="13" s="1"/>
  <c r="I394" i="13" a="1"/>
  <c r="I394" i="13" s="1"/>
  <c r="I393" i="13" a="1"/>
  <c r="I393" i="13" s="1"/>
  <c r="I392" i="13" a="1"/>
  <c r="I392" i="13" s="1"/>
  <c r="I391" i="13" a="1"/>
  <c r="I391" i="13" s="1"/>
  <c r="I390" i="13" a="1"/>
  <c r="I390" i="13" s="1"/>
  <c r="I389" i="13" a="1"/>
  <c r="I389" i="13" s="1"/>
  <c r="I388" i="13" a="1"/>
  <c r="I388" i="13" s="1"/>
  <c r="I387" i="13" a="1"/>
  <c r="I387" i="13" s="1"/>
  <c r="I386" i="13" a="1"/>
  <c r="I386" i="13" s="1"/>
  <c r="I385" i="13" a="1"/>
  <c r="I385" i="13" s="1"/>
  <c r="I384" i="13" a="1"/>
  <c r="I384" i="13" s="1"/>
  <c r="I383" i="13" a="1"/>
  <c r="I383" i="13" s="1"/>
  <c r="I382" i="13" a="1"/>
  <c r="I382" i="13" s="1"/>
  <c r="I381" i="13" a="1"/>
  <c r="I381" i="13" s="1"/>
  <c r="I380" i="13" a="1"/>
  <c r="I380" i="13" s="1"/>
  <c r="I379" i="13" a="1"/>
  <c r="I379" i="13" s="1"/>
  <c r="I378" i="13" a="1"/>
  <c r="I378" i="13" s="1"/>
  <c r="I377" i="13" a="1"/>
  <c r="I377" i="13" s="1"/>
  <c r="I376" i="13" a="1"/>
  <c r="I376" i="13" s="1"/>
  <c r="I375" i="13" a="1"/>
  <c r="I375" i="13" s="1"/>
  <c r="I374" i="13" a="1"/>
  <c r="I374" i="13" s="1"/>
  <c r="I373" i="13" a="1"/>
  <c r="I373" i="13" s="1"/>
  <c r="I372" i="13" a="1"/>
  <c r="I372" i="13" s="1"/>
  <c r="I371" i="13" a="1"/>
  <c r="I371" i="13" s="1"/>
  <c r="I370" i="13" a="1"/>
  <c r="I370" i="13" s="1"/>
  <c r="I369" i="13" a="1"/>
  <c r="I369" i="13" s="1"/>
  <c r="I368" i="13" a="1"/>
  <c r="I368" i="13" s="1"/>
  <c r="I367" i="13" a="1"/>
  <c r="I367" i="13" s="1"/>
  <c r="I366" i="13" a="1"/>
  <c r="I366" i="13" s="1"/>
  <c r="I365" i="13" a="1"/>
  <c r="I365" i="13" s="1"/>
  <c r="I364" i="13" a="1"/>
  <c r="I364" i="13" s="1"/>
  <c r="I363" i="13" a="1"/>
  <c r="I363" i="13" s="1"/>
  <c r="I362" i="13" a="1"/>
  <c r="I362" i="13" s="1"/>
  <c r="I361" i="13" a="1"/>
  <c r="I361" i="13" s="1"/>
  <c r="I360" i="13" a="1"/>
  <c r="I360" i="13" s="1"/>
  <c r="I359" i="13" a="1"/>
  <c r="I359" i="13" s="1"/>
  <c r="I358" i="13" a="1"/>
  <c r="I358" i="13" s="1"/>
  <c r="I357" i="13" a="1"/>
  <c r="I357" i="13" s="1"/>
  <c r="I356" i="13" a="1"/>
  <c r="I356" i="13" s="1"/>
  <c r="I355" i="13" a="1"/>
  <c r="I355" i="13" s="1"/>
  <c r="I354" i="13" a="1"/>
  <c r="I354" i="13" s="1"/>
  <c r="I353" i="13" a="1"/>
  <c r="I353" i="13" s="1"/>
  <c r="I352" i="13" a="1"/>
  <c r="I352" i="13" s="1"/>
  <c r="I351" i="13" a="1"/>
  <c r="I351" i="13" s="1"/>
  <c r="I350" i="13" a="1"/>
  <c r="I350" i="13" s="1"/>
  <c r="I349" i="13" a="1"/>
  <c r="I349" i="13" s="1"/>
  <c r="I348" i="13" a="1"/>
  <c r="I348" i="13" s="1"/>
  <c r="I347" i="13" a="1"/>
  <c r="I347" i="13" s="1"/>
  <c r="I346" i="13" a="1"/>
  <c r="I346" i="13" s="1"/>
  <c r="I345" i="13" a="1"/>
  <c r="I345" i="13" s="1"/>
  <c r="I344" i="13" a="1"/>
  <c r="I344" i="13" s="1"/>
  <c r="I343" i="13" a="1"/>
  <c r="I343" i="13" s="1"/>
  <c r="I342" i="13" a="1"/>
  <c r="I342" i="13" s="1"/>
  <c r="I341" i="13" a="1"/>
  <c r="I341" i="13" s="1"/>
  <c r="I340" i="13" a="1"/>
  <c r="I340" i="13" s="1"/>
  <c r="I339" i="13" a="1"/>
  <c r="I339" i="13" s="1"/>
  <c r="I338" i="13" a="1"/>
  <c r="I338" i="13" s="1"/>
  <c r="I337" i="13" a="1"/>
  <c r="I337" i="13" s="1"/>
  <c r="I336" i="13" a="1"/>
  <c r="I336" i="13" s="1"/>
  <c r="I335" i="13" a="1"/>
  <c r="I335" i="13" s="1"/>
  <c r="I334" i="13" a="1"/>
  <c r="I334" i="13" s="1"/>
  <c r="I333" i="13" a="1"/>
  <c r="I333" i="13" s="1"/>
  <c r="I332" i="13" a="1"/>
  <c r="I332" i="13" s="1"/>
  <c r="I331" i="13" a="1"/>
  <c r="I331" i="13" s="1"/>
  <c r="I330" i="13" a="1"/>
  <c r="I330" i="13" s="1"/>
  <c r="I329" i="13" a="1"/>
  <c r="I329" i="13" s="1"/>
  <c r="I328" i="13" a="1"/>
  <c r="I328" i="13" s="1"/>
  <c r="I327" i="13" a="1"/>
  <c r="I327" i="13" s="1"/>
  <c r="I326" i="13" a="1"/>
  <c r="I326" i="13" s="1"/>
  <c r="I325" i="13" a="1"/>
  <c r="I325" i="13" s="1"/>
  <c r="I324" i="13" a="1"/>
  <c r="I324" i="13" s="1"/>
  <c r="I323" i="13" a="1"/>
  <c r="I323" i="13" s="1"/>
  <c r="I322" i="13" a="1"/>
  <c r="I322" i="13" s="1"/>
  <c r="I321" i="13" a="1"/>
  <c r="I321" i="13" s="1"/>
  <c r="I320" i="13" a="1"/>
  <c r="I320" i="13" s="1"/>
  <c r="I319" i="13" a="1"/>
  <c r="I319" i="13" s="1"/>
  <c r="I318" i="13" a="1"/>
  <c r="I318" i="13" s="1"/>
  <c r="I317" i="13" a="1"/>
  <c r="I317" i="13" s="1"/>
  <c r="I316" i="13" a="1"/>
  <c r="I316" i="13" s="1"/>
  <c r="I315" i="13" a="1"/>
  <c r="I315" i="13" s="1"/>
  <c r="I314" i="13" a="1"/>
  <c r="I314" i="13" s="1"/>
  <c r="I313" i="13" a="1"/>
  <c r="I313" i="13" s="1"/>
  <c r="I312" i="13" a="1"/>
  <c r="I312" i="13" s="1"/>
  <c r="I311" i="13" a="1"/>
  <c r="I311" i="13" s="1"/>
  <c r="I310" i="13" a="1"/>
  <c r="I310" i="13" s="1"/>
  <c r="I309" i="13" a="1"/>
  <c r="I309" i="13" s="1"/>
  <c r="I308" i="13" a="1"/>
  <c r="I308" i="13" s="1"/>
  <c r="I307" i="13" a="1"/>
  <c r="I307" i="13" s="1"/>
  <c r="I306" i="13" a="1"/>
  <c r="I306" i="13" s="1"/>
  <c r="I305" i="13" a="1"/>
  <c r="I305" i="13" s="1"/>
  <c r="I304" i="13" a="1"/>
  <c r="I304" i="13" s="1"/>
  <c r="I303" i="13" a="1"/>
  <c r="I303" i="13" s="1"/>
  <c r="I302" i="13" a="1"/>
  <c r="I302" i="13" s="1"/>
  <c r="I301" i="13" a="1"/>
  <c r="I301" i="13" s="1"/>
  <c r="I300" i="13" a="1"/>
  <c r="I300" i="13" s="1"/>
  <c r="I299" i="13" a="1"/>
  <c r="I299" i="13" s="1"/>
  <c r="I298" i="13" a="1"/>
  <c r="I298" i="13" s="1"/>
  <c r="I297" i="13" a="1"/>
  <c r="I297" i="13" s="1"/>
  <c r="I296" i="13" a="1"/>
  <c r="I296" i="13" s="1"/>
  <c r="I295" i="13" a="1"/>
  <c r="I295" i="13" s="1"/>
  <c r="I294" i="13" a="1"/>
  <c r="I294" i="13" s="1"/>
  <c r="I293" i="13" a="1"/>
  <c r="I293" i="13" s="1"/>
  <c r="I292" i="13" a="1"/>
  <c r="I292" i="13" s="1"/>
  <c r="I291" i="13" a="1"/>
  <c r="I291" i="13" s="1"/>
  <c r="I290" i="13" a="1"/>
  <c r="I290" i="13" s="1"/>
  <c r="I289" i="13" a="1"/>
  <c r="I289" i="13" s="1"/>
  <c r="I288" i="13" a="1"/>
  <c r="I288" i="13" s="1"/>
  <c r="I287" i="13" a="1"/>
  <c r="I287" i="13" s="1"/>
  <c r="I286" i="13" a="1"/>
  <c r="I286" i="13" s="1"/>
  <c r="I285" i="13" a="1"/>
  <c r="I285" i="13" s="1"/>
  <c r="I284" i="13" a="1"/>
  <c r="I284" i="13" s="1"/>
  <c r="I283" i="13" a="1"/>
  <c r="I283" i="13" s="1"/>
  <c r="I282" i="13" a="1"/>
  <c r="I282" i="13" s="1"/>
  <c r="I281" i="13" a="1"/>
  <c r="I281" i="13" s="1"/>
  <c r="I280" i="13" a="1"/>
  <c r="I280" i="13" s="1"/>
  <c r="I279" i="13" a="1"/>
  <c r="I279" i="13" s="1"/>
  <c r="I278" i="13" a="1"/>
  <c r="I278" i="13" s="1"/>
  <c r="I277" i="13" a="1"/>
  <c r="I277" i="13" s="1"/>
  <c r="I276" i="13" a="1"/>
  <c r="I276" i="13" s="1"/>
  <c r="I275" i="13" a="1"/>
  <c r="I275" i="13" s="1"/>
  <c r="I274" i="13" a="1"/>
  <c r="I274" i="13" s="1"/>
  <c r="I273" i="13" a="1"/>
  <c r="I273" i="13" s="1"/>
  <c r="I272" i="13" a="1"/>
  <c r="I272" i="13" s="1"/>
  <c r="I271" i="13" a="1"/>
  <c r="I271" i="13" s="1"/>
  <c r="I270" i="13" a="1"/>
  <c r="I270" i="13" s="1"/>
  <c r="I269" i="13" a="1"/>
  <c r="I269" i="13" s="1"/>
  <c r="I268" i="13" a="1"/>
  <c r="I268" i="13" s="1"/>
  <c r="I267" i="13" a="1"/>
  <c r="I267" i="13" s="1"/>
  <c r="I266" i="13" a="1"/>
  <c r="I266" i="13" s="1"/>
  <c r="I265" i="13" a="1"/>
  <c r="I265" i="13" s="1"/>
  <c r="I264" i="13" a="1"/>
  <c r="I264" i="13" s="1"/>
  <c r="I263" i="13" a="1"/>
  <c r="I263" i="13" s="1"/>
  <c r="I262" i="13" a="1"/>
  <c r="I262" i="13" s="1"/>
  <c r="I261" i="13" a="1"/>
  <c r="I261" i="13" s="1"/>
  <c r="I260" i="13" a="1"/>
  <c r="I260" i="13" s="1"/>
  <c r="I259" i="13" a="1"/>
  <c r="I259" i="13" s="1"/>
  <c r="I258" i="13" a="1"/>
  <c r="I258" i="13" s="1"/>
  <c r="I257" i="13" a="1"/>
  <c r="I257" i="13" s="1"/>
  <c r="I256" i="13" a="1"/>
  <c r="I256" i="13" s="1"/>
  <c r="I255" i="13" a="1"/>
  <c r="I255" i="13" s="1"/>
  <c r="I254" i="13" a="1"/>
  <c r="I254" i="13" s="1"/>
  <c r="I253" i="13" a="1"/>
  <c r="I253" i="13" s="1"/>
  <c r="I252" i="13" a="1"/>
  <c r="I252" i="13" s="1"/>
  <c r="I251" i="13" a="1"/>
  <c r="I251" i="13" s="1"/>
  <c r="I250" i="13" a="1"/>
  <c r="I250" i="13" s="1"/>
  <c r="I249" i="13" a="1"/>
  <c r="I249" i="13" s="1"/>
  <c r="I248" i="13" a="1"/>
  <c r="I248" i="13" s="1"/>
  <c r="I247" i="13" a="1"/>
  <c r="I247" i="13" s="1"/>
  <c r="I246" i="13" a="1"/>
  <c r="I246" i="13" s="1"/>
  <c r="I245" i="13" a="1"/>
  <c r="I245" i="13" s="1"/>
  <c r="I244" i="13" a="1"/>
  <c r="I244" i="13" s="1"/>
  <c r="I243" i="13" a="1"/>
  <c r="I243" i="13" s="1"/>
  <c r="I242" i="13" a="1"/>
  <c r="I242" i="13" s="1"/>
  <c r="I241" i="13" a="1"/>
  <c r="I241" i="13" s="1"/>
  <c r="I240" i="13" a="1"/>
  <c r="I240" i="13" s="1"/>
  <c r="I239" i="13" a="1"/>
  <c r="I239" i="13" s="1"/>
  <c r="I238" i="13" a="1"/>
  <c r="I238" i="13" s="1"/>
  <c r="I237" i="13" a="1"/>
  <c r="I237" i="13" s="1"/>
  <c r="I236" i="13" a="1"/>
  <c r="I236" i="13" s="1"/>
  <c r="I235" i="13" a="1"/>
  <c r="I235" i="13" s="1"/>
  <c r="I234" i="13" a="1"/>
  <c r="I234" i="13" s="1"/>
  <c r="I233" i="13" a="1"/>
  <c r="I233" i="13" s="1"/>
  <c r="I232" i="13" a="1"/>
  <c r="I232" i="13" s="1"/>
  <c r="I231" i="13" a="1"/>
  <c r="I231" i="13" s="1"/>
  <c r="I230" i="13" a="1"/>
  <c r="I230" i="13" s="1"/>
  <c r="I229" i="13" a="1"/>
  <c r="I229" i="13" s="1"/>
  <c r="I228" i="13" a="1"/>
  <c r="I228" i="13" s="1"/>
  <c r="I227" i="13" a="1"/>
  <c r="I227" i="13" s="1"/>
  <c r="I226" i="13" a="1"/>
  <c r="I226" i="13" s="1"/>
  <c r="I225" i="13" a="1"/>
  <c r="I225" i="13" s="1"/>
  <c r="I224" i="13" a="1"/>
  <c r="I224" i="13" s="1"/>
  <c r="I223" i="13" a="1"/>
  <c r="I223" i="13" s="1"/>
  <c r="I222" i="13" a="1"/>
  <c r="I222" i="13" s="1"/>
  <c r="I221" i="13" a="1"/>
  <c r="I221" i="13" s="1"/>
  <c r="I220" i="13" a="1"/>
  <c r="I220" i="13" s="1"/>
  <c r="I219" i="13" a="1"/>
  <c r="I219" i="13" s="1"/>
  <c r="I218" i="13" a="1"/>
  <c r="I218" i="13" s="1"/>
  <c r="I217" i="13" a="1"/>
  <c r="I217" i="13" s="1"/>
  <c r="I216" i="13" a="1"/>
  <c r="I216" i="13" s="1"/>
  <c r="I215" i="13" a="1"/>
  <c r="I215" i="13" s="1"/>
  <c r="I214" i="13" a="1"/>
  <c r="I214" i="13" s="1"/>
  <c r="I213" i="13" a="1"/>
  <c r="I213" i="13" s="1"/>
  <c r="I212" i="13" a="1"/>
  <c r="I212" i="13" s="1"/>
  <c r="I211" i="13" a="1"/>
  <c r="I211" i="13" s="1"/>
  <c r="I210" i="13" a="1"/>
  <c r="I210" i="13" s="1"/>
  <c r="I209" i="13" a="1"/>
  <c r="I209" i="13" s="1"/>
  <c r="I208" i="13" a="1"/>
  <c r="I208" i="13" s="1"/>
  <c r="I207" i="13" a="1"/>
  <c r="I207" i="13" s="1"/>
  <c r="I206" i="13" a="1"/>
  <c r="I206" i="13" s="1"/>
  <c r="I205" i="13" a="1"/>
  <c r="I205" i="13" s="1"/>
  <c r="I204" i="13" a="1"/>
  <c r="I204" i="13" s="1"/>
  <c r="I203" i="13" a="1"/>
  <c r="I203" i="13" s="1"/>
  <c r="I202" i="13" a="1"/>
  <c r="I202" i="13" s="1"/>
  <c r="I201" i="13" a="1"/>
  <c r="I201" i="13" s="1"/>
  <c r="I200" i="13" a="1"/>
  <c r="I200" i="13" s="1"/>
  <c r="I199" i="13" a="1"/>
  <c r="I199" i="13" s="1"/>
  <c r="I198" i="13" a="1"/>
  <c r="I198" i="13" s="1"/>
  <c r="I197" i="13" a="1"/>
  <c r="I197" i="13" s="1"/>
  <c r="I196" i="13" a="1"/>
  <c r="I196" i="13" s="1"/>
  <c r="I195" i="13" a="1"/>
  <c r="I195" i="13" s="1"/>
  <c r="I194" i="13" a="1"/>
  <c r="I194" i="13" s="1"/>
  <c r="I193" i="13" a="1"/>
  <c r="I193" i="13" s="1"/>
  <c r="I192" i="13" a="1"/>
  <c r="I192" i="13" s="1"/>
  <c r="I191" i="13" a="1"/>
  <c r="I191" i="13" s="1"/>
  <c r="I190" i="13" a="1"/>
  <c r="I190" i="13" s="1"/>
  <c r="I189" i="13" a="1"/>
  <c r="I189" i="13" s="1"/>
  <c r="I188" i="13" a="1"/>
  <c r="I188" i="13" s="1"/>
  <c r="I187" i="13" a="1"/>
  <c r="I187" i="13" s="1"/>
  <c r="I186" i="13" a="1"/>
  <c r="I186" i="13" s="1"/>
  <c r="I185" i="13" a="1"/>
  <c r="I185" i="13" s="1"/>
  <c r="I184" i="13" a="1"/>
  <c r="I184" i="13" s="1"/>
  <c r="I183" i="13" a="1"/>
  <c r="I183" i="13" s="1"/>
  <c r="I182" i="13" a="1"/>
  <c r="I182" i="13" s="1"/>
  <c r="I181" i="13" a="1"/>
  <c r="I181" i="13" s="1"/>
  <c r="I180" i="13" a="1"/>
  <c r="I180" i="13" s="1"/>
  <c r="I179" i="13" a="1"/>
  <c r="I179" i="13" s="1"/>
  <c r="I178" i="13" a="1"/>
  <c r="I178" i="13" s="1"/>
  <c r="I177" i="13" a="1"/>
  <c r="I177" i="13" s="1"/>
  <c r="I176" i="13" a="1"/>
  <c r="I176" i="13" s="1"/>
  <c r="I175" i="13" a="1"/>
  <c r="I175" i="13" s="1"/>
  <c r="I174" i="13" a="1"/>
  <c r="I174" i="13" s="1"/>
  <c r="I173" i="13" a="1"/>
  <c r="I173" i="13" s="1"/>
  <c r="I172" i="13" a="1"/>
  <c r="I172" i="13" s="1"/>
  <c r="I171" i="13" a="1"/>
  <c r="I171" i="13" s="1"/>
  <c r="I170" i="13" a="1"/>
  <c r="I170" i="13" s="1"/>
  <c r="I169" i="13" a="1"/>
  <c r="I169" i="13" s="1"/>
  <c r="I168" i="13" a="1"/>
  <c r="I168" i="13" s="1"/>
  <c r="I167" i="13" a="1"/>
  <c r="I167" i="13" s="1"/>
  <c r="I166" i="13" a="1"/>
  <c r="I166" i="13" s="1"/>
  <c r="I165" i="13" a="1"/>
  <c r="I165" i="13" s="1"/>
  <c r="I164" i="13" a="1"/>
  <c r="I164" i="13" s="1"/>
  <c r="I163" i="13" a="1"/>
  <c r="I163" i="13" s="1"/>
  <c r="I162" i="13" a="1"/>
  <c r="I162" i="13" s="1"/>
  <c r="I161" i="13" a="1"/>
  <c r="I161" i="13" s="1"/>
  <c r="I160" i="13" a="1"/>
  <c r="I160" i="13" s="1"/>
  <c r="I159" i="13" a="1"/>
  <c r="I159" i="13" s="1"/>
  <c r="I158" i="13" a="1"/>
  <c r="I158" i="13" s="1"/>
  <c r="I157" i="13" a="1"/>
  <c r="I157" i="13" s="1"/>
  <c r="I156" i="13" a="1"/>
  <c r="I156" i="13" s="1"/>
  <c r="I155" i="13" a="1"/>
  <c r="I155" i="13" s="1"/>
  <c r="I154" i="13" a="1"/>
  <c r="I154" i="13" s="1"/>
  <c r="I153" i="13" a="1"/>
  <c r="I153" i="13" s="1"/>
  <c r="I152" i="13" a="1"/>
  <c r="I152" i="13" s="1"/>
  <c r="I151" i="13" a="1"/>
  <c r="I151" i="13" s="1"/>
  <c r="I150" i="13" a="1"/>
  <c r="I150" i="13" s="1"/>
  <c r="I149" i="13" a="1"/>
  <c r="I149" i="13" s="1"/>
  <c r="I148" i="13" a="1"/>
  <c r="I148" i="13" s="1"/>
  <c r="I147" i="13" a="1"/>
  <c r="I147" i="13" s="1"/>
  <c r="I146" i="13" a="1"/>
  <c r="I146" i="13" s="1"/>
  <c r="I145" i="13" a="1"/>
  <c r="I145" i="13" s="1"/>
  <c r="I144" i="13" a="1"/>
  <c r="I144" i="13" s="1"/>
  <c r="I143" i="13" a="1"/>
  <c r="I143" i="13" s="1"/>
  <c r="I142" i="13" a="1"/>
  <c r="I142" i="13" s="1"/>
  <c r="I141" i="13" a="1"/>
  <c r="I141" i="13" s="1"/>
  <c r="I140" i="13" a="1"/>
  <c r="I140" i="13" s="1"/>
  <c r="I139" i="13" a="1"/>
  <c r="I139" i="13" s="1"/>
  <c r="I138" i="13" a="1"/>
  <c r="I138" i="13" s="1"/>
  <c r="I137" i="13" a="1"/>
  <c r="I137" i="13" s="1"/>
  <c r="I136" i="13" a="1"/>
  <c r="I136" i="13" s="1"/>
  <c r="I135" i="13" a="1"/>
  <c r="I135" i="13" s="1"/>
  <c r="I134" i="13" a="1"/>
  <c r="I134" i="13" s="1"/>
  <c r="I133" i="13" a="1"/>
  <c r="I133" i="13" s="1"/>
  <c r="I132" i="13" a="1"/>
  <c r="I132" i="13" s="1"/>
  <c r="I131" i="13" a="1"/>
  <c r="I131" i="13" s="1"/>
  <c r="I130" i="13" a="1"/>
  <c r="I130" i="13" s="1"/>
  <c r="I129" i="13" a="1"/>
  <c r="I129" i="13" s="1"/>
  <c r="I128" i="13" a="1"/>
  <c r="I128" i="13" s="1"/>
  <c r="I127" i="13" a="1"/>
  <c r="I127" i="13" s="1"/>
  <c r="I126" i="13" a="1"/>
  <c r="I126" i="13" s="1"/>
  <c r="I125" i="13" a="1"/>
  <c r="I125" i="13" s="1"/>
  <c r="I124" i="13" a="1"/>
  <c r="I124" i="13" s="1"/>
  <c r="I123" i="13" a="1"/>
  <c r="I123" i="13" s="1"/>
  <c r="I122" i="13" a="1"/>
  <c r="I122" i="13" s="1"/>
  <c r="I121" i="13" a="1"/>
  <c r="I121" i="13" s="1"/>
  <c r="I120" i="13" a="1"/>
  <c r="I120" i="13" s="1"/>
  <c r="I119" i="13" a="1"/>
  <c r="I119" i="13" s="1"/>
  <c r="I118" i="13" a="1"/>
  <c r="I118" i="13" s="1"/>
  <c r="I117" i="13" a="1"/>
  <c r="I117" i="13" s="1"/>
  <c r="I116" i="13" a="1"/>
  <c r="I116" i="13" s="1"/>
  <c r="I115" i="13" a="1"/>
  <c r="I115" i="13" s="1"/>
  <c r="I114" i="13" a="1"/>
  <c r="I114" i="13" s="1"/>
  <c r="I113" i="13" a="1"/>
  <c r="I113" i="13" s="1"/>
  <c r="I112" i="13" a="1"/>
  <c r="I112" i="13" s="1"/>
  <c r="I111" i="13" a="1"/>
  <c r="I111" i="13" s="1"/>
  <c r="I110" i="13" a="1"/>
  <c r="I110" i="13" s="1"/>
  <c r="I109" i="13" a="1"/>
  <c r="I109" i="13" s="1"/>
  <c r="I108" i="13" a="1"/>
  <c r="I108" i="13" s="1"/>
  <c r="I107" i="13" a="1"/>
  <c r="I107" i="13" s="1"/>
  <c r="I106" i="13" a="1"/>
  <c r="I106" i="13" s="1"/>
  <c r="I105" i="13" a="1"/>
  <c r="I105" i="13" s="1"/>
  <c r="I104" i="13" a="1"/>
  <c r="I104" i="13" s="1"/>
  <c r="I103" i="13" a="1"/>
  <c r="I103" i="13" s="1"/>
  <c r="I102" i="13" a="1"/>
  <c r="I102" i="13" s="1"/>
  <c r="I101" i="13" a="1"/>
  <c r="I101" i="13" s="1"/>
  <c r="I100" i="13" a="1"/>
  <c r="I100" i="13" s="1"/>
  <c r="I99" i="13" a="1"/>
  <c r="I99" i="13" s="1"/>
  <c r="I98" i="13" a="1"/>
  <c r="I98" i="13" s="1"/>
  <c r="I97" i="13" a="1"/>
  <c r="I97" i="13" s="1"/>
  <c r="I96" i="13" a="1"/>
  <c r="I96" i="13" s="1"/>
  <c r="I95" i="13" a="1"/>
  <c r="I95" i="13" s="1"/>
  <c r="I94" i="13" a="1"/>
  <c r="I94" i="13" s="1"/>
  <c r="I93" i="13" a="1"/>
  <c r="I93" i="13" s="1"/>
  <c r="I92" i="13" a="1"/>
  <c r="I92" i="13" s="1"/>
  <c r="I91" i="13" a="1"/>
  <c r="I91" i="13" s="1"/>
  <c r="I90" i="13" a="1"/>
  <c r="I90" i="13" s="1"/>
  <c r="I89" i="13" a="1"/>
  <c r="I89" i="13" s="1"/>
  <c r="I88" i="13" a="1"/>
  <c r="I88" i="13" s="1"/>
  <c r="I87" i="13" a="1"/>
  <c r="I87" i="13" s="1"/>
  <c r="I86" i="13" a="1"/>
  <c r="I86" i="13" s="1"/>
  <c r="I85" i="13" a="1"/>
  <c r="I85" i="13" s="1"/>
  <c r="I84" i="13" a="1"/>
  <c r="I84" i="13" s="1"/>
  <c r="I83" i="13" a="1"/>
  <c r="I83" i="13" s="1"/>
  <c r="I82" i="13" a="1"/>
  <c r="I82" i="13" s="1"/>
  <c r="I81" i="13" a="1"/>
  <c r="I81" i="13" s="1"/>
  <c r="I80" i="13" a="1"/>
  <c r="I80" i="13" s="1"/>
  <c r="I79" i="13" a="1"/>
  <c r="I79" i="13" s="1"/>
  <c r="I78" i="13" a="1"/>
  <c r="I78" i="13" s="1"/>
  <c r="I77" i="13" a="1"/>
  <c r="I77" i="13" s="1"/>
  <c r="I76" i="13" a="1"/>
  <c r="I76" i="13" s="1"/>
  <c r="I75" i="13" a="1"/>
  <c r="I75" i="13" s="1"/>
  <c r="I74" i="13" a="1"/>
  <c r="I74" i="13" s="1"/>
  <c r="I73" i="13" a="1"/>
  <c r="I73" i="13" s="1"/>
  <c r="I72" i="13" a="1"/>
  <c r="I72" i="13" s="1"/>
  <c r="I71" i="13" a="1"/>
  <c r="I71" i="13" s="1"/>
  <c r="I70" i="13" a="1"/>
  <c r="I70" i="13" s="1"/>
  <c r="I69" i="13" a="1"/>
  <c r="I69" i="13" s="1"/>
  <c r="I68" i="13" a="1"/>
  <c r="I68" i="13" s="1"/>
  <c r="I67" i="13" a="1"/>
  <c r="I67" i="13" s="1"/>
  <c r="I66" i="13" a="1"/>
  <c r="I66" i="13" s="1"/>
  <c r="I65" i="13" a="1"/>
  <c r="I65" i="13" s="1"/>
  <c r="I64" i="13" a="1"/>
  <c r="I64" i="13" s="1"/>
  <c r="I63" i="13" a="1"/>
  <c r="I63" i="13" s="1"/>
  <c r="I62" i="13" a="1"/>
  <c r="I62" i="13" s="1"/>
  <c r="I61" i="13" a="1"/>
  <c r="I61" i="13" s="1"/>
  <c r="I60" i="13" a="1"/>
  <c r="I60" i="13" s="1"/>
  <c r="I59" i="13" a="1"/>
  <c r="I59" i="13" s="1"/>
  <c r="I58" i="13" a="1"/>
  <c r="I58" i="13" s="1"/>
  <c r="I57" i="13" a="1"/>
  <c r="I57" i="13" s="1"/>
  <c r="I56" i="13" a="1"/>
  <c r="I56" i="13" s="1"/>
  <c r="I55" i="13" a="1"/>
  <c r="I55" i="13" s="1"/>
  <c r="I54" i="13" a="1"/>
  <c r="I54" i="13" s="1"/>
  <c r="I53" i="13" a="1"/>
  <c r="I53" i="13" s="1"/>
  <c r="I52" i="13" a="1"/>
  <c r="I52" i="13" s="1"/>
  <c r="I51" i="13" a="1"/>
  <c r="I51" i="13" s="1"/>
  <c r="I50" i="13" a="1"/>
  <c r="I50" i="13" s="1"/>
  <c r="I49" i="13" a="1"/>
  <c r="I49" i="13" s="1"/>
  <c r="I48" i="13" a="1"/>
  <c r="I48" i="13" s="1"/>
  <c r="I47" i="13" a="1"/>
  <c r="I47" i="13" s="1"/>
  <c r="I46" i="13" a="1"/>
  <c r="I46" i="13" s="1"/>
  <c r="I45" i="13" a="1"/>
  <c r="I45" i="13" s="1"/>
  <c r="I44" i="13" a="1"/>
  <c r="I44" i="13" s="1"/>
  <c r="I43" i="13" a="1"/>
  <c r="I43" i="13" s="1"/>
  <c r="I42" i="13" a="1"/>
  <c r="I42" i="13" s="1"/>
  <c r="I41" i="13" a="1"/>
  <c r="I41" i="13" s="1"/>
  <c r="I40" i="13" a="1"/>
  <c r="I40" i="13" s="1"/>
  <c r="I39" i="13" a="1"/>
  <c r="I39" i="13" s="1"/>
  <c r="I38" i="13" a="1"/>
  <c r="I38" i="13" s="1"/>
  <c r="I37" i="13" a="1"/>
  <c r="I37" i="13" s="1"/>
  <c r="I36" i="13" a="1"/>
  <c r="I36" i="13" s="1"/>
  <c r="I35" i="13" a="1"/>
  <c r="I35" i="13" s="1"/>
  <c r="I34" i="13" a="1"/>
  <c r="I34" i="13" s="1"/>
  <c r="I33" i="13" a="1"/>
  <c r="I33" i="13" s="1"/>
  <c r="I32" i="13" a="1"/>
  <c r="I32" i="13" s="1"/>
  <c r="I31" i="13" a="1"/>
  <c r="I31" i="13" s="1"/>
  <c r="I30" i="13" a="1"/>
  <c r="I30" i="13" s="1"/>
  <c r="I29" i="13" a="1"/>
  <c r="I29" i="13" s="1"/>
  <c r="I28" i="13" a="1"/>
  <c r="I28" i="13" s="1"/>
  <c r="I27" i="13" a="1"/>
  <c r="I27" i="13" s="1"/>
  <c r="I26" i="13" a="1"/>
  <c r="I26" i="13" s="1"/>
  <c r="I25" i="13" a="1"/>
  <c r="I25" i="13" s="1"/>
  <c r="I24" i="13" a="1"/>
  <c r="I24" i="13" s="1"/>
  <c r="I23" i="13" a="1"/>
  <c r="I23" i="13" s="1"/>
  <c r="I22" i="13" a="1"/>
  <c r="I22" i="13" s="1"/>
  <c r="I21" i="13" a="1"/>
  <c r="I21" i="13" s="1"/>
  <c r="I20" i="13" a="1"/>
  <c r="I20" i="13" s="1"/>
  <c r="I19" i="13" a="1"/>
  <c r="I19" i="13" s="1"/>
  <c r="I18" i="13" a="1"/>
  <c r="I18" i="13" s="1"/>
  <c r="I17" i="13" a="1"/>
  <c r="I17" i="13" s="1"/>
  <c r="I16" i="13" a="1"/>
  <c r="I16" i="13" s="1"/>
  <c r="I15" i="13" a="1"/>
  <c r="I15" i="13" s="1"/>
  <c r="I14" i="13" a="1"/>
  <c r="I14" i="13" s="1"/>
  <c r="I13" i="13" a="1"/>
  <c r="I13" i="13" s="1"/>
  <c r="I12" i="13" a="1"/>
  <c r="I12" i="13" s="1"/>
  <c r="I11" i="13" a="1"/>
  <c r="I11" i="13" s="1"/>
  <c r="I10" i="13" a="1"/>
  <c r="I10" i="13" s="1"/>
  <c r="I9" i="13" a="1"/>
  <c r="I9" i="13" s="1"/>
  <c r="N8" i="13"/>
  <c r="N9" i="13" s="1"/>
  <c r="I8" i="13" a="1"/>
  <c r="I8" i="13" s="1"/>
  <c r="I7" i="13" a="1"/>
  <c r="I7" i="13" s="1"/>
  <c r="I6" i="13" a="1"/>
  <c r="I6" i="13" s="1"/>
  <c r="I5" i="13" a="1"/>
  <c r="I5" i="13" s="1"/>
  <c r="I4" i="13" a="1"/>
  <c r="I4" i="13" s="1"/>
  <c r="I3" i="13" a="1"/>
  <c r="I3" i="13" s="1"/>
  <c r="I2" i="13" a="1"/>
  <c r="I2" i="13" s="1"/>
  <c r="A3" i="13"/>
  <c r="S12" i="11"/>
  <c r="P12" i="11"/>
  <c r="R12" i="11"/>
  <c r="Q8" i="11"/>
  <c r="R8" i="11"/>
  <c r="J452" i="11" a="1"/>
  <c r="J452" i="11" s="1"/>
  <c r="J451" i="11" a="1"/>
  <c r="J451" i="11" s="1"/>
  <c r="J450" i="11" a="1"/>
  <c r="J450" i="11" s="1"/>
  <c r="J449" i="11" a="1"/>
  <c r="J449" i="11" s="1"/>
  <c r="J448" i="11" a="1"/>
  <c r="J448" i="11" s="1"/>
  <c r="J447" i="11" a="1"/>
  <c r="J447" i="11" s="1"/>
  <c r="J446" i="11" a="1"/>
  <c r="J446" i="11" s="1"/>
  <c r="J445" i="11" a="1"/>
  <c r="J445" i="11" s="1"/>
  <c r="J444" i="11" a="1"/>
  <c r="J444" i="11" s="1"/>
  <c r="J443" i="11" a="1"/>
  <c r="J443" i="11" s="1"/>
  <c r="J442" i="11" a="1"/>
  <c r="J442" i="11" s="1"/>
  <c r="J441" i="11" a="1"/>
  <c r="J441" i="11" s="1"/>
  <c r="J440" i="11" a="1"/>
  <c r="J440" i="11" s="1"/>
  <c r="J439" i="11" a="1"/>
  <c r="J439" i="11" s="1"/>
  <c r="J438" i="11" a="1"/>
  <c r="J438" i="11" s="1"/>
  <c r="J437" i="11" a="1"/>
  <c r="J437" i="11" s="1"/>
  <c r="J436" i="11" a="1"/>
  <c r="J436" i="11" s="1"/>
  <c r="J435" i="11" a="1"/>
  <c r="J435" i="11" s="1"/>
  <c r="J434" i="11" a="1"/>
  <c r="J434" i="11" s="1"/>
  <c r="J433" i="11" a="1"/>
  <c r="J433" i="11" s="1"/>
  <c r="J432" i="11" a="1"/>
  <c r="J432" i="11" s="1"/>
  <c r="J431" i="11" a="1"/>
  <c r="J431" i="11" s="1"/>
  <c r="J430" i="11" a="1"/>
  <c r="J430" i="11" s="1"/>
  <c r="J429" i="11" a="1"/>
  <c r="J429" i="11" s="1"/>
  <c r="J428" i="11" a="1"/>
  <c r="J428" i="11" s="1"/>
  <c r="J427" i="11" a="1"/>
  <c r="J427" i="11" s="1"/>
  <c r="J426" i="11" a="1"/>
  <c r="J426" i="11" s="1"/>
  <c r="J425" i="11" a="1"/>
  <c r="J425" i="11" s="1"/>
  <c r="J424" i="11" a="1"/>
  <c r="J424" i="11" s="1"/>
  <c r="J423" i="11" a="1"/>
  <c r="J423" i="11" s="1"/>
  <c r="J422" i="11" a="1"/>
  <c r="J422" i="11" s="1"/>
  <c r="J421" i="11" a="1"/>
  <c r="J421" i="11" s="1"/>
  <c r="J420" i="11" a="1"/>
  <c r="J420" i="11" s="1"/>
  <c r="J419" i="11" a="1"/>
  <c r="J419" i="11" s="1"/>
  <c r="J418" i="11" a="1"/>
  <c r="J418" i="11" s="1"/>
  <c r="J417" i="11" a="1"/>
  <c r="J417" i="11" s="1"/>
  <c r="J416" i="11" a="1"/>
  <c r="J416" i="11" s="1"/>
  <c r="J415" i="11" a="1"/>
  <c r="J415" i="11" s="1"/>
  <c r="J414" i="11" a="1"/>
  <c r="J414" i="11" s="1"/>
  <c r="J413" i="11" a="1"/>
  <c r="J413" i="11" s="1"/>
  <c r="J412" i="11" a="1"/>
  <c r="J412" i="11" s="1"/>
  <c r="J411" i="11" a="1"/>
  <c r="J411" i="11" s="1"/>
  <c r="J410" i="11" a="1"/>
  <c r="J410" i="11" s="1"/>
  <c r="J409" i="11" a="1"/>
  <c r="J409" i="11" s="1"/>
  <c r="J408" i="11" a="1"/>
  <c r="J408" i="11" s="1"/>
  <c r="J407" i="11" a="1"/>
  <c r="J407" i="11" s="1"/>
  <c r="J406" i="11" a="1"/>
  <c r="J406" i="11" s="1"/>
  <c r="J405" i="11" a="1"/>
  <c r="J405" i="11" s="1"/>
  <c r="J404" i="11" a="1"/>
  <c r="J404" i="11" s="1"/>
  <c r="J403" i="11" a="1"/>
  <c r="J403" i="11" s="1"/>
  <c r="J402" i="11" a="1"/>
  <c r="J402" i="11" s="1"/>
  <c r="J401" i="11" a="1"/>
  <c r="J401" i="11" s="1"/>
  <c r="J400" i="11" a="1"/>
  <c r="J400" i="11" s="1"/>
  <c r="J399" i="11" a="1"/>
  <c r="J399" i="11" s="1"/>
  <c r="J398" i="11" a="1"/>
  <c r="J398" i="11" s="1"/>
  <c r="J397" i="11" a="1"/>
  <c r="J397" i="11" s="1"/>
  <c r="J396" i="11" a="1"/>
  <c r="J396" i="11" s="1"/>
  <c r="J395" i="11" a="1"/>
  <c r="J395" i="11" s="1"/>
  <c r="J394" i="11" a="1"/>
  <c r="J394" i="11" s="1"/>
  <c r="J393" i="11" a="1"/>
  <c r="J393" i="11" s="1"/>
  <c r="J392" i="11" a="1"/>
  <c r="J392" i="11" s="1"/>
  <c r="J391" i="11" a="1"/>
  <c r="J391" i="11" s="1"/>
  <c r="J390" i="11" a="1"/>
  <c r="J390" i="11" s="1"/>
  <c r="J389" i="11" a="1"/>
  <c r="J389" i="11" s="1"/>
  <c r="J388" i="11" a="1"/>
  <c r="J388" i="11" s="1"/>
  <c r="J387" i="11" a="1"/>
  <c r="J387" i="11" s="1"/>
  <c r="J386" i="11" a="1"/>
  <c r="J386" i="11" s="1"/>
  <c r="J385" i="11" a="1"/>
  <c r="J385" i="11" s="1"/>
  <c r="J384" i="11" a="1"/>
  <c r="J384" i="11" s="1"/>
  <c r="J383" i="11" a="1"/>
  <c r="J383" i="11" s="1"/>
  <c r="J382" i="11" a="1"/>
  <c r="J382" i="11" s="1"/>
  <c r="J381" i="11" a="1"/>
  <c r="J381" i="11" s="1"/>
  <c r="J380" i="11" a="1"/>
  <c r="J380" i="11" s="1"/>
  <c r="J379" i="11" a="1"/>
  <c r="J379" i="11" s="1"/>
  <c r="J378" i="11" a="1"/>
  <c r="J378" i="11" s="1"/>
  <c r="J377" i="11" a="1"/>
  <c r="J377" i="11" s="1"/>
  <c r="J376" i="11" a="1"/>
  <c r="J376" i="11" s="1"/>
  <c r="J375" i="11" a="1"/>
  <c r="J375" i="11" s="1"/>
  <c r="J374" i="11" a="1"/>
  <c r="J374" i="11" s="1"/>
  <c r="J373" i="11" a="1"/>
  <c r="J373" i="11" s="1"/>
  <c r="J372" i="11" a="1"/>
  <c r="J372" i="11" s="1"/>
  <c r="J371" i="11" a="1"/>
  <c r="J371" i="11" s="1"/>
  <c r="J370" i="11" a="1"/>
  <c r="J370" i="11" s="1"/>
  <c r="J369" i="11" a="1"/>
  <c r="J369" i="11" s="1"/>
  <c r="J368" i="11" a="1"/>
  <c r="J368" i="11" s="1"/>
  <c r="J367" i="11" a="1"/>
  <c r="J367" i="11" s="1"/>
  <c r="J366" i="11" a="1"/>
  <c r="J366" i="11" s="1"/>
  <c r="J365" i="11" a="1"/>
  <c r="J365" i="11" s="1"/>
  <c r="J364" i="11" a="1"/>
  <c r="J364" i="11" s="1"/>
  <c r="J363" i="11" a="1"/>
  <c r="J363" i="11" s="1"/>
  <c r="J362" i="11" a="1"/>
  <c r="J362" i="11" s="1"/>
  <c r="J361" i="11" a="1"/>
  <c r="J361" i="11" s="1"/>
  <c r="J360" i="11" a="1"/>
  <c r="J360" i="11" s="1"/>
  <c r="J359" i="11" a="1"/>
  <c r="J359" i="11" s="1"/>
  <c r="J358" i="11" a="1"/>
  <c r="J358" i="11" s="1"/>
  <c r="J357" i="11" a="1"/>
  <c r="J357" i="11" s="1"/>
  <c r="J356" i="11" a="1"/>
  <c r="J356" i="11" s="1"/>
  <c r="J355" i="11" a="1"/>
  <c r="J355" i="11" s="1"/>
  <c r="J354" i="11" a="1"/>
  <c r="J354" i="11" s="1"/>
  <c r="J353" i="11" a="1"/>
  <c r="J353" i="11" s="1"/>
  <c r="J352" i="11" a="1"/>
  <c r="J352" i="11" s="1"/>
  <c r="J351" i="11" a="1"/>
  <c r="J351" i="11" s="1"/>
  <c r="J350" i="11" a="1"/>
  <c r="J350" i="11" s="1"/>
  <c r="J349" i="11" a="1"/>
  <c r="J349" i="11" s="1"/>
  <c r="J348" i="11" a="1"/>
  <c r="J348" i="11" s="1"/>
  <c r="J347" i="11" a="1"/>
  <c r="J347" i="11" s="1"/>
  <c r="J346" i="11" a="1"/>
  <c r="J346" i="11" s="1"/>
  <c r="J345" i="11" a="1"/>
  <c r="J345" i="11" s="1"/>
  <c r="J344" i="11" a="1"/>
  <c r="J344" i="11" s="1"/>
  <c r="J343" i="11" a="1"/>
  <c r="J343" i="11" s="1"/>
  <c r="J342" i="11" a="1"/>
  <c r="J342" i="11" s="1"/>
  <c r="J341" i="11" a="1"/>
  <c r="J341" i="11" s="1"/>
  <c r="J340" i="11" a="1"/>
  <c r="J340" i="11" s="1"/>
  <c r="J339" i="11" a="1"/>
  <c r="J339" i="11" s="1"/>
  <c r="J338" i="11" a="1"/>
  <c r="J338" i="11" s="1"/>
  <c r="J337" i="11" a="1"/>
  <c r="J337" i="11" s="1"/>
  <c r="J336" i="11" a="1"/>
  <c r="J336" i="11" s="1"/>
  <c r="J335" i="11" a="1"/>
  <c r="J335" i="11" s="1"/>
  <c r="J334" i="11" a="1"/>
  <c r="J334" i="11" s="1"/>
  <c r="J333" i="11" a="1"/>
  <c r="J333" i="11" s="1"/>
  <c r="J332" i="11" a="1"/>
  <c r="J332" i="11" s="1"/>
  <c r="J331" i="11" a="1"/>
  <c r="J331" i="11" s="1"/>
  <c r="J330" i="11" a="1"/>
  <c r="J330" i="11" s="1"/>
  <c r="J329" i="11" a="1"/>
  <c r="J329" i="11" s="1"/>
  <c r="J328" i="11" a="1"/>
  <c r="J328" i="11" s="1"/>
  <c r="J327" i="11" a="1"/>
  <c r="J327" i="11" s="1"/>
  <c r="J326" i="11" a="1"/>
  <c r="J326" i="11" s="1"/>
  <c r="J325" i="11" a="1"/>
  <c r="J325" i="11" s="1"/>
  <c r="J324" i="11" a="1"/>
  <c r="J324" i="11" s="1"/>
  <c r="J323" i="11" a="1"/>
  <c r="J323" i="11" s="1"/>
  <c r="J322" i="11" a="1"/>
  <c r="J322" i="11" s="1"/>
  <c r="J321" i="11" a="1"/>
  <c r="J321" i="11" s="1"/>
  <c r="J320" i="11" a="1"/>
  <c r="J320" i="11" s="1"/>
  <c r="J319" i="11" a="1"/>
  <c r="J319" i="11" s="1"/>
  <c r="J318" i="11" a="1"/>
  <c r="J318" i="11" s="1"/>
  <c r="J317" i="11" a="1"/>
  <c r="J317" i="11" s="1"/>
  <c r="J316" i="11" a="1"/>
  <c r="J316" i="11" s="1"/>
  <c r="J315" i="11" a="1"/>
  <c r="J315" i="11" s="1"/>
  <c r="J314" i="11" a="1"/>
  <c r="J314" i="11" s="1"/>
  <c r="J313" i="11" a="1"/>
  <c r="J313" i="11" s="1"/>
  <c r="J312" i="11" a="1"/>
  <c r="J312" i="11" s="1"/>
  <c r="J311" i="11" a="1"/>
  <c r="J311" i="11" s="1"/>
  <c r="J310" i="11" a="1"/>
  <c r="J310" i="11" s="1"/>
  <c r="J309" i="11" a="1"/>
  <c r="J309" i="11" s="1"/>
  <c r="J308" i="11" a="1"/>
  <c r="J308" i="11" s="1"/>
  <c r="J307" i="11" a="1"/>
  <c r="J307" i="11" s="1"/>
  <c r="J306" i="11" a="1"/>
  <c r="J306" i="11" s="1"/>
  <c r="J305" i="11" a="1"/>
  <c r="J305" i="11" s="1"/>
  <c r="J304" i="11" a="1"/>
  <c r="J304" i="11" s="1"/>
  <c r="J303" i="11" a="1"/>
  <c r="J303" i="11" s="1"/>
  <c r="J302" i="11" a="1"/>
  <c r="J302" i="11" s="1"/>
  <c r="J301" i="11" a="1"/>
  <c r="J301" i="11" s="1"/>
  <c r="J300" i="11" a="1"/>
  <c r="J300" i="11" s="1"/>
  <c r="J299" i="11" a="1"/>
  <c r="J299" i="11" s="1"/>
  <c r="J298" i="11" a="1"/>
  <c r="J298" i="11" s="1"/>
  <c r="J297" i="11" a="1"/>
  <c r="J297" i="11" s="1"/>
  <c r="J296" i="11" a="1"/>
  <c r="J296" i="11" s="1"/>
  <c r="J295" i="11" a="1"/>
  <c r="J295" i="11" s="1"/>
  <c r="J294" i="11" a="1"/>
  <c r="J294" i="11" s="1"/>
  <c r="J293" i="11" a="1"/>
  <c r="J293" i="11" s="1"/>
  <c r="J292" i="11" a="1"/>
  <c r="J292" i="11" s="1"/>
  <c r="J291" i="11" a="1"/>
  <c r="J291" i="11" s="1"/>
  <c r="J290" i="11" a="1"/>
  <c r="J290" i="11" s="1"/>
  <c r="J289" i="11" a="1"/>
  <c r="J289" i="11" s="1"/>
  <c r="J288" i="11" a="1"/>
  <c r="J288" i="11" s="1"/>
  <c r="J287" i="11" a="1"/>
  <c r="J287" i="11" s="1"/>
  <c r="J286" i="11" a="1"/>
  <c r="J286" i="11" s="1"/>
  <c r="J285" i="11" a="1"/>
  <c r="J285" i="11" s="1"/>
  <c r="J284" i="11" a="1"/>
  <c r="J284" i="11" s="1"/>
  <c r="J283" i="11" a="1"/>
  <c r="J283" i="11" s="1"/>
  <c r="J282" i="11" a="1"/>
  <c r="J282" i="11" s="1"/>
  <c r="J281" i="11" a="1"/>
  <c r="J281" i="11" s="1"/>
  <c r="J280" i="11" a="1"/>
  <c r="J280" i="11" s="1"/>
  <c r="J279" i="11" a="1"/>
  <c r="J279" i="11" s="1"/>
  <c r="J278" i="11" a="1"/>
  <c r="J278" i="11" s="1"/>
  <c r="J277" i="11" a="1"/>
  <c r="J277" i="11" s="1"/>
  <c r="J276" i="11" a="1"/>
  <c r="J276" i="11" s="1"/>
  <c r="J275" i="11" a="1"/>
  <c r="J275" i="11" s="1"/>
  <c r="J274" i="11" a="1"/>
  <c r="J274" i="11" s="1"/>
  <c r="J273" i="11" a="1"/>
  <c r="J273" i="11" s="1"/>
  <c r="J272" i="11" a="1"/>
  <c r="J272" i="11" s="1"/>
  <c r="J271" i="11" a="1"/>
  <c r="J271" i="11" s="1"/>
  <c r="J270" i="11" a="1"/>
  <c r="J270" i="11" s="1"/>
  <c r="J269" i="11" a="1"/>
  <c r="J269" i="11" s="1"/>
  <c r="J268" i="11" a="1"/>
  <c r="J268" i="11" s="1"/>
  <c r="J267" i="11" a="1"/>
  <c r="J267" i="11" s="1"/>
  <c r="J266" i="11" a="1"/>
  <c r="J266" i="11" s="1"/>
  <c r="J265" i="11" a="1"/>
  <c r="J265" i="11" s="1"/>
  <c r="J264" i="11" a="1"/>
  <c r="J264" i="11" s="1"/>
  <c r="J263" i="11" a="1"/>
  <c r="J263" i="11" s="1"/>
  <c r="J262" i="11" a="1"/>
  <c r="J262" i="11" s="1"/>
  <c r="J261" i="11" a="1"/>
  <c r="J261" i="11" s="1"/>
  <c r="J260" i="11" a="1"/>
  <c r="J260" i="11" s="1"/>
  <c r="J259" i="11" a="1"/>
  <c r="J259" i="11" s="1"/>
  <c r="J258" i="11" a="1"/>
  <c r="J258" i="11" s="1"/>
  <c r="J257" i="11" a="1"/>
  <c r="J257" i="11" s="1"/>
  <c r="J256" i="11" a="1"/>
  <c r="J256" i="11" s="1"/>
  <c r="J255" i="11" a="1"/>
  <c r="J255" i="11" s="1"/>
  <c r="J254" i="11" a="1"/>
  <c r="J254" i="11" s="1"/>
  <c r="J253" i="11" a="1"/>
  <c r="J253" i="11" s="1"/>
  <c r="J252" i="11" a="1"/>
  <c r="J252" i="11" s="1"/>
  <c r="J251" i="11" a="1"/>
  <c r="J251" i="11" s="1"/>
  <c r="J250" i="11" a="1"/>
  <c r="J250" i="11" s="1"/>
  <c r="J249" i="11" a="1"/>
  <c r="J249" i="11" s="1"/>
  <c r="J248" i="11" a="1"/>
  <c r="J248" i="11" s="1"/>
  <c r="J247" i="11" a="1"/>
  <c r="J247" i="11" s="1"/>
  <c r="J246" i="11" a="1"/>
  <c r="J246" i="11" s="1"/>
  <c r="J245" i="11" a="1"/>
  <c r="J245" i="11" s="1"/>
  <c r="J244" i="11" a="1"/>
  <c r="J244" i="11" s="1"/>
  <c r="J243" i="11" a="1"/>
  <c r="J243" i="11" s="1"/>
  <c r="J242" i="11" a="1"/>
  <c r="J242" i="11" s="1"/>
  <c r="J241" i="11" a="1"/>
  <c r="J241" i="11" s="1"/>
  <c r="J240" i="11" a="1"/>
  <c r="J240" i="11" s="1"/>
  <c r="J239" i="11" a="1"/>
  <c r="J239" i="11" s="1"/>
  <c r="J238" i="11" a="1"/>
  <c r="J238" i="11" s="1"/>
  <c r="J237" i="11" a="1"/>
  <c r="J237" i="11" s="1"/>
  <c r="J236" i="11" a="1"/>
  <c r="J236" i="11" s="1"/>
  <c r="J235" i="11" a="1"/>
  <c r="J235" i="11" s="1"/>
  <c r="J234" i="11" a="1"/>
  <c r="J234" i="11" s="1"/>
  <c r="J233" i="11" a="1"/>
  <c r="J233" i="11" s="1"/>
  <c r="J232" i="11" a="1"/>
  <c r="J232" i="11" s="1"/>
  <c r="J231" i="11" a="1"/>
  <c r="J231" i="11" s="1"/>
  <c r="J230" i="11" a="1"/>
  <c r="J230" i="11" s="1"/>
  <c r="J229" i="11" a="1"/>
  <c r="J229" i="11" s="1"/>
  <c r="J228" i="11" a="1"/>
  <c r="J228" i="11" s="1"/>
  <c r="J227" i="11" a="1"/>
  <c r="J227" i="11" s="1"/>
  <c r="J226" i="11" a="1"/>
  <c r="J226" i="11" s="1"/>
  <c r="J225" i="11" a="1"/>
  <c r="J225" i="11" s="1"/>
  <c r="J224" i="11" a="1"/>
  <c r="J224" i="11" s="1"/>
  <c r="J223" i="11" a="1"/>
  <c r="J223" i="11" s="1"/>
  <c r="J222" i="11" a="1"/>
  <c r="J222" i="11" s="1"/>
  <c r="J221" i="11" a="1"/>
  <c r="J221" i="11" s="1"/>
  <c r="J220" i="11" a="1"/>
  <c r="J220" i="11" s="1"/>
  <c r="J219" i="11" a="1"/>
  <c r="J219" i="11" s="1"/>
  <c r="J218" i="11" a="1"/>
  <c r="J218" i="11" s="1"/>
  <c r="J217" i="11" a="1"/>
  <c r="J217" i="11" s="1"/>
  <c r="J216" i="11" a="1"/>
  <c r="J216" i="11" s="1"/>
  <c r="J215" i="11" a="1"/>
  <c r="J215" i="11" s="1"/>
  <c r="J214" i="11" a="1"/>
  <c r="J214" i="11" s="1"/>
  <c r="J213" i="11" a="1"/>
  <c r="J213" i="11" s="1"/>
  <c r="J212" i="11" a="1"/>
  <c r="J212" i="11" s="1"/>
  <c r="J211" i="11" a="1"/>
  <c r="J211" i="11" s="1"/>
  <c r="J210" i="11" a="1"/>
  <c r="J210" i="11" s="1"/>
  <c r="J209" i="11" a="1"/>
  <c r="J209" i="11" s="1"/>
  <c r="J208" i="11" a="1"/>
  <c r="J208" i="11" s="1"/>
  <c r="J207" i="11" a="1"/>
  <c r="J207" i="11" s="1"/>
  <c r="J206" i="11" a="1"/>
  <c r="J206" i="11" s="1"/>
  <c r="J205" i="11" a="1"/>
  <c r="J205" i="11" s="1"/>
  <c r="J204" i="11" a="1"/>
  <c r="J204" i="11" s="1"/>
  <c r="J203" i="11" a="1"/>
  <c r="J203" i="11" s="1"/>
  <c r="J202" i="11" a="1"/>
  <c r="J202" i="11" s="1"/>
  <c r="J201" i="11" a="1"/>
  <c r="J201" i="11" s="1"/>
  <c r="J200" i="11" a="1"/>
  <c r="J200" i="11" s="1"/>
  <c r="J199" i="11" a="1"/>
  <c r="J199" i="11" s="1"/>
  <c r="J198" i="11" a="1"/>
  <c r="J198" i="11" s="1"/>
  <c r="J197" i="11" a="1"/>
  <c r="J197" i="11" s="1"/>
  <c r="J196" i="11" a="1"/>
  <c r="J196" i="11" s="1"/>
  <c r="J195" i="11" a="1"/>
  <c r="J195" i="11" s="1"/>
  <c r="J194" i="11" a="1"/>
  <c r="J194" i="11" s="1"/>
  <c r="J193" i="11" a="1"/>
  <c r="J193" i="11" s="1"/>
  <c r="J192" i="11" a="1"/>
  <c r="J192" i="11" s="1"/>
  <c r="J191" i="11" a="1"/>
  <c r="J191" i="11" s="1"/>
  <c r="J190" i="11" a="1"/>
  <c r="J190" i="11" s="1"/>
  <c r="J189" i="11" a="1"/>
  <c r="J189" i="11" s="1"/>
  <c r="J188" i="11" a="1"/>
  <c r="J188" i="11" s="1"/>
  <c r="J187" i="11" a="1"/>
  <c r="J187" i="11" s="1"/>
  <c r="J186" i="11" a="1"/>
  <c r="J186" i="11" s="1"/>
  <c r="J185" i="11" a="1"/>
  <c r="J185" i="11" s="1"/>
  <c r="J184" i="11" a="1"/>
  <c r="J184" i="11" s="1"/>
  <c r="J183" i="11" a="1"/>
  <c r="J183" i="11" s="1"/>
  <c r="J182" i="11" a="1"/>
  <c r="J182" i="11" s="1"/>
  <c r="J181" i="11" a="1"/>
  <c r="J181" i="11" s="1"/>
  <c r="J180" i="11" a="1"/>
  <c r="J180" i="11" s="1"/>
  <c r="J179" i="11" a="1"/>
  <c r="J179" i="11" s="1"/>
  <c r="J178" i="11" a="1"/>
  <c r="J178" i="11" s="1"/>
  <c r="J177" i="11" a="1"/>
  <c r="J177" i="11" s="1"/>
  <c r="J176" i="11" a="1"/>
  <c r="J176" i="11" s="1"/>
  <c r="J175" i="11" a="1"/>
  <c r="J175" i="11" s="1"/>
  <c r="J174" i="11" a="1"/>
  <c r="J174" i="11" s="1"/>
  <c r="J173" i="11" a="1"/>
  <c r="J173" i="11" s="1"/>
  <c r="J172" i="11" a="1"/>
  <c r="J172" i="11" s="1"/>
  <c r="J171" i="11" a="1"/>
  <c r="J171" i="11" s="1"/>
  <c r="J170" i="11" a="1"/>
  <c r="J170" i="11" s="1"/>
  <c r="J169" i="11" a="1"/>
  <c r="J169" i="11" s="1"/>
  <c r="J168" i="11" a="1"/>
  <c r="J168" i="11" s="1"/>
  <c r="J167" i="11" a="1"/>
  <c r="J167" i="11" s="1"/>
  <c r="J166" i="11" a="1"/>
  <c r="J166" i="11" s="1"/>
  <c r="J165" i="11" a="1"/>
  <c r="J165" i="11" s="1"/>
  <c r="J164" i="11" a="1"/>
  <c r="J164" i="11" s="1"/>
  <c r="J163" i="11" a="1"/>
  <c r="J163" i="11" s="1"/>
  <c r="J162" i="11" a="1"/>
  <c r="J162" i="11" s="1"/>
  <c r="J161" i="11" a="1"/>
  <c r="J161" i="11" s="1"/>
  <c r="J160" i="11" a="1"/>
  <c r="J160" i="11" s="1"/>
  <c r="J159" i="11" a="1"/>
  <c r="J159" i="11" s="1"/>
  <c r="J158" i="11" a="1"/>
  <c r="J158" i="11" s="1"/>
  <c r="J157" i="11" a="1"/>
  <c r="J157" i="11" s="1"/>
  <c r="J156" i="11" a="1"/>
  <c r="J156" i="11" s="1"/>
  <c r="J155" i="11" a="1"/>
  <c r="J155" i="11" s="1"/>
  <c r="J154" i="11" a="1"/>
  <c r="J154" i="11" s="1"/>
  <c r="J153" i="11" a="1"/>
  <c r="J153" i="11" s="1"/>
  <c r="J152" i="11" a="1"/>
  <c r="J152" i="11" s="1"/>
  <c r="J151" i="11" a="1"/>
  <c r="J151" i="11" s="1"/>
  <c r="J150" i="11" a="1"/>
  <c r="J150" i="11" s="1"/>
  <c r="J149" i="11" a="1"/>
  <c r="J149" i="11" s="1"/>
  <c r="J148" i="11" a="1"/>
  <c r="J148" i="11" s="1"/>
  <c r="J147" i="11" a="1"/>
  <c r="J147" i="11" s="1"/>
  <c r="J146" i="11" a="1"/>
  <c r="J146" i="11" s="1"/>
  <c r="J145" i="11" a="1"/>
  <c r="J145" i="11" s="1"/>
  <c r="J144" i="11" a="1"/>
  <c r="J144" i="11" s="1"/>
  <c r="J143" i="11" a="1"/>
  <c r="J143" i="11" s="1"/>
  <c r="J142" i="11" a="1"/>
  <c r="J142" i="11" s="1"/>
  <c r="J141" i="11" a="1"/>
  <c r="J141" i="11" s="1"/>
  <c r="J140" i="11" a="1"/>
  <c r="J140" i="11" s="1"/>
  <c r="J139" i="11" a="1"/>
  <c r="J139" i="11" s="1"/>
  <c r="J138" i="11" a="1"/>
  <c r="J138" i="11" s="1"/>
  <c r="J137" i="11" a="1"/>
  <c r="J137" i="11" s="1"/>
  <c r="J136" i="11" a="1"/>
  <c r="J136" i="11" s="1"/>
  <c r="J135" i="11" a="1"/>
  <c r="J135" i="11" s="1"/>
  <c r="J134" i="11" a="1"/>
  <c r="J134" i="11" s="1"/>
  <c r="J133" i="11" a="1"/>
  <c r="J133" i="11" s="1"/>
  <c r="J132" i="11" a="1"/>
  <c r="J132" i="11" s="1"/>
  <c r="J131" i="11" a="1"/>
  <c r="J131" i="11" s="1"/>
  <c r="J130" i="11" a="1"/>
  <c r="J130" i="11" s="1"/>
  <c r="J129" i="11" a="1"/>
  <c r="J129" i="11" s="1"/>
  <c r="J128" i="11" a="1"/>
  <c r="J128" i="11" s="1"/>
  <c r="J127" i="11" a="1"/>
  <c r="J127" i="11" s="1"/>
  <c r="J126" i="11" a="1"/>
  <c r="J126" i="11" s="1"/>
  <c r="J125" i="11" a="1"/>
  <c r="J125" i="11" s="1"/>
  <c r="J124" i="11" a="1"/>
  <c r="J124" i="11" s="1"/>
  <c r="J123" i="11" a="1"/>
  <c r="J123" i="11" s="1"/>
  <c r="J122" i="11" a="1"/>
  <c r="J122" i="11" s="1"/>
  <c r="J121" i="11" a="1"/>
  <c r="J121" i="11" s="1"/>
  <c r="J120" i="11" a="1"/>
  <c r="J120" i="11" s="1"/>
  <c r="J119" i="11" a="1"/>
  <c r="J119" i="11" s="1"/>
  <c r="J118" i="11" a="1"/>
  <c r="J118" i="11" s="1"/>
  <c r="J117" i="11" a="1"/>
  <c r="J117" i="11" s="1"/>
  <c r="J116" i="11" a="1"/>
  <c r="J116" i="11" s="1"/>
  <c r="J115" i="11" a="1"/>
  <c r="J115" i="11" s="1"/>
  <c r="J114" i="11" a="1"/>
  <c r="J114" i="11" s="1"/>
  <c r="J113" i="11" a="1"/>
  <c r="J113" i="11" s="1"/>
  <c r="J112" i="11" a="1"/>
  <c r="J112" i="11" s="1"/>
  <c r="J111" i="11" a="1"/>
  <c r="J111" i="11" s="1"/>
  <c r="J110" i="11" a="1"/>
  <c r="J110" i="11" s="1"/>
  <c r="J109" i="11" a="1"/>
  <c r="J109" i="11" s="1"/>
  <c r="J108" i="11" a="1"/>
  <c r="J108" i="11" s="1"/>
  <c r="J107" i="11" a="1"/>
  <c r="J107" i="11" s="1"/>
  <c r="J106" i="11" a="1"/>
  <c r="J106" i="11" s="1"/>
  <c r="J105" i="11" a="1"/>
  <c r="J105" i="11" s="1"/>
  <c r="J104" i="11" a="1"/>
  <c r="J104" i="11" s="1"/>
  <c r="J103" i="11" a="1"/>
  <c r="J103" i="11" s="1"/>
  <c r="J102" i="11" a="1"/>
  <c r="J102" i="11" s="1"/>
  <c r="J101" i="11" a="1"/>
  <c r="J101" i="11" s="1"/>
  <c r="J100" i="11" a="1"/>
  <c r="J100" i="11" s="1"/>
  <c r="J99" i="11" a="1"/>
  <c r="J99" i="11" s="1"/>
  <c r="J98" i="11" a="1"/>
  <c r="J98" i="11" s="1"/>
  <c r="J97" i="11" a="1"/>
  <c r="J97" i="11" s="1"/>
  <c r="J96" i="11" a="1"/>
  <c r="J96" i="11" s="1"/>
  <c r="J95" i="11" a="1"/>
  <c r="J95" i="11" s="1"/>
  <c r="J94" i="11" a="1"/>
  <c r="J94" i="11" s="1"/>
  <c r="J93" i="11" a="1"/>
  <c r="J93" i="11" s="1"/>
  <c r="J92" i="11" a="1"/>
  <c r="J92" i="11" s="1"/>
  <c r="J91" i="11" a="1"/>
  <c r="J91" i="11" s="1"/>
  <c r="J90" i="11" a="1"/>
  <c r="J90" i="11" s="1"/>
  <c r="J89" i="11" a="1"/>
  <c r="J89" i="11" s="1"/>
  <c r="J88" i="11" a="1"/>
  <c r="J88" i="11" s="1"/>
  <c r="J87" i="11" a="1"/>
  <c r="J87" i="11" s="1"/>
  <c r="J86" i="11" a="1"/>
  <c r="J86" i="11" s="1"/>
  <c r="J85" i="11" a="1"/>
  <c r="J85" i="11" s="1"/>
  <c r="J84" i="11" a="1"/>
  <c r="J84" i="11" s="1"/>
  <c r="J83" i="11" a="1"/>
  <c r="J83" i="11" s="1"/>
  <c r="J82" i="11" a="1"/>
  <c r="J82" i="11" s="1"/>
  <c r="J81" i="11" a="1"/>
  <c r="J81" i="11" s="1"/>
  <c r="J80" i="11" a="1"/>
  <c r="J80" i="11" s="1"/>
  <c r="J79" i="11" a="1"/>
  <c r="J79" i="11" s="1"/>
  <c r="J78" i="11" a="1"/>
  <c r="J78" i="11" s="1"/>
  <c r="J77" i="11" a="1"/>
  <c r="J77" i="11" s="1"/>
  <c r="J76" i="11" a="1"/>
  <c r="J76" i="11" s="1"/>
  <c r="J75" i="11" a="1"/>
  <c r="J75" i="11" s="1"/>
  <c r="J74" i="11" a="1"/>
  <c r="J74" i="11" s="1"/>
  <c r="J73" i="11" a="1"/>
  <c r="J73" i="11" s="1"/>
  <c r="J72" i="11" a="1"/>
  <c r="J72" i="11" s="1"/>
  <c r="J71" i="11" a="1"/>
  <c r="J71" i="11" s="1"/>
  <c r="J70" i="11" a="1"/>
  <c r="J70" i="11" s="1"/>
  <c r="J69" i="11" a="1"/>
  <c r="J69" i="11" s="1"/>
  <c r="J68" i="11" a="1"/>
  <c r="J68" i="11" s="1"/>
  <c r="J67" i="11" a="1"/>
  <c r="J67" i="11" s="1"/>
  <c r="J66" i="11" a="1"/>
  <c r="J66" i="11" s="1"/>
  <c r="J65" i="11" a="1"/>
  <c r="J65" i="11" s="1"/>
  <c r="J64" i="11" a="1"/>
  <c r="J64" i="11" s="1"/>
  <c r="J63" i="11" a="1"/>
  <c r="J63" i="11" s="1"/>
  <c r="J62" i="11" a="1"/>
  <c r="J62" i="11" s="1"/>
  <c r="J61" i="11" a="1"/>
  <c r="J61" i="11" s="1"/>
  <c r="J60" i="11" a="1"/>
  <c r="J60" i="11" s="1"/>
  <c r="J59" i="11" a="1"/>
  <c r="J59" i="11" s="1"/>
  <c r="J58" i="11" a="1"/>
  <c r="J58" i="11" s="1"/>
  <c r="J57" i="11" a="1"/>
  <c r="J57" i="11" s="1"/>
  <c r="J56" i="11" a="1"/>
  <c r="J56" i="11" s="1"/>
  <c r="J55" i="11" a="1"/>
  <c r="J55" i="11" s="1"/>
  <c r="J54" i="11" a="1"/>
  <c r="J54" i="11" s="1"/>
  <c r="J53" i="11" a="1"/>
  <c r="J53" i="11" s="1"/>
  <c r="J52" i="11" a="1"/>
  <c r="J52" i="11" s="1"/>
  <c r="J51" i="11" a="1"/>
  <c r="J51" i="11" s="1"/>
  <c r="J50" i="11" a="1"/>
  <c r="J50" i="11" s="1"/>
  <c r="J49" i="11" a="1"/>
  <c r="J49" i="11" s="1"/>
  <c r="J48" i="11" a="1"/>
  <c r="J48" i="11" s="1"/>
  <c r="J47" i="11" a="1"/>
  <c r="J47" i="11" s="1"/>
  <c r="J46" i="11" a="1"/>
  <c r="J46" i="11" s="1"/>
  <c r="J45" i="11" a="1"/>
  <c r="J45" i="11" s="1"/>
  <c r="J44" i="11" a="1"/>
  <c r="J44" i="11" s="1"/>
  <c r="J43" i="11" a="1"/>
  <c r="J43" i="11" s="1"/>
  <c r="J42" i="11" a="1"/>
  <c r="J42" i="11" s="1"/>
  <c r="J41" i="11" a="1"/>
  <c r="J41" i="11" s="1"/>
  <c r="J40" i="11" a="1"/>
  <c r="J40" i="11" s="1"/>
  <c r="J39" i="11" a="1"/>
  <c r="J39" i="11" s="1"/>
  <c r="J38" i="11" a="1"/>
  <c r="J38" i="11" s="1"/>
  <c r="J37" i="11" a="1"/>
  <c r="J37" i="11" s="1"/>
  <c r="J36" i="11" a="1"/>
  <c r="J36" i="11" s="1"/>
  <c r="J35" i="11" a="1"/>
  <c r="J35" i="11" s="1"/>
  <c r="J34" i="11" a="1"/>
  <c r="J34" i="11" s="1"/>
  <c r="J33" i="11" a="1"/>
  <c r="J33" i="11" s="1"/>
  <c r="J32" i="11" a="1"/>
  <c r="J32" i="11" s="1"/>
  <c r="J31" i="11" a="1"/>
  <c r="J31" i="11" s="1"/>
  <c r="J30" i="11" a="1"/>
  <c r="J30" i="11" s="1"/>
  <c r="J29" i="11" a="1"/>
  <c r="J29" i="11" s="1"/>
  <c r="J28" i="11" a="1"/>
  <c r="J28" i="11" s="1"/>
  <c r="J27" i="11" a="1"/>
  <c r="J27" i="11" s="1"/>
  <c r="J26" i="11" a="1"/>
  <c r="J26" i="11" s="1"/>
  <c r="J25" i="11" a="1"/>
  <c r="J25" i="11" s="1"/>
  <c r="J24" i="11" a="1"/>
  <c r="J24" i="11" s="1"/>
  <c r="J23" i="11" a="1"/>
  <c r="J23" i="11" s="1"/>
  <c r="J22" i="11" a="1"/>
  <c r="J22" i="11" s="1"/>
  <c r="J21" i="11" a="1"/>
  <c r="J21" i="11" s="1"/>
  <c r="J20" i="11" a="1"/>
  <c r="J20" i="11" s="1"/>
  <c r="J19" i="11" a="1"/>
  <c r="J19" i="11" s="1"/>
  <c r="J18" i="11" a="1"/>
  <c r="J18" i="11" s="1"/>
  <c r="J17" i="11" a="1"/>
  <c r="J17" i="11" s="1"/>
  <c r="J16" i="11" a="1"/>
  <c r="J16" i="11" s="1"/>
  <c r="J15" i="11" a="1"/>
  <c r="J15" i="11" s="1"/>
  <c r="J14" i="11" a="1"/>
  <c r="J14" i="11" s="1"/>
  <c r="J13" i="11" a="1"/>
  <c r="J13" i="11" s="1"/>
  <c r="J12" i="11" a="1"/>
  <c r="J12" i="11" s="1"/>
  <c r="J11" i="11" a="1"/>
  <c r="J11" i="11" s="1"/>
  <c r="J10" i="11" a="1"/>
  <c r="J10" i="11" s="1"/>
  <c r="J9" i="11" a="1"/>
  <c r="J9" i="11" s="1"/>
  <c r="J8" i="11" a="1"/>
  <c r="J8" i="11" s="1"/>
  <c r="J7" i="11" a="1"/>
  <c r="J7" i="11" s="1"/>
  <c r="J6" i="11" a="1"/>
  <c r="J6" i="11" s="1"/>
  <c r="J5" i="11" a="1"/>
  <c r="J5" i="11" s="1"/>
  <c r="J4" i="11" a="1"/>
  <c r="J4" i="11" s="1"/>
  <c r="J3" i="11" a="1"/>
  <c r="J3" i="11" s="1"/>
  <c r="J2" i="11" a="1"/>
  <c r="J2" i="11" s="1"/>
  <c r="A4" i="9"/>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20" i="9" s="1"/>
  <c r="A321" i="9" s="1"/>
  <c r="A322" i="9" s="1"/>
  <c r="A323" i="9" s="1"/>
  <c r="A324" i="9" s="1"/>
  <c r="A325" i="9" s="1"/>
  <c r="A326" i="9" s="1"/>
  <c r="A327" i="9" s="1"/>
  <c r="A328" i="9" s="1"/>
  <c r="A329" i="9" s="1"/>
  <c r="A330" i="9" s="1"/>
  <c r="A331"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A368" i="9" s="1"/>
  <c r="A369" i="9" s="1"/>
  <c r="A370" i="9" s="1"/>
  <c r="A371" i="9" s="1"/>
  <c r="A372" i="9" s="1"/>
  <c r="A373" i="9" s="1"/>
  <c r="A374" i="9" s="1"/>
  <c r="A375" i="9" s="1"/>
  <c r="A376" i="9" s="1"/>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3" i="9"/>
  <c r="A3" i="8"/>
  <c r="A4" i="8" s="1"/>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8" i="8" s="1"/>
  <c r="A159" i="8" s="1"/>
  <c r="A160" i="8" s="1"/>
  <c r="A161" i="8" s="1"/>
  <c r="A162" i="8" s="1"/>
  <c r="A163" i="8" s="1"/>
  <c r="A164" i="8" s="1"/>
  <c r="A165" i="8" s="1"/>
  <c r="A166" i="8" s="1"/>
  <c r="A167" i="8" s="1"/>
  <c r="A168" i="8" s="1"/>
  <c r="A169" i="8" s="1"/>
  <c r="A170" i="8" s="1"/>
  <c r="A171" i="8" s="1"/>
  <c r="A172" i="8" s="1"/>
  <c r="A173" i="8" s="1"/>
  <c r="A174" i="8" s="1"/>
  <c r="A175" i="8" s="1"/>
  <c r="A176" i="8" s="1"/>
  <c r="A177" i="8" s="1"/>
  <c r="A178" i="8" s="1"/>
  <c r="A179" i="8" s="1"/>
  <c r="A180" i="8" s="1"/>
  <c r="A181" i="8" s="1"/>
  <c r="A182" i="8" s="1"/>
  <c r="A183" i="8" s="1"/>
  <c r="A184" i="8" s="1"/>
  <c r="A185" i="8" s="1"/>
  <c r="A186" i="8" s="1"/>
  <c r="A187" i="8" s="1"/>
  <c r="A188" i="8" s="1"/>
  <c r="A189" i="8" s="1"/>
  <c r="A190" i="8" s="1"/>
  <c r="A191" i="8" s="1"/>
  <c r="A192" i="8" s="1"/>
  <c r="A193" i="8" s="1"/>
  <c r="A194" i="8" s="1"/>
  <c r="A195" i="8" s="1"/>
  <c r="A196" i="8" s="1"/>
  <c r="A197" i="8" s="1"/>
  <c r="A198" i="8" s="1"/>
  <c r="A199" i="8" s="1"/>
  <c r="A200" i="8" s="1"/>
  <c r="A201" i="8" s="1"/>
  <c r="A202" i="8" s="1"/>
  <c r="A203" i="8" s="1"/>
  <c r="A204" i="8" s="1"/>
  <c r="A205" i="8" s="1"/>
  <c r="A206" i="8" s="1"/>
  <c r="A207" i="8" s="1"/>
  <c r="A208" i="8" s="1"/>
  <c r="A209" i="8" s="1"/>
  <c r="A210" i="8" s="1"/>
  <c r="A211" i="8" s="1"/>
  <c r="A212" i="8" s="1"/>
  <c r="A213" i="8" s="1"/>
  <c r="A214" i="8" s="1"/>
  <c r="A215" i="8" s="1"/>
  <c r="A216" i="8" s="1"/>
  <c r="A217" i="8" s="1"/>
  <c r="A218" i="8" s="1"/>
  <c r="A219" i="8" s="1"/>
  <c r="A220" i="8" s="1"/>
  <c r="A221" i="8" s="1"/>
  <c r="A222" i="8" s="1"/>
  <c r="A223" i="8" s="1"/>
  <c r="A224" i="8" s="1"/>
  <c r="A225" i="8" s="1"/>
  <c r="A226" i="8" s="1"/>
  <c r="A227" i="8" s="1"/>
  <c r="A228" i="8" s="1"/>
  <c r="A229" i="8" s="1"/>
  <c r="A230" i="8" s="1"/>
  <c r="A231" i="8" s="1"/>
  <c r="A232" i="8" s="1"/>
  <c r="A233" i="8" s="1"/>
  <c r="A234" i="8" s="1"/>
  <c r="A235" i="8" s="1"/>
  <c r="A236" i="8" s="1"/>
  <c r="A237" i="8" s="1"/>
  <c r="A238" i="8" s="1"/>
  <c r="A239" i="8" s="1"/>
  <c r="A240" i="8" s="1"/>
  <c r="A241" i="8" s="1"/>
  <c r="A242" i="8" s="1"/>
  <c r="A243" i="8" s="1"/>
  <c r="A244" i="8" s="1"/>
  <c r="A245" i="8" s="1"/>
  <c r="A246" i="8" s="1"/>
  <c r="A247" i="8" s="1"/>
  <c r="A248" i="8" s="1"/>
  <c r="A249" i="8" s="1"/>
  <c r="A250" i="8" s="1"/>
  <c r="A251" i="8" s="1"/>
  <c r="A252" i="8" s="1"/>
  <c r="A253" i="8" s="1"/>
  <c r="A254" i="8" s="1"/>
  <c r="A255" i="8" s="1"/>
  <c r="A256" i="8" s="1"/>
  <c r="A257" i="8" s="1"/>
  <c r="A258" i="8" s="1"/>
  <c r="A259" i="8" s="1"/>
  <c r="A260" i="8" s="1"/>
  <c r="A261" i="8" s="1"/>
  <c r="A262" i="8" s="1"/>
  <c r="A263" i="8" s="1"/>
  <c r="A264" i="8" s="1"/>
  <c r="A265" i="8" s="1"/>
  <c r="A266" i="8" s="1"/>
  <c r="A267" i="8" s="1"/>
  <c r="A268" i="8" s="1"/>
  <c r="A269" i="8" s="1"/>
  <c r="A270" i="8" s="1"/>
  <c r="A271" i="8" s="1"/>
  <c r="A272" i="8" s="1"/>
  <c r="A273" i="8" s="1"/>
  <c r="A274" i="8" s="1"/>
  <c r="A275" i="8" s="1"/>
  <c r="A276" i="8" s="1"/>
  <c r="A277" i="8" s="1"/>
  <c r="A278" i="8" s="1"/>
  <c r="A279" i="8" s="1"/>
  <c r="A280" i="8" s="1"/>
  <c r="A281" i="8" s="1"/>
  <c r="A282" i="8" s="1"/>
  <c r="A283" i="8" s="1"/>
  <c r="A284" i="8" s="1"/>
  <c r="A285" i="8" s="1"/>
  <c r="A286" i="8" s="1"/>
  <c r="A287" i="8" s="1"/>
  <c r="A288" i="8" s="1"/>
  <c r="A289" i="8" s="1"/>
  <c r="A290" i="8" s="1"/>
  <c r="A291" i="8" s="1"/>
  <c r="A292" i="8" s="1"/>
  <c r="A293" i="8" s="1"/>
  <c r="A294" i="8" s="1"/>
  <c r="A295" i="8" s="1"/>
  <c r="A296" i="8" s="1"/>
  <c r="A297" i="8" s="1"/>
  <c r="A298" i="8" s="1"/>
  <c r="A299" i="8" s="1"/>
  <c r="A300" i="8" s="1"/>
  <c r="A301" i="8" s="1"/>
  <c r="A302" i="8" s="1"/>
  <c r="A303" i="8" s="1"/>
  <c r="A304" i="8" s="1"/>
  <c r="A305" i="8" s="1"/>
  <c r="A306" i="8" s="1"/>
  <c r="A307" i="8" s="1"/>
  <c r="A308" i="8" s="1"/>
  <c r="A309" i="8" s="1"/>
  <c r="A310" i="8" s="1"/>
  <c r="A311" i="8" s="1"/>
  <c r="A312" i="8" s="1"/>
  <c r="A313" i="8" s="1"/>
  <c r="A314" i="8" s="1"/>
  <c r="A315" i="8" s="1"/>
  <c r="A316" i="8" s="1"/>
  <c r="A317" i="8" s="1"/>
  <c r="A318" i="8" s="1"/>
  <c r="A319" i="8" s="1"/>
  <c r="A320" i="8" s="1"/>
  <c r="A321" i="8" s="1"/>
  <c r="A322" i="8" s="1"/>
  <c r="A323" i="8" s="1"/>
  <c r="A324" i="8" s="1"/>
  <c r="A325" i="8" s="1"/>
  <c r="A326" i="8" s="1"/>
  <c r="A327" i="8" s="1"/>
  <c r="A328" i="8" s="1"/>
  <c r="A329" i="8" s="1"/>
  <c r="A330" i="8" s="1"/>
  <c r="A331" i="8" s="1"/>
  <c r="A332" i="8" s="1"/>
  <c r="A333" i="8" s="1"/>
  <c r="A334" i="8" s="1"/>
  <c r="A335" i="8" s="1"/>
  <c r="A336" i="8" s="1"/>
  <c r="A337" i="8" s="1"/>
  <c r="A338" i="8" s="1"/>
  <c r="A339" i="8" s="1"/>
  <c r="A340" i="8" s="1"/>
  <c r="A341" i="8" s="1"/>
  <c r="A342" i="8" s="1"/>
  <c r="A343" i="8" s="1"/>
  <c r="A344" i="8" s="1"/>
  <c r="A345" i="8" s="1"/>
  <c r="A346" i="8" s="1"/>
  <c r="A347" i="8" s="1"/>
  <c r="A348" i="8" s="1"/>
  <c r="A349" i="8" s="1"/>
  <c r="A350" i="8" s="1"/>
  <c r="A351" i="8" s="1"/>
  <c r="A352" i="8" s="1"/>
  <c r="A353" i="8" s="1"/>
  <c r="A354" i="8" s="1"/>
  <c r="A355" i="8" s="1"/>
  <c r="A356" i="8" s="1"/>
  <c r="A357" i="8" s="1"/>
  <c r="A358" i="8" s="1"/>
  <c r="A359" i="8" s="1"/>
  <c r="A360" i="8" s="1"/>
  <c r="A361" i="8" s="1"/>
  <c r="A362" i="8" s="1"/>
  <c r="A363" i="8" s="1"/>
  <c r="A364" i="8" s="1"/>
  <c r="A365" i="8" s="1"/>
  <c r="A366" i="8" s="1"/>
  <c r="A367" i="8" s="1"/>
  <c r="A368" i="8" s="1"/>
  <c r="A369" i="8" s="1"/>
  <c r="A370" i="8" s="1"/>
  <c r="A371" i="8" s="1"/>
  <c r="A372" i="8" s="1"/>
  <c r="A373" i="8" s="1"/>
  <c r="A374" i="8" s="1"/>
  <c r="A375" i="8" s="1"/>
  <c r="A376" i="8" s="1"/>
  <c r="A377" i="8" s="1"/>
  <c r="A378" i="8" s="1"/>
  <c r="A379" i="8" s="1"/>
  <c r="A380" i="8" s="1"/>
  <c r="A381" i="8" s="1"/>
  <c r="A382" i="8" s="1"/>
  <c r="A383" i="8" s="1"/>
  <c r="A384" i="8" s="1"/>
  <c r="A385" i="8" s="1"/>
  <c r="A386" i="8" s="1"/>
  <c r="A387" i="8" s="1"/>
  <c r="A388" i="8" s="1"/>
  <c r="A389" i="8" s="1"/>
  <c r="A390" i="8" s="1"/>
  <c r="A391" i="8" s="1"/>
  <c r="A392" i="8" s="1"/>
  <c r="A393" i="8" s="1"/>
  <c r="A394" i="8" s="1"/>
  <c r="A395" i="8" s="1"/>
  <c r="A396" i="8" s="1"/>
  <c r="A397" i="8" s="1"/>
  <c r="A398" i="8" s="1"/>
  <c r="A399" i="8" s="1"/>
  <c r="A400" i="8" s="1"/>
  <c r="A401" i="8" s="1"/>
  <c r="A402" i="8" s="1"/>
  <c r="A403" i="8" s="1"/>
  <c r="A404" i="8" s="1"/>
  <c r="A405" i="8" s="1"/>
  <c r="A406" i="8" s="1"/>
  <c r="A407" i="8" s="1"/>
  <c r="A408" i="8" s="1"/>
  <c r="A409" i="8" s="1"/>
  <c r="A410" i="8" s="1"/>
  <c r="A411" i="8" s="1"/>
  <c r="A412" i="8" s="1"/>
  <c r="A413" i="8" s="1"/>
  <c r="A414" i="8" s="1"/>
  <c r="A415" i="8" s="1"/>
  <c r="A416" i="8" s="1"/>
  <c r="A417" i="8" s="1"/>
  <c r="A418" i="8" s="1"/>
  <c r="A419" i="8" s="1"/>
  <c r="A420" i="8" s="1"/>
  <c r="A421" i="8" s="1"/>
  <c r="A422" i="8" s="1"/>
  <c r="A423" i="8" s="1"/>
  <c r="A424" i="8" s="1"/>
  <c r="A425" i="8" s="1"/>
  <c r="A426" i="8" s="1"/>
  <c r="A427" i="8" s="1"/>
  <c r="A428" i="8" s="1"/>
  <c r="A429" i="8" s="1"/>
  <c r="A430" i="8" s="1"/>
  <c r="A431" i="8" s="1"/>
  <c r="A432" i="8" s="1"/>
  <c r="A433" i="8" s="1"/>
  <c r="A434" i="8" s="1"/>
  <c r="A435" i="8" s="1"/>
  <c r="A436" i="8" s="1"/>
  <c r="A437" i="8" s="1"/>
  <c r="A438" i="8" s="1"/>
  <c r="A439" i="8" s="1"/>
  <c r="A440" i="8" s="1"/>
  <c r="A441" i="8" s="1"/>
  <c r="A442" i="8" s="1"/>
  <c r="A443" i="8" s="1"/>
  <c r="A444" i="8" s="1"/>
  <c r="A445" i="8" s="1"/>
  <c r="A446" i="8" s="1"/>
  <c r="A447" i="8" s="1"/>
  <c r="A448" i="8" s="1"/>
  <c r="A449" i="8" s="1"/>
  <c r="A450" i="8" s="1"/>
  <c r="A451" i="8" s="1"/>
  <c r="A452" i="8" s="1"/>
  <c r="A453" i="8" s="1"/>
  <c r="A454" i="8" s="1"/>
  <c r="A455" i="8" s="1"/>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O7" i="20" l="1"/>
  <c r="M10" i="9"/>
  <c r="O10" i="9" s="1"/>
  <c r="O10" i="17"/>
  <c r="Q10" i="17"/>
  <c r="R7" i="11"/>
  <c r="M7" i="13"/>
  <c r="N7" i="13"/>
  <c r="Q9" i="11"/>
  <c r="S9" i="11" s="1"/>
  <c r="U12" i="11"/>
  <c r="N8" i="9"/>
  <c r="O9" i="20" l="1"/>
  <c r="Q9" i="20" s="1"/>
  <c r="Q7"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1B8002-7D1D-4B0C-B468-CAFD07E0114C}" keepAlive="1" name="Query - Text_Preprocessing" description="Connection to the 'Text_Preprocessing' query in the workbook." type="5" refreshedVersion="0" background="1">
    <dbPr connection="Provider=Microsoft.Mashup.OleDb.1;Data Source=$Workbook$;Location=Text_Preprocessing;Extended Properties=&quot;&quot;" command="SELECT * FROM [Text_Preprocessing]"/>
  </connection>
  <connection id="2" xr16:uid="{996BF206-7527-4901-8E4A-557B784F2082}" keepAlive="1" name="Query - Text_Preprocessing (2)" description="Connection to the 'Text_Preprocessing (2)' query in the workbook." type="5" refreshedVersion="8" background="1" saveData="1">
    <dbPr connection="Provider=Microsoft.Mashup.OleDb.1;Data Source=$Workbook$;Location=&quot;Text_Preprocessing (2)&quot;;Extended Properties=&quot;&quot;" command="SELECT * FROM [Text_Preprocessing (2)]"/>
  </connection>
  <connection id="3" xr16:uid="{46DD2278-A9DC-46D2-BF38-DC92EB88FA3C}" keepAlive="1" name="Query - Text_Preprocessing (3)" description="Connection to the 'Text_Preprocessing (3)' query in the workbook." type="5" refreshedVersion="8" background="1" saveData="1">
    <dbPr connection="Provider=Microsoft.Mashup.OleDb.1;Data Source=$Workbook$;Location=&quot;Text_Preprocessing (3)&quot;;Extended Properties=&quot;&quot;" command="SELECT * FROM [Text_Preprocessing (3)]"/>
  </connection>
  <connection id="4" xr16:uid="{46C5339A-BE2D-4698-8BBA-B99E6D753479}" keepAlive="1" name="Query - Text_Preprocessing (4)" description="Connection to the 'Text_Preprocessing (4)' query in the workbook." type="5" refreshedVersion="8" background="1" saveData="1">
    <dbPr connection="Provider=Microsoft.Mashup.OleDb.1;Data Source=$Workbook$;Location=&quot;Text_Preprocessing (4)&quot;;Extended Properties=&quot;&quot;" command="SELECT * FROM [Text_Preprocessing (4)]"/>
  </connection>
  <connection id="5" xr16:uid="{8D3896C0-BB47-4857-9B00-88260DACEC40}" keepAlive="1" name="Query - Text_Preprocessing (5)" description="Connection to the 'Text_Preprocessing (5)' query in the workbook." type="5" refreshedVersion="8" background="1" saveData="1">
    <dbPr connection="Provider=Microsoft.Mashup.OleDb.1;Data Source=$Workbook$;Location=&quot;Text_Preprocessing (5)&quot;;Extended Properties=&quot;&quot;" command="SELECT * FROM [Text_Preprocessing (5)]"/>
  </connection>
  <connection id="6" xr16:uid="{A14984BE-1694-42F7-8297-536EE0048B2D}" keepAlive="1" name="Query - Text_Preprocessing (6)" description="Connection to the 'Text_Preprocessing (6)' query in the workbook." type="5" refreshedVersion="8" background="1" saveData="1">
    <dbPr connection="Provider=Microsoft.Mashup.OleDb.1;Data Source=$Workbook$;Location=&quot;Text_Preprocessing (6)&quot;;Extended Properties=&quot;&quot;" command="SELECT * FROM [Text_Preprocessing (6)]"/>
  </connection>
  <connection id="7" xr16:uid="{15E23561-30F4-4CFA-BA34-AB088E1FF6E9}" keepAlive="1" name="Query - Text_Preprocessing (7)" description="Connection to the 'Text_Preprocessing (7)' query in the workbook." type="5" refreshedVersion="8" background="1" saveData="1">
    <dbPr connection="Provider=Microsoft.Mashup.OleDb.1;Data Source=$Workbook$;Location=&quot;Text_Preprocessing (7)&quot;;Extended Properties=&quot;&quot;" command="SELECT * FROM [Text_Preprocessing (7)]"/>
  </connection>
  <connection id="8" xr16:uid="{C61E967D-3853-4BEE-984A-86F6FE14D73A}" keepAlive="1" name="Query - Text_Preprocessing (8)" description="Connection to the 'Text_Preprocessing (8)' query in the workbook." type="5" refreshedVersion="8" background="1" saveData="1">
    <dbPr connection="Provider=Microsoft.Mashup.OleDb.1;Data Source=$Workbook$;Location=&quot;Text_Preprocessing (8)&quot;;Extended Properties=&quot;&quot;" command="SELECT * FROM [Text_Preprocessing (8)]"/>
  </connection>
  <connection id="9" xr16:uid="{A8069F5A-FD90-4EFA-9D0B-2378453014B9}" keepAlive="1" name="Query - Text_Preprocessing2" description="Connection to the 'Text_Preprocessing2' query in the workbook." type="5" refreshedVersion="8" background="1" saveData="1">
    <dbPr connection="Provider=Microsoft.Mashup.OleDb.1;Data Source=$Workbook$;Location=Text_Preprocessing2;Extended Properties=&quot;&quot;" command="SELECT * FROM [Text_Preprocessing2]"/>
  </connection>
  <connection id="10" xr16:uid="{2EFDB25E-725C-4026-8D01-A8C288848410}" keepAlive="1" name="Query - Text_Preprocessing2 (2)" description="Connection to the 'Text_Preprocessing2 (2)' query in the workbook." type="5" refreshedVersion="8" background="1" saveData="1">
    <dbPr connection="Provider=Microsoft.Mashup.OleDb.1;Data Source=$Workbook$;Location=&quot;Text_Preprocessing2 (2)&quot;;Extended Properties=&quot;&quot;" command="SELECT * FROM [Text_Preprocessing2 (2)]"/>
  </connection>
  <connection id="11" xr16:uid="{D2F83B4D-F0B7-4315-B3A3-5C719CDA0BB7}" keepAlive="1" name="Query - Text_Preprocessing2 (3)" description="Connection to the 'Text_Preprocessing2 (3)' query in the workbook." type="5" refreshedVersion="8" background="1" saveData="1">
    <dbPr connection="Provider=Microsoft.Mashup.OleDb.1;Data Source=$Workbook$;Location=&quot;Text_Preprocessing2 (3)&quot;;Extended Properties=&quot;&quot;" command="SELECT * FROM [Text_Preprocessing2 (3)]"/>
  </connection>
  <connection id="12" xr16:uid="{5F47BC32-A6CD-4611-888D-9B79510C1476}" keepAlive="1" name="Query - Text_Preprocessing2 (4)" description="Connection to the 'Text_Preprocessing2 (4)' query in the workbook." type="5" refreshedVersion="8" background="1" saveData="1">
    <dbPr connection="Provider=Microsoft.Mashup.OleDb.1;Data Source=$Workbook$;Location=&quot;Text_Preprocessing2 (4)&quot;;Extended Properties=&quot;&quot;" command="SELECT * FROM [Text_Preprocessing2 (4)]"/>
  </connection>
  <connection id="13" xr16:uid="{303C2F01-9F4C-486D-A719-E7D245287C3C}" keepAlive="1" name="Query - Text_Preprocessing2 (5)" description="Connection to the 'Text_Preprocessing2 (5)' query in the workbook." type="5" refreshedVersion="8" background="1" saveData="1">
    <dbPr connection="Provider=Microsoft.Mashup.OleDb.1;Data Source=$Workbook$;Location=&quot;Text_Preprocessing2 (5)&quot;;Extended Properties=&quot;&quot;" command="SELECT * FROM [Text_Preprocessing2 (5)]"/>
  </connection>
  <connection id="14" xr16:uid="{B1AE317E-7581-478E-9C3A-9EF825378CDD}" keepAlive="1" name="Query - Text_Preprocessing2 (6)" description="Connection to the 'Text_Preprocessing2 (6)' query in the workbook." type="5" refreshedVersion="8" background="1" saveData="1">
    <dbPr connection="Provider=Microsoft.Mashup.OleDb.1;Data Source=$Workbook$;Location=&quot;Text_Preprocessing2 (6)&quot;;Extended Properties=&quot;&quot;" command="SELECT * FROM [Text_Preprocessing2 (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<sst xmlns="http://schemas.openxmlformats.org/spreadsheetml/2006/main" count="34621" uniqueCount="3712">
  <si>
    <t>No</t>
  </si>
  <si>
    <t>full_text</t>
  </si>
  <si>
    <t>username</t>
  </si>
  <si>
    <t>Jelang Lebaran, Perusahaan Mulai Booking Bus untuk Program Mudik Gratis
 #Sindonews #BukanBeritaBiasa .https://t.co/TuqlqY3ysc</t>
  </si>
  <si>
    <t>InfoMakan2</t>
  </si>
  <si>
    <t>@anggapph2 anggaran segitu aja masih banyak sekolah yang kurang dan minta tambahan dari orang tua. untuk program makan siang gratis harus di mark up lebih banyak lagi. Tapi gw dulu SD pernah ada program snack bergizi gratis, itu program gabungan dengan PKK setempat</t>
  </si>
  <si>
    <t>dranux</t>
  </si>
  <si>
    <t>@sfMarinaH keren sih ada program Makan Siang Gratis kayak gini, biar pertumbuhan dan perkembangan anak2 indo secara fisik jadi lebih baik, kemampuan secara iq akan mengikuti krn asupan nutrisi bergizi yg cukup #GiziUntukBangsa</t>
  </si>
  <si>
    <t>nurmaphie</t>
  </si>
  <si>
    <t>Prabowo menunjukkan komitmen nyata pada masa depan dengan memberikan Makan Siang Gratis yang bergizi untuk anak-anak sekolah. #GiziUntukBangsa 
https://t.co/mzLBqVCQfL https://t.co/t6IZggkXHz</t>
  </si>
  <si>
    <t>rismamelatiku</t>
  </si>
  <si>
    <t>Program Prabowo: makan gratis kpd pelajar, ibu hamil. 
Jumlah pelajar: 44 juta.
Mari kita hitung biaya makan gratis bagi pelajar saja.
 Untuk 1x makan: 44 juta pelajar x Rp50 ribu per porsi. (Harga segitu dianggap sdh bergizi lengkap).
Maka dlm sekali makan, anggaran negara https://t.co/eXaMcQBFLb</t>
  </si>
  <si>
    <t>narkosun</t>
  </si>
  <si>
    <t>Makanan gratis dan bergizi untuk ibu-ibu yang sedang hamil setiap tahun, karena ini untuk memperkuat bayi2 dalam rahimnya. Semuanya 77 juta jiwa," katanya.
Pak Kencing Aja Bayar gimana ceritanya nih? 😂
 https://t.co/Ii5NHuX7ln</t>
  </si>
  <si>
    <t>wandystjk2</t>
  </si>
  <si>
    <t>Tapi memang agak aneh sih wacana "makan gratis" ini.
Klo tujuannya mau mencegah stunting dengan membekali ibu hamil dan anak dengan makanan bergizi, baiknya dikemas ulang deh narasinya.
Jangan cuma sekedar nyebut "Program Makan Gratis".</t>
  </si>
  <si>
    <t>SulaimanMarbun</t>
  </si>
  <si>
    <t>@Gus_Raharjo Bukan hanya anak sekolah yg dijanjikan tapi juga bayi balita.. Jadi total aja sdiri brp banyak org yg dikasih mkn gratis tiap hari. Harusnya mikirin program yg bisa bikin masy berpenghasilan besar biar seluruh anggota keluarga bs makan enak bergizi... https://t.co/AfJHw0dbXX</t>
  </si>
  <si>
    <t>AmaSarenn</t>
  </si>
  <si>
    <t>Saat ide pembagian susu dan makan siang bergizi gratis bagi siswa di tertawakan buzzer sebelah (ntah karena tugas atau betulan), kami para orang tua di negeri ini justru merasa itu program luar biasa yg sangat membantu. 
Mencetak generasi unggul salah satunya melalui asupan https://t.co/dyfOMD1fLb</t>
  </si>
  <si>
    <t>BANGSAygSUJUD</t>
  </si>
  <si>
    <t>Program makan siang gratis buat anak itu bisa jd sarana utk stabilitas ekonomi. Rumus GDP = C +G + I + (X-M).
Kalo pengeluaran pemerintah besar dan rutin, GDP jg akan stabil.
Tugas kita tinggal ngawasin kualitas makanan yg diberikan, harus bersih, sehat, bergizi, &amp;amp; bebas korupsi</t>
  </si>
  <si>
    <t>RealKebenaran</t>
  </si>
  <si>
    <t>Pak @prabowo sudah memikirkan kondisi sprt ini tuk janji kampanye ngasih makan gratis anak sekolah seluruh Indonesia?
Lagian makanan bergizi program stunting itu untuk ibu hamil bukan untuk anak-anak!</t>
  </si>
  <si>
    <t>BosPurwa</t>
  </si>
  <si>
    <t>Program makan siang dan susu gratis untuk murid Indonesia
Keren banget ini pak @Prabowo @gibran_tweet 
Makanan dan minuman bergizi utk penerus bangsa adalah investasi terbesar
Justru program ini dapat dirasakan langsung oleh rakyat
Tagar #PrabowoArogan adalah bentuk kepanikan https://t.co/psNM4W0HIh</t>
  </si>
  <si>
    <t>Aryolejandro</t>
  </si>
  <si>
    <t>@Gerindra @prabowo Pak Prabowo sangat support banget untuk anak bangsa indonesia, oleh karna itu adanya program makan siang bergizi gratis ini menjadikan Indonesia unggul dan kuat anak-anak bangsa. #MenangBersamaRakyat</t>
  </si>
  <si>
    <t>harooaira</t>
  </si>
  <si>
    <t>@dekade_08 Pak Prabowo sangat support banget untuk anak bangsa indonesia, oleh karna itu adanya program makan siang bergizi gratis ini menjadikan Indonesia unggul dan kuat anak-anak bangsa. #MenangBersamaRakyat</t>
  </si>
  <si>
    <t>Afakhry97</t>
  </si>
  <si>
    <t>Waduh kok ini sudah jalan ya program makan siang gratis dgn lauk pauk yg sangat bergizi di Tangerang.. Ini pasti terinspirasi dari @prabowo yg punya program makan siang gratis nih... https://t.co/nThaOYzFIO</t>
  </si>
  <si>
    <t>bumnbersatu</t>
  </si>
  <si>
    <t>@Paltiwest Padahal yg diuntungkan nanti dr makan siang dan susu gratis adlh pihak ketiga perusahaan pengadaan. Ya ga sih? Syukur2 dapat makanan bergizi kawatirnya kayak program stunting di d*pok anak2 dibagi2kan kuah sop. Parahnya, kuahnya doang ga ada dagingnya. 😁😄😆</t>
  </si>
  <si>
    <t>rinigrace</t>
  </si>
  <si>
    <t>@zahraamalias Makan siang gratis sbv program pemerintah yg menawarkan nutrisi memainkan peran penting dlm membantu anak" yg mungkin mengalami kekurangan gizi. Namun,utk  benar" menekan stunting, program ini perlu dikombinasikan dg upaya yg lebih luas dlm menyediakan akses ke makanan bergizi</t>
  </si>
  <si>
    <t>Adrian_susiloo</t>
  </si>
  <si>
    <t>@1973Suharjito @adri_7i program makan gratis kan kusus tuk anak sd, bukan buat yg udah tua kek lu..anak2 itu perlu makan bergizi dimasa pertumbuhan..</t>
  </si>
  <si>
    <t>DewiPutriku06</t>
  </si>
  <si>
    <t>TKD Prabowo-Gibran Banten Turun Langsung Laksanakan Program Makan Siang Bergizi dan Susu Gratis https://t.co/VTEcqZkBFL</t>
  </si>
  <si>
    <t>Kabarpolitikcom</t>
  </si>
  <si>
    <t>program Makan Siang dan Susu Gratis bagi siswa dan ibu hamil semoga makanan nya bergizi 
#MakanSiangSusuGratis https://t.co/3IkxAt2uqe</t>
  </si>
  <si>
    <t>fridanurisya</t>
  </si>
  <si>
    <t>Prabowo mengungkapkan program pemberian susu dan telor atau makanan bergizi tersebut sebagai upaya mengatasi masalah stunting dan angka kemiskinan dari akar masalahnya.
#MakanGratis
https://t.co/MAlyUIcfdX</t>
  </si>
  <si>
    <t>agejncy</t>
  </si>
  <si>
    <t>@GpFor2024 @99propaganda @alextham878 @bengkeldodo @P4P4B0W0_2024 @Minietweets_ @mpoklela7 @ignasbowo @Kimberley_2024 @Chaves1305 Yakin, semua mampu kasih makanan bergizi tinggi tiap hari agar anak2 kesehatan dan kecerdasannya ToP abis. 
Ntar pakai ahli gizi lho di program makan siang gratis. Tak asal kenyang. Tapi sehat cerdas ✌
Ini baru program riil. Ini baru satu.</t>
  </si>
  <si>
    <t>Maaf nih, Bkn mksd utk merendahkan program Makan Siang+Susu Gratis atasi Stunting. Jika taraf hidup ekonomi para Ortu meningkat spt, Pekerjaan+Upah yg layak, Sekolah&amp;amp;Jamkes gratis, Rumah ga Ngontrak,Maka para Orang tua dpt beri asupan makan bergizi pd anak2nya..to be continue..</t>
  </si>
  <si>
    <t>carlitovito180</t>
  </si>
  <si>
    <t>@Dennysiregar7 Program makan siang gratis sepertinya mengikuti prinsip kurangi potongan, tingkatkan kreativitasnya juga, nasi putih dan sosis memang tak tergantikan dalam menu bergizi rendah?</t>
  </si>
  <si>
    <t>AJavandalas</t>
  </si>
  <si>
    <t>@Bank_Joee_ @bengkeldodo @sobat_anies @PartaiSocmed @P4P4B0W0_2024 @Ndons_Back @99propaganda @AndreasSolusi @tijabar @IndraJPiliang @TyoSun3 @SujudAde Semoga dg program makan siang bergizi dan susu gratis tidak ada lagi orang2 bodoh lagi membodohkan 😊🤣😀</t>
  </si>
  <si>
    <t>Tentu program makan siang gratis bagi siswa dengan makanan-makanan bergizi #BersamaIndonesiaMaju #PrabowoGibranIstimewa #PrabowoGemoy Prabowo Subianto</t>
  </si>
  <si>
    <t>mercifulove</t>
  </si>
  <si>
    <t>@psi_id Aku dukung program makan siang gratis dari Prabowo-Gibran. Biar anak Indonesia terjamin dalam sehari dapet makanan bergizi</t>
  </si>
  <si>
    <t>sassyyosie</t>
  </si>
  <si>
    <t>Program makan siang gratis dibedah dalam 2 menit sama Bang @hotradero 
Lagian yah makan gratis ini program yg absurd banget, dan gak akan bisa dilaksanakan. Kalo tetep dipaksaain yg ada cm jd bahan bancakan doang. Alih2 anak2 dapet makanan bergizi yg ada bakalan dpt makanan basi! https://t.co/Zuf7Ysv6GV</t>
  </si>
  <si>
    <t>ariefrasyad</t>
  </si>
  <si>
    <t>@kompascom Program makan siang gratis dapat membantu mengurangi ketidaksetaraan sosial dengan memberikan akses yang sama terhadap makanan yang bergizi kepada mereka yang mungkin membutuhkan bantuan ekstra.</t>
  </si>
  <si>
    <t>05_maryanne</t>
  </si>
  <si>
    <t>jujur program makan siang gratis ini gue setuju bgt sih, terutama buat anak SD yg butuh makanan sehat bergizi ya. karna ga semua anak dibekelin makan, banyaknya yg dikasih uang saku tapi pas istirahat belinya jajanan yg boro2 sehat kenyang aja engga</t>
  </si>
  <si>
    <t>ishikawamore</t>
  </si>
  <si>
    <t>@andre_rosiade Program konyol makan siang gratis. Untuk mendapatkan proyek.  Investasi apaan kek gitu. 
Kalau memang punya gagasan cukup  menstabilkan harga pokok  semua  warga2 bisa membeli  makan yg sehat menciptakan lapangan kerja. Semua org mendapatkan uang  buat mmbeli kebutuhan yg bergizi</t>
  </si>
  <si>
    <t>Syafridon8</t>
  </si>
  <si>
    <t>@Razak60621134 @kikysaputrii Baru sadar tujuan Paslon 02 buat program makan siang gratis yang bergizi untuk anak sekolah itu guna mempersiapkan anak" bangsa biar gedenya ga tolol kaya Razak ya guys 🙏</t>
  </si>
  <si>
    <t>orangsixpack</t>
  </si>
  <si>
    <t>@kompascom Mereka yang nyaris tidak pernah  lapar , akan sulit bayangkan dan rasakan,  kalau seseorang lagi lapar betulan.  
Rakyat miskin, tentu setuju program makan siang gratis anak sekolah. 
Karena negara harus jamin rakyat nya tidak lapar. 
Minimal dalam 1 hari ada makan yang bergizi.</t>
  </si>
  <si>
    <t>Gunto_Jaya9</t>
  </si>
  <si>
    <t>@yusuf_dumdum Agak dongo sih klo pilih yg hanya 1 program demi makan gratis doang, klo di teliti 21 program itu bisa jd penghasilan yg uangnya dipakai beli makan siang yg lebih bergizi. Jd patut di retweet nih.</t>
  </si>
  <si>
    <t>Kata_baba_baim</t>
  </si>
  <si>
    <t>Program makan &amp;amp; susu gratis, yang konon untuk mengatasi gizi buruk ini program pembodohan secara terstruktural, untuk mengatasi gizi buruk buka seluas-luasnya akses pekerjaan, sehingga semua keluarga ada penghasilan yg cukup untuk ngasi makan yg bergizi keluarganya
#NoAsamSulfat</t>
  </si>
  <si>
    <t>ebe_ganzo</t>
  </si>
  <si>
    <t>@PartaiSocmed Makanya program makan siang bergizi gratis buat anak sekolah itu bagus, biar otak juga ternutrisi dan tidak SOMPLAK seperti pendukung Wan Kentut</t>
  </si>
  <si>
    <t>NKRITetapDiHati</t>
  </si>
  <si>
    <t>Program Makan Bergizi Gratis Uji Coba, Anggaran Rp10 Ribu Per Porsi Ditetapkan 
 https://t.co/4nHdmLjpmq</t>
  </si>
  <si>
    <t>pintasandotco</t>
  </si>
  <si>
    <t>Pemerintah memutuskan memangkas anggaran untuk program makan bergizi gratis anak dan ibu hamil dari Rp 15.000 menjadi Rp 10.000 per orang. Hal itu menurut ekonom tidak akan berdampak signifikan pada perekonomian. Asumsinya, dengan anggaran Rp. 10 ribu per orang keluarga yang https://t.co/VESjT8Kmai</t>
  </si>
  <si>
    <t>RadioElshinta</t>
  </si>
  <si>
    <t>Hasan Nasbi Tekankan Program Makan Bergizi Gratis Anggaran Rp 10.000 Per Porsi Itu Cukup https://t.co/0X7E2Q3AEz lewat @Keuangan News</t>
  </si>
  <si>
    <t>keuangannews_id</t>
  </si>
  <si>
    <t>Melibatkan ibu adalah kunci keberhasilan program makan bergizi gratis 💚💚 @cakiminow 
#makanbergizigratis #gusmuhaimin #menkopm https://t.co/M0nGLcTHhv</t>
  </si>
  <si>
    <t>voiceofpkb</t>
  </si>
  <si>
    <t>Belajar dari Brasil dalam Program Makan Bergizi Gratis https://t.co/6slfIohQkL</t>
  </si>
  <si>
    <t>OposisiCerdas</t>
  </si>
  <si>
    <t>Kali ini program makan siang bergizi gratis digelar di SDN Gintungkerta 1, Kecamatan Klari,...
https://t.co/3YCG0zSlzf</t>
  </si>
  <si>
    <t>antmegapolitan</t>
  </si>
  <si>
    <t>"Dalam rangka memberikan perlidungan dan jaminan sosial kepada Penyandang Disabilitas, Kementerian sosial pada tahun 2025 telah merencanakan empat program bagi penyandang disabilitas, salah satunya program makan bergizi gratis dua kali sehari kepada 42 ribu orang penyandang https://t.co/iZDSmkPowQ</t>
  </si>
  <si>
    <t>Makan Bergizi Gratis: Bukan Sekadar Program 🍎
Prabowo-Gibran tahu, makan bergizi adalah langkah awal melawan stunting.
Tapi gimana caranya agar program ini tepat sasaran?
Yuk, #PantauPrabowo bersama-sama! 🍚
📍https://t.co/838NmIEEIh https://t.co/cFDHwJakMR</t>
  </si>
  <si>
    <t>ConversationIDN</t>
  </si>
  <si>
    <t>Hari ini kami simulasi program Makan Bergizi Gratis di SDN Anggadita I. Kali ini kami menyiapkan 928 paket makanan untuk dibagikan. https://t.co/ylt2IRQax6</t>
  </si>
  <si>
    <t>Sambut Prabowo di NTT, Warga Kupang Optimistis dengan Program Makan Bergizi Gratis
Kupang — Para masyarakat Nusa Tenggara Timur (NTT) menyambut antusias kedatangan Presiden RI Prabowo Subianto di Kupang. Salah satu dari mereka pun mengaku optimistis dengan program Makan Bergizi https://t.co/GCSmINKFYQ</t>
  </si>
  <si>
    <t>Sejumlah perwakilan masyarakat yang menyambut antusias kedatangan Presiden  Prabowo Subianto di Kupang selasa malam, menyampaikan harapan besar terhadap program Makan Bergizi Gratis (MBG) yang digagas Presiden Prabowo Subianto untuk bisa segera dirasakan manfaatnya.</t>
  </si>
  <si>
    <t>99propaganda</t>
  </si>
  <si>
    <t>Warga Kupang Optimistis dengan Program Makan Bergizi Gratis yang Digencarkan Prabowo
https://t.co/VZdZgTHU0d</t>
  </si>
  <si>
    <t>Beritasatu</t>
  </si>
  <si>
    <t>Karangasem Belum Anggarkan Program Makan Bergizi Gratis Untuk Siswa #BNetwork
https://t.co/DYhp4ITIhN</t>
  </si>
  <si>
    <t>Kementerian Sosial (Kemensos) telah merencanakan empat program bagi penyandang disabilitas di 2025 dalam rangka memberikan perlindungan dan jaminan sosial kepada para difabel. keempat program itu meliputi Program makan bergizi Gratis, Program Keluarga Harapan, Bantuan Pangan Non https://t.co/aoqwzfCG5D</t>
  </si>
  <si>
    <t>Kemenkop Dorong Penguatan Peran Koperasi dalam Program Makan Bergizi Gratis
https://t.co/wAsJBO8qKJ</t>
  </si>
  <si>
    <t>Prabowo Tak Ambil Pusing Harga Index Saham Turun dengan Program Makan Bergizi Gratis -  https://t.co/ipBPMjEdVL https://t.co/LVR9pT4X01</t>
  </si>
  <si>
    <t>Joglosemarnews</t>
  </si>
  <si>
    <t>Warga Harap Program Makan Bergizi Gratis Prabowo Bisa Bantu Anak-Anak di NTT
https://t.co/Ot8tedDzRs</t>
  </si>
  <si>
    <t>holopiscom</t>
  </si>
  <si>
    <t>Ketika TNI AU Turun Ikut Sukseskan Program Makan Bergizi Gratis
https://t.co/g85lzxPjZG</t>
  </si>
  <si>
    <t>VIVAcoid</t>
  </si>
  <si>
    <t>Prabowo Diancam-ancam Jalankan Program Rakyat, Termasuk Makan Bergizi Gratis
https://t.co/N766ZshhrR</t>
  </si>
  <si>
    <t>Badan Pangan Nasional (Bapanas) melaksanakan kajian untuk menentukan menu program Makan Bergizi Gratis (MBG) sesuai dengan potensi bahan pangan yang diproduksi di setiap daerah di Indonesia.
Berikut daftar menu Makan Bergizi Gratis di berbagai daerah.
#bisnisupdate #update https://t.co/ehOvULnDPU</t>
  </si>
  <si>
    <t>kumparan</t>
  </si>
  <si>
    <t>Badan Pangan Nasional (Bapanas) melaksanakan kajian untuk menentukan menu program Makan Bergizi Gratis (MBG) sesuai dengan potensi bahan pangan yang diproduksi di setiap daerah di Indonesia.
Berikut daftar menu Makan Bergizi Gratis di berbagai daerah.
#bisnisupdate #update https://t.co/jPR8a7nHKH</t>
  </si>
  <si>
    <t>POLDA KEPRI BERSINERGI LAKSANAKAN RAPAT KOORDINASI: SUKSESKAN PROGRAM MAKAN BERGIZI GRATIS
.
.
@divisihumaspolri @polripresisi @mabespolrinews @ini_polisi @polisi_indonesia @halo_polisi 
#HumasPoldaKepri #Multimediapoldakepri 
#Prabowopresidenri https://t.co/My9KFZP7vD</t>
  </si>
  <si>
    <t>poldakeprihumas</t>
  </si>
  <si>
    <t>PGN Dukung Program Makan Bergizi Gratis
#makanbergizi #programmakangratis #programpresiden #BadanGiziNasional #infrastrukturjaringangas @Gas_Negara 
https://t.co/JpiXdybRax</t>
  </si>
  <si>
    <t>InilahMojokerto</t>
  </si>
  <si>
    <t>Pulang dari luar negeri setelah lawatan sejak 8 November, Presiden Prabowo Subianto membawa komitmen sejumlah negara untuk mewujudkan program makan bergizi gratis.
#tempoplus #tempo #prabowosubianto #makan #bergizi #gratis https://t.co/rgUDtMXh9S</t>
  </si>
  <si>
    <t>Tempo_Plus</t>
  </si>
  <si>
    <t>Pemprov Lampung Harap Program Makan Bergizi Gratis Tingkatkan Ekonomi Lokal
https://t.co/wtAzRCoVvJ</t>
  </si>
  <si>
    <t>kupastuntasnew</t>
  </si>
  <si>
    <t>F-PKS Dukung One Day One Fish untuk Program Makan Bergizi Gratis 🇮🇩
|| Riyono (Anggota Komisi IV DPR RI dari F-PKS)
#fraksipksdprri 
#PKSpembelaRakyat 
#PKS https://t.co/G08j4n7YfB</t>
  </si>
  <si>
    <t>FPKSDPRRI</t>
  </si>
  <si>
    <t>F-PKS Dukung One Day One Fish untuk Program Makan Bergizi Gratis 🇮🇩
|| Riyono (Anggota Komisi IV DPR RI dari F-PKS)
#fraksipksdprri 
#PKSpembelaRakyat 
#PKS https://t.co/bYZJkGjz0B</t>
  </si>
  <si>
    <t>TVRINEWS, YOGYAKARTA - Pemerintah Kabupaten (PEMKAB) Kulonprogo mengalokasikan anggaran sebesar 29,5 miliar rupiah untuk program makan bergizi gratis pada tahun 2025 mendatang. Alokasi ini diambil dari pendapatan asli daerah, termasuk menotong sejumlah anggaran untuk berbagai https://t.co/B1hwDPZ9jc</t>
  </si>
  <si>
    <t>tvriyogyakarta</t>
  </si>
  <si>
    <t>https://t.co/QdOUrOSHmb
IPOL.ID- Bank Mandiri terus konsisten menjalankan peran sebagai mitra strategis pemerintah lewat dukungan Program Makan Bergizi Gratis lewat penyaluran kredit ke sektor-sektor yang menjadi pendukung utama ekosistem pangan.
#mandiri
#livinbymandiri
#ipol https://t.co/miX3mapyIb</t>
  </si>
  <si>
    <t>ipoldotid</t>
  </si>
  <si>
    <t>Bank Mandiri dukung ekonomi kerakyatan lewat program Makan Bergizi Gratis, dorong pertumbuhan ekonomi kerakyatan yang berkelanjutan - Lombok Insider</t>
  </si>
  <si>
    <t>KasanBaret</t>
  </si>
  <si>
    <t>Badan Gizi Nasional (BGN) dan seluruh mitra Kerja termasuk PEKNAS - Penguatan Ekonomi Kerakyatan Nasional (DPP-PEKNAS), Fokus terhadap program MBG (MAKAN BERGIZI GRATIS), agar berjalan Baik dan Lancar.
🌾
🌾
#PEKNAS
#BadanGiziNasional
#EkonomiKerakyatan https://t.co/7S1dfeaKSi</t>
  </si>
  <si>
    <t>Urusan_Rasa</t>
  </si>
  <si>
    <t>Bank Mandiri terus konsisten menjalankan peran sebagai mitra strategis pemerintah lewat dukungan Program Makan Bergizi Gratis lewat penyaluran kredit ke sektor-sektor yang menjadi pendukung utama ekosistem pangan.
Baca selengkapnya : https://t.co/0T2rRZc4bK https://t.co/kPqLw1xaOj</t>
  </si>
  <si>
    <t>medan_insight</t>
  </si>
  <si>
    <t>#Bireuen #ProgramMakanBergiziGratis 
Polres Bireuen Gelar Program Makan Bergizi Gratis, Seorang Murid Bawa Pulang Untuk Adiknya
https://t.co/XJwj2QmhdE via @tribunnews</t>
  </si>
  <si>
    <t>serambinews</t>
  </si>
  <si>
    <t>Menkop Apresiasi Dukungan Muslimat NU Dalam Program Makan Bergizi Gratis #BNetwork 
https://t.co/WqVHI6usWg</t>
  </si>
  <si>
    <t>Menkop apresiasi dukungan Muslimat NU dalam program Makan Bergizi Gratis
https://t.co/ukxMqPlfsT</t>
  </si>
  <si>
    <t>Dukung Program Makan Bergizi Gratis, Induk KUD Siapkan Pengamanan Pasokan
https://t.co/UAIkVfo2Jp</t>
  </si>
  <si>
    <t>SINDOnews</t>
  </si>
  <si>
    <t>Bank Mandiri Dukung Program Makan Bergizi Gratis, Dorong Pertumbuhan Ekonomi Kerakyatan yang Berkelanjutan https://t.co/tX3jtTIox7  ...</t>
  </si>
  <si>
    <t>portal_papua</t>
  </si>
  <si>
    <t>Menteri Pendidikan Dasar dan Menengah (Mendikdasmen) Abdul Mu'ti menyebut program Makan Bergizi Gratis bisa mengajarkan anak-anak agar tidak hidup boros.
"Makan siang gratis ini sebagai bagian dari penanaman dan pembiasaan pendidikan karakter bagi anak-anak," kata Abdul Mu'ti di https://t.co/wY8WBbGITD</t>
  </si>
  <si>
    <t>tvOneNews</t>
  </si>
  <si>
    <t>Pemerintah Kota (Pemkot) Tangerang Selatan sudah mulai melakukan uji coba program Makan Bergizi Gratis (MBG) yang merupakan salah satu program unggulan Presiden Prabowo Subianto.
Sekolah pertama yang dilakukan uji coba makan bergizi gratis yaitu TK Negeri Pembina 1 di Ciputat. https://t.co/mBVszC0k06</t>
  </si>
  <si>
    <t>abouttng</t>
  </si>
  <si>
    <t>Kampung Sayur di Yogya Bakal Supply Bahan untuk Program Makan Bergizi Gratis 
#KampungSayur #MakanGratis #MakanBergiziGratis
https://t.co/WUyGTpbl8r</t>
  </si>
  <si>
    <t>republikajogja</t>
  </si>
  <si>
    <t>Program Makan Bergizi Gratis akan mulai dilaksanakan. Pakar ini menyebut pemerintah harus memperhatikan kesesuaian menu dengan keperluan tiap siswa.
Via @detik_edu  https://t.co/HYxys4av4B</t>
  </si>
  <si>
    <t>detikcom</t>
  </si>
  <si>
    <t>Istana meninjau kesiapan program makan bergizi gratis di Tanah Sareal, Bogor. Program makan bergizi gratis ini akan diberikan ke 3.018 siswa di 15 sekolah. https://t.co/wtNOsVHsNT</t>
  </si>
  <si>
    <t>BPOM RI akan terlibat dalam program makan bergizi gratis yang diprioritaskan Presiden Prabowo, mulai dari rumah produksi hingga distribusi. Begini perannya.
https://t.co/9iQqwBxYss</t>
  </si>
  <si>
    <t>BPOM RI akan terlibat dalam program makan bergizi gratis yang diprioritaskan Presiden Prabowo, mulai dari rumah produksi hingga distribusi. Begini perannya.  https://t.co/qzHF8YeopK</t>
  </si>
  <si>
    <t>detikHealth</t>
  </si>
  <si>
    <t>Presidential Communication Office (PCO) meninjau uji coba program Makan Bergizi Gratis (MBG) di 15 sekolah, di Bogor, Senin (9/12/2024). Uji coba dilaksanakan di Satuan Pelayanan Pemenuhan Gizi (SPPG) Tanah Sareal. #TirtoDaily https://t.co/CySCWuE3Sp</t>
  </si>
  <si>
    <t>TirtoID</t>
  </si>
  <si>
    <t>Wamendes PDT, Riza Patria, menginstruksikan jajarannya untuk memastikan pasokan bahan baku terpenuhi untuk program makan bergizi gratis di desa. https://t.co/HujK1ibE56</t>
  </si>
  <si>
    <t>Simulasi program makan bergizi gratis tak berjalan mulus. Kualitas menu dipertanyakan banyak pihak.
https://t.co/wTsaaEDv12</t>
  </si>
  <si>
    <t>2 Teknologi Program Makan Bergizi Gratis: Monitoring Real-Time dan AI #uzoneID #lifestyle #viral https://t.co/CzzXa2aJjY</t>
  </si>
  <si>
    <t>uzoneindonesia</t>
  </si>
  <si>
    <t>Menkop Apresiasi Dukungan Muslimat NU Dalam Program Makan Bergizi Gratis
https://t.co/jO9sebKNMu</t>
  </si>
  <si>
    <t>pantaucom_</t>
  </si>
  <si>
    <t>Menteri Kelautan dan Perikanan Sakti Wahyu Trenggono mengungkapkan susu ikan menjadi salah satu alternatif dalam program Makan Bergizi Gratis (MBG)https://t.co/FmxNOPMJac</t>
  </si>
  <si>
    <t>ANTARABengkulu</t>
  </si>
  <si>
    <t>Dana Judol di Bank dan e-Wallet Capai Rp 86 Triliun, Legislator Desak Sita untuk Bantu Program Makan Bergizi Gratis https://t.co/jB5gObSc3B #AboeBakarAlHabsy #AnggotaKomisiIIIFraksiPKS #bank #DanaJudol #ewallet #PPATK</t>
  </si>
  <si>
    <t>indoposco</t>
  </si>
  <si>
    <t>Ketua DPD RI Sultan B Najamudin meminta pemerintah untuk memastikan Suplay bahan pangan  terpenuhi secara simultan dan murah sebelum memulai program Makan Bergizi Gratis (MBG).
#dpdri #SBN #pangan #MBG #daridaerahuntukindonesia https://t.co/eSlwZixqp0</t>
  </si>
  <si>
    <t>DPDRI</t>
  </si>
  <si>
    <t>Bank Mandiri Genjot KUR untuk Sektor Pangan, Dukung Ekonomi Kerakyatan dan Program Makan Bergizi Gratis
Link Artikel : https://t.co/E1zrADw917</t>
  </si>
  <si>
    <t>RaKor dan BimTek PEKNAS pada tanggal 7-9 Desember 2024 di Jakarta terkait Program MAKAN BERGIZI GRATIS (MBG).
Acara dihadiri oleh para Pengurus DPP,  DPW dan DPC PEKNAS seluruh Indonesia serta Badan Gizi Nasional (BGN), 
Para Vendor dan Investor MBG, 
*
*
#PEKNAS
#BGN https://t.co/2G0vZezQsk</t>
  </si>
  <si>
    <t>Program Makan Siang Bergizi Gratis masih menjadi highlight dari pembicaraan warga Indonesia.
Yuk, simak pembahasan selengkapnya di https://t.co/FDxyj08qt7
#HendriSatrio #SATGASKELITIK #Hensa #MakanSiangGratis #PrabowoSubianto #MakanSiang10ribu https://t.co/j2N8AHTzpW</t>
  </si>
  <si>
    <t>Prabowo Sebut Program Makan Bergizi Gratis Bisa Putar Roda Ekonomi Desa
https://t.co/CX2wYJ6a4l</t>
  </si>
  <si>
    <t>officialinews_</t>
  </si>
  <si>
    <t>1. Edan, program makan bergizi gratis (MBG) ini lama2 tak hanya anggaran per-porsinya makin mengecil, tapi alokasi anggarannya yg Rp71 Triliun pun akan hilang lenyap tdk jelas sebagian besar.
Hati2 lho pak Pres @prabowo. Ini anak buah bapak yg tak pinter Math atau sedang mbujuk https://t.co/pnXSSxuAj6</t>
  </si>
  <si>
    <t>ferrykoto</t>
  </si>
  <si>
    <t>Prabowo Janji Program Makan Bergizi Gratis akan Berdayakan Ekonomi Pedesaan 
https://t.co/39ZelXDoJQ</t>
  </si>
  <si>
    <t>fajaronline</t>
  </si>
  <si>
    <t>Menteri Keuangan #SriMulyani mengatakan alokasi #BelanjaNegara pada tahun 2025 sebesar Rp2.701,4 triliun akan dialokasikan untuk mendukung program prioritas pembangunan yaitu swasembada pangan, pendidikan dan kesehatan, hingga program makan siang bergizi gratis. https://t.co/zIRe86oPZf</t>
  </si>
  <si>
    <t>Metro_TV</t>
  </si>
  <si>
    <t>Presiden Prabowo Sebut Program Makan Bergizi Gratis Perkuat Ekonomi Desa
Presiden Prabowo Subianto menegaskan komitmen pemerintah untuk memperkuat ekonomi pedesaan melalui implementasi program Makan Bergizi Gratis (MBG).
Pernyataan ini disampaikan Prabowo dalam acara penyerahan https://t.co/SXhDC2HfQO</t>
  </si>
  <si>
    <t>akuratco</t>
  </si>
  <si>
    <t>Banyak yang penasaran, "Susu ikan bau amis, gak sih?" 🤔 Dalam program makan gratis bergizi Prabowo Subianto, Susu Ikan jadi sorotan utama!
🎥 Yuk, simak obrolan seru di Big Cheese bersama Bapak Menteri Kelautan dan Perikanan Sakti Wahyu Trenggono.
#detikFinance https://t.co/UgPvRzNNyi</t>
  </si>
  <si>
    <t>detikfinance</t>
  </si>
  <si>
    <t>Gibran meninjau program makan bergizi gratis di Muhammadiyah Boarding School, Bogor. Seperti apa momennya? https://t.co/hGlVT8oyJH</t>
  </si>
  <si>
    <t>Pemerintah siap melaksanakan Program Makan Bergizi Gratis (MBG) mulai 2 Januari 2025. Dalam proses uji coba selama beberapa bulan terakhir, pemerintah semakin menemukan format ideal dalam proses pelaksanaan program, dari mulai penyediaan bahan baku, operasional unit pelayanan, https://t.co/pMSZsTrAf3</t>
  </si>
  <si>
    <t>Presiden RI ke 8  @prabowo menyatakan bahwa setiap tahun, akan beredar uang dalam jumlah besar di setiap desa melalui program Makan Bergizi Gratis. 
Presiden  juga berjanji untuk mendistribusikan perputaran uang yang selama ini terkonsentrasi di Jakarta ke desa-desa, guna https://t.co/FiM1ZZYiJq</t>
  </si>
  <si>
    <t>__LOVE_AG4EVER</t>
  </si>
  <si>
    <t>Alokasi Belanja Pemerintah Pusat Rp2.701 Triliun untuk Program Makan Bergizi Gratis hingga Pendidikan https://t.co/GrMZHq4tMR</t>
  </si>
  <si>
    <t>pajakcom</t>
  </si>
  <si>
    <t>Presiden Prabowo Subianto menyampaikan bahwa program unggulan makan bergizi gratis dapat meningkatkan peredaran uang di desa-desa hingga mencapai Rp8 miliar per desa per tahun. Hal ini disampaikan dalam gelaran penyerahan Daftar Isian Pelaksanaan Anggaran (DIPA) dan Transfer ke https://t.co/nE7ncLTV3t</t>
  </si>
  <si>
    <t>PT Timah terus berkomitmen mendukung kesehatan anak bangsa melalui program Makan Bergizi Gratis. 
Kali ini, program menyentuh 196 siswa SD dan TK di Kabupaten Bangka. Semangat menciptakan Generasi Emas 2045 dimulai dari piring mereka! 🍽️💪✨
https://t.co/nLba6VCJI5
#PTTimah https://t.co/TtwKLRKKF7</t>
  </si>
  <si>
    <t>Official_TIMAH</t>
  </si>
  <si>
    <t>Wakil Presiden RI Gibran Rakabuming Raka memastikan program makan bergizi gratis tidak hanya diterapkan di sekolah dan ibu hamil namun juga akan diterapkan di pondok pesantren// Gibran menyatakan pentingnya kebutuhan gizi para santri terpenuhi. Khususnya, karena mereka tak https://t.co/zSa2h2VqTo</t>
  </si>
  <si>
    <t>Anggaran Program Makan Bergizi Gratis Capai Rp71 Triliun https://t.co/fWC1y3K92R</t>
  </si>
  <si>
    <t>1. Pondok Pesantren Muhammadiyah Boarding School (MBS) Ki Bagus Hadikusumo, sebagai lembaga pendidikan yang berkomitmen penuh terhadap kemajuan peradaban bangsa, mengundang Wakil Presiden Gibran Rakabuming untuk meninjau simulasi program Makan Bergizi Gratis (MBG). Kegiatan ini https://t.co/E6COkYej1Q</t>
  </si>
  <si>
    <t>KemensetnegRI</t>
  </si>
  <si>
    <t>Kabar Baik, Program Makan Bergizi Gratis Bakal Diterapkan di Pesantren #BNetwork
https://t.co/iabJyb7IfO</t>
  </si>
  <si>
    <t>Presiden Prabowo Subianto mengatakan, program makan bergizi gratis yang akan dilaksanakan pemerintah bisa meningkatkan peredaran uang hingga 800 persen di daerah.
Peningkatan itu jika diperbandingkan dengan program dana desa yang memberi Rp1 miliar/tahun untuk desa.
#SmartNews https://t.co/v4a0ZCRxDk</t>
  </si>
  <si>
    <t>RadioSmartFM</t>
  </si>
  <si>
    <t>Wapres Gibran Sosialisasikan Program Makan Bergizi Gratis di Pondok Pesantren Muhammadiyah Bogor
https://t.co/fqafTsuFiw</t>
  </si>
  <si>
    <t>Presiden Prabowo mengumumkan, program makan bergizi gratis (MBG) akan meningkatkan alokasi anggaran ke desa-desa, sebagai upaya untuk memberdayakan ekonomi di tingkat pedesaan, kecamatan, hingga provinsi.
Bahkan, Presiden mengatakan MBG dapat membuat peredaran uang di desa https://t.co/XxYPTVSZMC</t>
  </si>
  <si>
    <t>Padahal Menurut Prabowo, penghematan anggaran itu bisa membangun bendungan, irigasi, sarana pendidikan, serta mendanai program makan bergizi gratis. 
https://t.co/LYsj397XuM</t>
  </si>
  <si>
    <t>PaltiHutabarat</t>
  </si>
  <si>
    <t>Presiden Prabowo Subianto mengumumkan bahwa program makan bergizi gratis akan meningkatkan alokasi anggaran ke desa-desa. 
Hal ini sebagai upaya untuk memberdayakan ekonomi di tingkat pedesaan, kecamatan, hingga provinsi.
Simak berita selengkapnya hanya di https://t.co/vYOVnhXcaN</t>
  </si>
  <si>
    <t>Presiden Prabowo Subianto mengatakan, program Makan Bergizi Gratis (MBG) merupakan langkah strategis untuk memberdayakan ekonomi di pedesaan. 
Hal tersebut disampaikan Prabowo saat acara penyerahan Daftar Isian Pelaksanaan Anggaran (DIPA) dan Buku Daftar Alokasi Transfer ke https://t.co/vc8AT7ojqN</t>
  </si>
  <si>
    <t>Kasat Binmas Polres Lumajang Melaksanakan Kegiatan Program Makan Bergizi Gratis, Yang Dilaksanakan Di MA Putri Nurul Masyithoh Lumajang.
@divisihumaspolri
@humaspoldajatim
@polisi_indonesia
#IndonesiaDamai
#divisihumaspolri
#humaspolri
#humaspoldajatim
#polri
#polripresisi https://t.co/Hoz0tLwF2k</t>
  </si>
  <si>
    <t>PolsekKunir</t>
  </si>
  <si>
    <t>Sri Mulyani: Program Makan Bergizi Gratis Dapat Menggerakan Ekonomi Daerah
https://t.co/F41termyWc</t>
  </si>
  <si>
    <t>InvestorID</t>
  </si>
  <si>
    <t>Prancis Dukung Program Makan Bergizi Gratis Prabowo
https://t.co/oZe6inHPyW</t>
  </si>
  <si>
    <t>BPOM Kawal Program Makan Bergizi Gratis: Dapur hingga Distribusi Diawasi https://t.co/z5aoqv3cte lewat @rakyatpembaruan.com</t>
  </si>
  <si>
    <t>rakyatpembaruan</t>
  </si>
  <si>
    <t>Pemerintah melalui Kantor Komunikasi Kepresidenan meninjau secara langsung kesiapan pelaksanaan program Makan Bergizi Gratis (MBG) di Unit Pelayanan MBG Tanah Sareal, Bogor, Jawa Barat; serta SDN Kedung Badak 1 dan SMP Siliwangi Kota Bogor, Senin (9/12/2… https://t.co/aTtjZTsE0l</t>
  </si>
  <si>
    <t>KompasData</t>
  </si>
  <si>
    <t>Kepala BPOM Temui Jaksa Agung Minta Kawal Program Makan Bergizi Gratis https://t.co/wCeRmPwMMr</t>
  </si>
  <si>
    <t>CNNIndonesia</t>
  </si>
  <si>
    <t>please bantu isi atau barter kuesioner penelitian sender tentang program makan bergizi gratis (MBG) 🥹🤚kriterianya kayak dibawah ini. bolee reply aja yaa. nanti sender kirim linknya lewat dm, makasi gais 💚 https://t.co/W0ghxg2MtM</t>
  </si>
  <si>
    <t>tanyarlfes</t>
  </si>
  <si>
    <t>Program Makan Bergizi Gratis membuktikan fleksibilitasnya dengan mengubah fungsi dapur layanan menjadi posko darurat, memastikan ratusan ribu korban bencana alam tetap mendapatkan akses pangan sehat dan layak di tengah situasi krisis. https://t.co/yRqOeYUH2C</t>
  </si>
  <si>
    <t>PrayogaAditam</t>
  </si>
  <si>
    <t>WE’RE HIRING – DAPUR SPPG MBG!
Yayasan Apta Peduli Bangsa membuka kesempatan bagi kamu yang ingin berkontribusi dalam program makan bergizi gratis untuk masyarakat 🌿🍱
Saat ini kami membuka lowongan untuk posisi:
🔹 Ahli Gizi
Kualifikasi utama:
✔ Pria/Wanita
✔ Minimal https://t.co/onjeWyapc2</t>
  </si>
  <si>
    <t>lokerjogja_</t>
  </si>
  <si>
    <t>Badan Gizi Nasional (BGN) memastikan Program Makan Bergizi Gratis mulai berjalan pada awal Januari 2026 dengan belanja harian mencapai Rp900 miliar. Kepala BGN Dadan Hindayana menegaskan, “Satu hari di bulan Januari kami akan menggunakan uang Rp900 miliar.”
Belanja besar ini https://t.co/nKEjY3X7Ut</t>
  </si>
  <si>
    <t>liputan6dotcom</t>
  </si>
  <si>
    <t>Seorang pedagang telur bernama Stefanus Gulo merasa bangga dan bersyukur karena lapak dagangannya dipercaya menjadi salah satu pemasok telur untuk kebutuhan program Makan Bergizi Gratis (MBG). https://t.co/cEvakJXmhj</t>
  </si>
  <si>
    <t>cmerconk</t>
  </si>
  <si>
    <t>Program Makan Bergizi Gratis di SMAN 9 Pekanbaru Berjalan Lancar https://t.co/oks1cAEFez</t>
  </si>
  <si>
    <t>GoRiauCom</t>
  </si>
  <si>
    <t>Puluhan pelajar dari sejumlah sekolah di Kecamatan Sumberwringin, Kabupaten Bondowoso, Jawa Timur, diduga mengalami keracunan setelah mengonsumsi menu program Makan Bergizi Gratis (MBG), Rabu (03/12/2025). 
Para siswa yang mengalami keluhan langsung dilarikan ke Puskesmas https://t.co/MWvbnwsNkh</t>
  </si>
  <si>
    <t>ferizandra</t>
  </si>
  <si>
    <t>182 Siswa dan Guru di SMP N 2 Airmadidi, Minahasa Utara diduga keracunan Makan Siang Gratis, data per tanggal 27 November 2025. Setidaknya 3 Rumah Sakit di Sulawesi Utara dijadikan rujukan untuk merawat puluhan siswa yang keracunan pasca menyatap program Makan Bergizi Gratis. https://t.co/x17BWDI958</t>
  </si>
  <si>
    <t>lbhmanado</t>
  </si>
  <si>
    <t>Babinsa Sukolilo Dampingi Program Makan Bergizi Gratis di 11 Sekolah
https://t.co/vA6lVvcDiH https://t.co/lrEyaRKo1A</t>
  </si>
  <si>
    <t>Dim0830</t>
  </si>
  <si>
    <t>Kodim 0815/Mojokerto bersama BPS Kota Mojokerto menggelar Rapat Koordinasi dan Evaluasi Program Makan Bergizi Gratis (MBG) sebagai wujud sinergi dalam mengawal program strategis nasional. https://t.co/WE8C7RFlse</t>
  </si>
  <si>
    <t>Kodim0815Mjk</t>
  </si>
  <si>
    <t>*Sinergi TNI–Polri Dukung Program Makan Bergizi Gratis!* 
Bhabinkamtibmas Desa Tegallalang Aiptu I Dewa Made Sandat bersama Babinsa Sertu I Gst Arbajaya melaksanakan atensi pendistribusian Program Makan Bergizi Gratis (MBG) tahap I dari SPPG Tegallalang ke sekolah-sekolah https://t.co/9fChhyDkzO</t>
  </si>
  <si>
    <t>POLSEKTGLL_15</t>
  </si>
  <si>
    <t>Polsek Sukadana Pantau Langsung Program Makan Bergizi Gratis di SMPN 1 Sukadana Ciamis https://t.co/LxyrX7oDtO</t>
  </si>
  <si>
    <t>djavatodaycom</t>
  </si>
  <si>
    <t>Koramil 0820-16/Paiton dukung program makan bergizi gratis tingkatkan kesehatan pelajar. #KoramilPaiton #Probolinggo #MBG #TNIAD Simak selengkapnya disini 👇👇👇 https://t.co/Ncqq9FszCG https://t.co/Ave6LTx2nx</t>
  </si>
  <si>
    <t>Pendam5</t>
  </si>
  <si>
    <t>BPKP Kalteng melaksanakan evaluasi program Makan Bergizi Gratis (MBG) di Kabupaten Barito Timur guna memastikan kepatuhan pelaksanaan terhadap regulasi dan rencana kerja serta mengidentifikasi permasalahan serta risiko yang menghambat pelaksanaan program MBG. https://t.co/dxH4bobd1B</t>
  </si>
  <si>
    <t>bpkp_kalteng</t>
  </si>
  <si>
    <t>Setiap anak berhak tumbuh sehat dan kuat. Mari dukung program makan bergizi gratis agar mereka bisa belajar dengan penuh energi, tersenyum lebih lebar, dan meraih masa depan yang lebih cerah. https://t.co/CJrX729qDL</t>
  </si>
  <si>
    <t>Setiap anak berhak tumbuh sehat dan kuat. Mari dukung program makan bergizi gratis agar mereka bisa belajar dengan penuh energi, tersenyum lebih lebar, dan meraih masa depan yang lebih cerah. https://t.co/RyTfJOALeR</t>
  </si>
  <si>
    <t>Setiap anak berhak tumbuh sehat dan kuat. Mari dukung program makan bergizi gratis agar mereka bisa belajar dengan penuh energi, tersenyum lebih lebar, dan meraih masa depan yang lebih cerah. https://t.co/R5BFZXUp2S</t>
  </si>
  <si>
    <t>Program Makan Bergizi Gratis (MBG) beralih fungsi menjadi garda terdepan penyaluran makanan darurat untuk korban bencana di Sumatera (Aceh, Sumut, Sumbar). 
Ribuan paket makanan bergizi didistribusikan setiap hari untuk memastikan kebutuhan dasar korban terpenuhi. https://t.co/HIHG3yPBQ3</t>
  </si>
  <si>
    <t>cutewoman__</t>
  </si>
  <si>
    <t>Gizi Terpenuhi, Ibu Hamil Lebih Tenang. Program Makan Bergizi Gratis hadir memastikan kesehatan ibu dan calon bayi terjaga tanpa beban biaya, bukti nyata kepedulian pemerintah untuk melahirkan generasi kuat. https://t.co/bozUl1SA5h</t>
  </si>
  <si>
    <t>khaliqbyard215</t>
  </si>
  <si>
    <t>Mobil lab keliling dari BPOM ini keren banget, soalnya langsung turun ke daerah yang susah dijangkau buat pastikan program makan bergizi gratis berjalan aman dan tepat. 
Ini contoh nyata kerja senyap tapi ngena buat banyak orang. https://t.co/Ll3wdYxdIE</t>
  </si>
  <si>
    <t>law_ismylife</t>
  </si>
  <si>
    <t>Kepala Badan Gizi Nasional (BGN) mengungkap peran vital program Makan Bergizi Gratis (MBG) dalam perekonomian Indonesia. 
#bgn #makanbergizigratis #mbg #ekonomi #lapangankerja https://t.co/sjXF1lveVW</t>
  </si>
  <si>
    <t>Polres Klungkung melaksanakan Pre Launching Program Makan Bergizi Gratis (MBG) SPPG Polres Klungkung yang dipusatkan di TK Kemala Bhayangkari Polres Klungkung, (5/12). https://t.co/YvXVF1TYOy</t>
  </si>
  <si>
    <t>PKlungkung</t>
  </si>
  <si>
    <t>Program makan bergizi gratis ini benar-benar jadi penyelamat untuk banyak ibu hamil
Mereka nggak lagi harus mikir dua kali soal biaya buat memenuhi kebutuhan gizi hariannya, karena semua sudah disiapkan dengan terukur dan seimbang https://t.co/V4BXR1naVI</t>
  </si>
  <si>
    <t>al_lasan7</t>
  </si>
  <si>
    <t>Balai Besar Obat dan Makanan (BPOM) menghadirkan mobil laboratorium untuk mendukung program makan bergizi gratis (MBG) https://t.co/RXfUWNr0XI</t>
  </si>
  <si>
    <t>jjaprin24</t>
  </si>
  <si>
    <t>BPOM menghadirkan mobil laboratorium untuk mendukung program makan bergizi gratis (MBG). mobil ini menjangkau daerah - daerah yang jauh dari jangkauan Balai POM guna mendukung program prioritas dari pemerintah. https://t.co/89Nb66vRvP</t>
  </si>
  <si>
    <t>diyarablues</t>
  </si>
  <si>
    <t>Inovasi mobil laboratorium keliling BPOM siap menjangkau pelosok negeri demi memastikan keamanan pangan program Makan Bergizi Gratis agar anak Indonesia tumbuh sehat dan cerdas tanpa rasa khawatir. https://t.co/y7C3zH6Vst</t>
  </si>
  <si>
    <t>Penerapan sistem grading dapur oleh Badan Gizi Nasional bersama lembaga survei independen menjamin standar keamanan pangan yang tinggi demi kesuksesan program Makan Bergizi Gratis tahun depan. https://t.co/0bQ4XMHSZV</t>
  </si>
  <si>
    <t>BPOM terus hadir mendukung Program Makan Bergizi Gratis (MBG)! 👏
Dengan mobil laboratorium keliling, jangkauan pengawasan pangan kini makin luas hingga pelosok negeri.
Demi asupan yang aman dan bergizi untuk seluruh anak Indonesia 🇮🇩✨ https://t.co/DpURMyxh5H</t>
  </si>
  <si>
    <t>berthasintia</t>
  </si>
  <si>
    <t>Babinsa Koramil 0901-03/Samarinda Seberang Kawal Penuh Program Makan Bergizi Gratis untuk Generasi Sehat
Sertu M Syamsudin Babinsa Kelurahan Rapak Dalam Koramil 0901-03/Samarinda Seberang aktif mendampingi pelaksanaan program Makan Bergizi Gratis (MBG) di Wilayah Binaannya. https://t.co/uInIdwQLBS</t>
  </si>
  <si>
    <t>Kodim0901Smd</t>
  </si>
  <si>
    <t>BPOM menghadirkan mobil laboratorium keliling untuk mendukung program Makan Bergizi Gratis (MBG). Langkah ini memastikan keamanan pangan tetap terpantau hingga daerah yang sulit dijangkau. Inovasi nyata demi kesehatan masyarakat https://t.co/5KuetTzYHR</t>
  </si>
  <si>
    <t>barisansopan</t>
  </si>
  <si>
    <t>Babinsa Blimbing Pendampingan Program Makan Bergizi Gratis di SDN Polowijen 2 https://t.co/QzNzsA9MHD #BabinsaBlimbing #MakanBergiziGratis #SDNPolowijen</t>
  </si>
  <si>
    <t>Serucoid1</t>
  </si>
  <si>
    <t>Sidokkes Polres Bangli memastikan makanan Program Makan Bergizi Gratis aman dan layak dikonsumsi. Melalui pemeriksaan Food Safety di SPPG Polres Bangli, seluruh sampel makanan dinyatakan bebas bahan kimia berbahaya dan disajikan dalam kondisi higienis sesuai standar. https://t.co/6g8lLJn1Fs</t>
  </si>
  <si>
    <t>KintamaniPolsek</t>
  </si>
  <si>
    <t>Polresta Palangka Raya Hadiri Rakor Optimalisasi Program Makan Bergizi Gratis
Polresta Palangka Raya menghadiri Rapat Koordinasi (Rakor) Optimalisasi Pelaksanaan Program Makan Bergizi Gratis yang digelar di Ruang Rapat Peteng Karuhei II Kantor Wali Kota Palangka Raya. https://t.co/YXPR3SR9DT</t>
  </si>
  <si>
    <t>PolresPalangka</t>
  </si>
  <si>
    <t>Polres Klungkung Gelar Pre-Launching Program Makan Bergizi Gratis di TK Kemala Bhayangkari Klungkung.
#polriuntukmasyarakat #Klungkung #PolresKlungkung #JagaKamtibmas #CegahGangguanKeamanan #layanancepat110untukmasyarakat #PoldaBali #PolriPresisi #humaspolresklungkung https://t.co/RTiT9Dr5Xl</t>
  </si>
  <si>
    <t>BPOM Turun Langsung Kawal Program Makan Bergizi Gratis di Solo https://t.co/jzVniCBvoP</t>
  </si>
  <si>
    <t>IDNTimesJateng</t>
  </si>
  <si>
    <t>Presiden Prabowo memberi penegasan penting bagi pihak-pihak yang meremehkan keberhasilan program Makan Bergizi Gratis. Kritik boleh ada, namun fakta di lapangan tidak bisa diputarbalikkan: distribusi masif sudah berjalan dan mencapai 49 juta penerima manfaat setiap hari.
Beliau https://t.co/aMbbfA1PS3</t>
  </si>
  <si>
    <t>oxrth_</t>
  </si>
  <si>
    <t>Pemerintah terus memastikan program Makan Bergizi Gratis berjalan lebih rapi dan tepat sasaran. Temuan dari lapangan langsung diteruskan untuk dibenahi. Fokusnya sederhana: perlindungan anak harus terasa nyata dan merata https://t.co/cKZzbyDhco</t>
  </si>
  <si>
    <t>bungkusekoran</t>
  </si>
  <si>
    <t>Presiden Prabowo ungkap 49 juta penerima manfaat program Makan Bergizi Gratis, setara 7 kali penduduk Singapura, hingga menjangkau daerah terpencil. https://t.co/crcUOpsl9b</t>
  </si>
  <si>
    <t>Gibran Minta MBG Terus Dibenahi, Temuan KPAI Akan Dibawa ke BGN
Pemerintah memastikan komitmen untuk terus memperbaiki sistem dan pelaksanaan program Makan Bergizi Gratis (MBG) sebagai bagian dari upaya memperkuat perlindungan anak dan memastikan efektivitas kebijakan prioritas https://t.co/1EVWBNUHXU</t>
  </si>
  <si>
    <t>Program Makan Bergizi Gratis (MBG) menjadi langkah nyata negara dalam menyiapkan generasi sehat dan berdaya saing melalui pemenuhan gizi sejak dini. https://t.co/g17wC8XrRi</t>
  </si>
  <si>
    <t>Viviviviichan</t>
  </si>
  <si>
    <t>Polri Terbitkan Buku Rasa Bhayangkara Nusantara sebagai Rujukan Diversifikasi Pangan untuk Program Makan Bergizi Gratis https://t.co/srGnNgF6SR</t>
  </si>
  <si>
    <t>car_imar</t>
  </si>
  <si>
    <t>Ketum Golkar Bahlil dorong program Makan Bergizi Gratis untuk pelosok Indonesia. Dirinya menilai program ini penting karena pernah busung lapar. https://t.co/3tLPEQ10cH</t>
  </si>
  <si>
    <t>KPAI pantau Program Makan Bergizi Gratis di Depok — memastikan setiap murid bukan cuma kenyang, tapi mendapat gizi seimbang &amp;amp; aman 👶✨ 
https://t.co/Wroe9LCItY
#HakAnak #MBG #KPAI</t>
  </si>
  <si>
    <t>KPAI_official</t>
  </si>
  <si>
    <t>Program Makan Bergizi Gratis (MBG) bagi Ibu Hamil, Ibu Menyusui, dan Balita Non-PAUD (B3) di Desa Parakan, Kecamatan Leuwimunding, Kabupaten Majalengka, mendapat perhatian masyarakat usai penerima manfaatnya mengalami dugaan keracunan pada Kamis (4/12/2025). 
Insiden ini diduga https://t.co/LBONhnBrtT</t>
  </si>
  <si>
    <t>Kepala Badan Gizi Nasional (BGN), Dadan Hindayana menargetkan tidak ada orang lagi yang keracunan dalam program Makan Bergizi Gratis (MBG).
#mbg #bgn
https://t.co/53XxOp30zH</t>
  </si>
  <si>
    <t>Presiden Prabowo Subianto mengumumkan capaian signifikan Program Makan Bergizi Gratis (MBG), yang kini telah menjangkau sekitar 49 juta penerima manfaat setiap harinya. https://t.co/R5hWNrzCV8</t>
  </si>
  <si>
    <t>MediaPrabowoID</t>
  </si>
  <si>
    <t>Sinergi berbagai pihak membuat Program Makan Bergizi Gratis mampu mendistribusikan makanan bergizi secara merata, memperkuat kualitas hidup anak #MBG #EkonomiLokal #GiziAnak https://t.co/TqUdMAn4ce</t>
  </si>
  <si>
    <t>bhinneka_news</t>
  </si>
  <si>
    <t>Program Makan Bergizi Gratis (MBG) akan didistribusikan langsung kepada anak jalanan hingga lansia yang membutuhkan. Upaya ini layak didukung agar dapat segera terealisasi dan makin banyak yang merasakan manfaatnya https://t.co/3obgfySuU9</t>
  </si>
  <si>
    <t>Maklumin aja ges, program MBG ini punya kan bisa tiga:
1. Program Mbah Bowo - Gibran
2. Program Militer Banyak Gawean / Guna
3. Program Makan Bergizi Gratis</t>
  </si>
  <si>
    <t>Rebornian48</t>
  </si>
  <si>
    <t>Gunungkidul Perbarui Data Penerima Program Makan Bergizi Gratis, Dorong Bantuan Tepat Sasaran
https://t.co/xYcTbOWDYi</t>
  </si>
  <si>
    <t>TuguJogja_id</t>
  </si>
  <si>
    <t>Program Makan Bergizi Gratis (MBG) memperkuat masa depan anak bangsa dengan memastikan akses gizi sehat yang merata, sekaligus mendorong peningkatan kualitas pendidikan sejak dini https://t.co/hniK8tFwoA</t>
  </si>
  <si>
    <t>Presiden Prabowo Subianto mengklaim Program Makan Bergizi Gratis (MBG) sebagai salah satu program terbaik di dunia, setelah dalam 12 bulan berhasil menjangkau 49 juta penerima manfaat. Menurut Prabowo, capaian ini merupakan prestasi logistik besar, karena melebihi Brasil yang https://t.co/SUfxeDe2ct</t>
  </si>
  <si>
    <t>Program Makan Bergizi Gratis bukan sekadar berbagi makanan tetapi menjadi lokomotif ekonomi baru yang membuka lapangan kerja luas bagi sektor pangan dan menyejahterakan pelaku usaha kecil di seluruh daerah. https://t.co/krwIdPD5ky</t>
  </si>
  <si>
    <t>Program Makan Bergizi Gratis menjadi fondasi kokoh menuju Indonesia Maju dengan mencetak generasi yang sehat cerdas dan produktif melalui asupan gizi seimbang yang diberikan sejak usia dini di sekolah. https://t.co/TvNjy73tzj</t>
  </si>
  <si>
    <t>Program Makan Bergizi Gratis (MBG) menjadi pondasi penting untuk mencetak generasi sehat, cerdas, dan produktif dengan pemenuhan gizi yang berkelanjutan. Sumber: https://t.co/rDns6nkdTM</t>
  </si>
  <si>
    <t>Program Makan Bergizi Gratis (MBG) yang dijalankan Badan Gizi Nasional (BGN) terbukti menciptakan lapangan kerja dan memperkuat ekosistem usaha kuliner, mengubah Satuan Pelayanan Pemenuhan Gizi (SPPG) menjadi lokomotif baru penciptaan lapangan kerja https://t.co/3lGrqlJYrW</t>
  </si>
  <si>
    <t>BGN menegaskan bahwa insentif senilai Rp6 juta per hari untuk dapur program Makan Bergizi Gratis (MBG) akan dipotong apabila fasilitas Satuan Pelayanan Pemenuhan Gizi (SPPG) tidak memenuhi standar yang telah ditetapkan https://t.co/BBRF9Jkvpc</t>
  </si>
  <si>
    <t>nafian1010</t>
  </si>
  <si>
    <t>program makan bergizi gratis MBG bukan sekadar bantuan makanan melainkan investasi strategis dalam m menciptakan generasi yang sehat, cerdas dan produktif  yang akan jadi fondasi Indonesia maju https://t.co/HtFgCPKMbY</t>
  </si>
  <si>
    <t>Mensos Gus Ipul menyebut penyandang disabilitas akan menjadi sasaran program makan bergizi gratis yang mulai berjalan 2026 dan menargetkan 36 ribu penerima.
 https://t.co/2ErOFocKu1</t>
  </si>
  <si>
    <t>Wakil Bupati Asluchul Alif Dorong Perlindungan Ketenagakerjaan bagi Relawan dan Tenaga Pendukung Program Makan Bergizi Gratis https://t.co/fmq2SGyDV7</t>
  </si>
  <si>
    <t>IniGresik</t>
  </si>
  <si>
    <t>Personil Polsek Pangkalan Kuras melaksanakan pengawasan Program Makan Bergizi Gratis (MBG) di MTS Al-Qasimiyah dan SMPN 1 Pangkalan Kuras, dengan total sasaran 471 dan 1.048 porsi bagi siswa-siswi. https://t.co/SWfZcf5Erp</t>
  </si>
  <si>
    <t>polsek_pklkuras</t>
  </si>
  <si>
    <t>BADAN GIZI NASIONAL Sehubungan dengan pelaksanaan Program Makan Bergizi Gratis (MBG) oleh Badan Gizi Nasional) Penempatan SPPG: PURWOKERTO LOR (BANYUMAS) membutuhkan karyawan untuk posisi
AKUNTAN
KOKI / CHEF
AHLI GIZI
DRIVER
KRU DAPUR
 https://t.co/oWhFLV7VDu</t>
  </si>
  <si>
    <t>lokerpwt</t>
  </si>
  <si>
    <t>Tabik puun... 
Hallo sobat Mataneka 👋🏻
*MTsN 1 Way Kanan Mulai Salurkan Program Makan Bergizi Gratis (MBG) kepada Siswa*
Link Berita : https://t.co/BbelOQJYIN
#kemenagri
#kanwil_kemenag_lampung
#kemenagwaykanan
#osimmtsn1waykanan
#kabinet_raksabhinaya_adhiwira https://t.co/I8dAF3AqYj</t>
  </si>
  <si>
    <t>mtsn1waykanan</t>
  </si>
  <si>
    <t>ak ada lagi anak sekolah yang lapar. Program makan bergizi gratis hadirkan senyum dan semangat belajar. #GiziUntukGenerasi #MakanBergiziGratis https://t.co/dwkTw8aRFJ</t>
  </si>
  <si>
    <t>AlamINDKu</t>
  </si>
  <si>
    <t>Gizi cukup, prestasi meningkat. Mari dukung program makan bergizi gratis demi masa depan anak-anak kita! #BangunGenerasiEmas #DukungProgramGizi https://t.co/hDKhzWJTls</t>
  </si>
  <si>
    <t>Dadan Hindayana di Balik Program Makan Bergizi Gratis: Dari Kampus ke Garda Depan Kebijakan Nasional
https://t.co/Z1R12NKqIO</t>
  </si>
  <si>
    <t>Setiap anak berhak tumbuh kuat dan sehat. Program makan bergizi gratis hadir untuk memastikan tidak ada yang belajar dalam keadaan lapar. Mari bersama mendukung langkah kecil yang membawa masa depan lebih cerah bagi seluruh anak Indonesia https://t.co/FeghIAFd3z</t>
  </si>
  <si>
    <t>Setiap anak berhak tumbuh kuat dan sehat. Program makan bergizi gratis hadir untuk memastikan tidak ada yang belajar dalam keadaan lapar. Mari bersama mendukung langkah kecil yang membawa masa depan lebih cerah bagi seluruh anak Indonesia https://t.co/mNFtL0J5aX</t>
  </si>
  <si>
    <t>Setiap anak berhak tumbuh kuat dan sehat. Program makan bergizi gratis hadir untuk memastikan tidak ada yang belajar dalam keadaan lapar. Mari bersama mendukung langkah kecil yang membawa masa depan lebih cerah bagi seluruh anak Indonesia https://t.co/j8P9wJ0oCZ</t>
  </si>
  <si>
    <t>Setiap anak berhak tumbuh kuat dan sehat. Program makan bergizi gratis hadir untuk memastikan tidak ada yang belajar dalam keadaan lapar. Mari bersama mendukung langkah kecil yang membawa masa depan lebih cerah bagi seluruh anak Indonesia https://t.co/rf7Tr7KeFg</t>
  </si>
  <si>
    <t>Tujuan lain dari Program MBG (Makan Bergizi Gratis)  asslah membangun ekosistem ekonomis yang menumbuhkan pemberdayaan ekonomi lokal, Beberapa Dapur MBG /SPPG juara  menciptakan dan menguatkan ekosistem pemberdayaan masyarakatdiberi penghargaan INSPIRADAYA dari Kemenko PM</t>
  </si>
  <si>
    <t>cakimiNOW</t>
  </si>
  <si>
    <t>Program Makan Bergizi Gratis sejalan dengan visi Indonesia Emas 2045. Satu langkah gizi sehat, seribu manfaat untuk negeri.
#GenerasiSehat
#MBGuntukMasaDepan
#IndonesiaEmas2045 https://t.co/73vjgn4OMk</t>
  </si>
  <si>
    <t>Nur_Syahira98</t>
  </si>
  <si>
    <t>Antusiasme luar biasa dari siswa-siswi di pelosok Garut saat menyambut program Makan Bergizi Gratis (MBG)! 🤩
Senyum ceria mereka adalah bukti nyata bahwa akses gizi yang baik bisa membawa harapan dan semangat belajar.
🚀 Gizi baik, semangat belajar makin tinggi https://t.co/9gbmDX8x9V</t>
  </si>
  <si>
    <t>Dadan Hindayana memastikan pengawasan program Makan Bergizi Gratis semakin ketat dengan membatasi beban kerja dapur agar kualitas gizi terjaga dan risiko keamanan pangan dapat ditekan seminimal mungkin. https://t.co/q7BzMEYvFr</t>
  </si>
  <si>
    <t>Semua pihak yang bekerja dapur SPPG menjadi urat nadi pelaksanaan Program Makan Bergizi Gratis. 
Kerja Nyata dan tanggung jawab yg mereka, menu makanan sehat dan bergizi seimbang untuk penerima manfaat disiapkan.
#LanjutkanMBG
Ferry Irwandi #jonita Shanti #TimnasDay Filipina https://t.co/6uXQJTqXfM</t>
  </si>
  <si>
    <t>Aprilia_wiji</t>
  </si>
  <si>
    <t>Program Makan Bergizi Gratis (MBG) yang diinisiasi pemerintahan Presiden Prabowo Subianto dan direncanakan berjalan penuh mulai 2026 dengan anggaran APBN Rp 1,2 triliun per hari, mulai menemui kendala di daerah.
Di Kabupaten Demak, Jawa Tengah, Satuan Pelayanan Pemenuhan Gizi https://t.co/OOPm2WYaTI</t>
  </si>
  <si>
    <t>Pandugaid</t>
  </si>
  <si>
    <t>Badan Gizi Nasional memastikan pengawasan program Makan Bergizi Gratis semakin ketat.
Berbagai langkah dan Kerja Nyata diterapkan secara sistematis menyusul beberapa insiden keracunan dalam Program MBG.
#LanjutkanMBG
Login #GrandeFratello 
Filipina #zonauang Kisruh Hukumᅠᅠᅠ https://t.co/TShsQ4M9Vq</t>
  </si>
  <si>
    <t>Penyuluh perikanan terus memberikan pendampingan kepada Poklahsar binaan dalam memenuhi permintaan produk perikanan untuk mendukung Program Makan Bergizi Gratis. Upaya ini diharapkan dapat memperkuat peran strategis UMKM pengolah hasil perikanan dalam program pemerintah. https://t.co/HSCSgJZECB</t>
  </si>
  <si>
    <t>bppsdm_brpbappp</t>
  </si>
  <si>
    <t>Kapolsek Nagreg Kompol Rizal Adam Al Hasan AS, S.Pd, M.M., yang diwakili Kanit Intelkam AKP Nurwidi S.H., menghadiri Rapat Koordinasi Program Makan Bergizi Gratis (MBG), tingkat Kecamatan Nagreg, di Aula Kantor Kecamatan Nagreg Kabupaten Bandung. https://t.co/Yeh8t4HGIk</t>
  </si>
  <si>
    <t>PolsekNagreg</t>
  </si>
  <si>
    <t>Badan Gizi Nasional (BGN) memastikan pasokan gizi nasional melalui Program Makan Bergizi Gratis (MBG) terpenuhi. SDM dilatih untuk kesiapannya secara serentak dan tersebar ke seluruh Indonesia. https://t.co/SJBsZk2fv1</t>
  </si>
  <si>
    <t>sidewii</t>
  </si>
  <si>
    <t>Program Makan Bergizi Gratis (MBG) kini merangkul para penyandang disabilitas. Mulai tahun depan, 36.000 penerima akan mendapatkan makanan bergizi dua kali sehari, langsung diantar ke rumah oleh kader desa yang sekaligus menjadi caregiver mereka.
#MakanBergiziGratis #Disabilitas https://t.co/PsOXhFgx9s</t>
  </si>
  <si>
    <t>33officialdotid</t>
  </si>
  <si>
    <t>Menteri Keuangan Purbaya Yudhi Sadewa bantah tegas isu perubahan program Makan Bergizi Gratis (MBG) menjadi uang tunai. 
​Baca klarifikasi Menkeu: https://t.co/xiO6M468jQ
​#NarayaPost #Menkeu #MBG #MakanBergiziGratis #Hoaks</t>
  </si>
  <si>
    <t>gisgiskaa</t>
  </si>
  <si>
    <t>Badan Gizi Nasional (BGN) mendorong seluruh dapur Program Makan Bergizi Gratis (MBG) untuk menerapkan ramah lingkungan dan berorientasi pada prinsip zero waste.
#pengolahanlimbah #sppg #mbg #biosolar #pupuk #diswayid https://t.co/lhdvoblKKw</t>
  </si>
  <si>
    <t>disway_update</t>
  </si>
  <si>
    <t>Penyerahan Simbolis Program Makan Bergizi Gratis Digelar di SMA Negeri 1 Singaraja
https://t.co/jEurNuBrkO https://t.co/2OWqkE0oLw</t>
  </si>
  <si>
    <t>Pemkab_Buleleng</t>
  </si>
  <si>
    <t>PPU Siapkan Pangan Lokal untuk Sukseskan Program Makan Bergizi Gratis https://t.co/r1LeqNrNGw</t>
  </si>
  <si>
    <t>IDNTimesKaltim</t>
  </si>
  <si>
    <t>Sebelum Akhir Tahun, BGN Bidik Layanan MBG Setara Populasi Korsel
Jakarta - Kepala Badan Gizi Nasional (BGN), Dadan Hindayana mengatakan, pihaknya kini tengah mengejar target layanan Program Makan Bergizi Gratis (MBG) setara populasi Korea Selatan, yakni 51,5 juta jiwa.  "Kita https://t.co/jL2Kw383pB</t>
  </si>
  <si>
    <t>Indonesia masih menghadapi persoalan besar terkait sampah makanan. Hampir separuh tumpukan sampah nasional berasal dari makanan yang terbuang dan sebagian besar terjadi karena makanan tidak dihabiskan. Di tengah pelaksanaan Program Makan Bergizi Gratis, isu ini menjadi semakin https://t.co/3eNopJo5s5</t>
  </si>
  <si>
    <t>krkp_id</t>
  </si>
  <si>
    <t>Isu dugaan pungutan biaya perizinan kelayakan pangan dalam Program Makan Bergizi Gratis (MBG) mencuat di lingkungan Pemerintah Kabupaten Pekalongan. Seorang oknum pejabat di Dinas Kesehatan (Dinkes) Kabupaten Pekalongan berinisial M.K, yang disebut menjab
https://t.co/TzKQCKK0E8</t>
  </si>
  <si>
    <t>warta_desa</t>
  </si>
  <si>
    <t>SPPG Sukamantri Hadirkan Oven Ompreng Pertama Nasional
Bogor — Upaya meningkatkan keamanan pangan dalam pelaksanaan Program Makan Bergizi Gratis (MBG) mencapai tonggak baru. Satuan Pelayanan Pemenuhan Gizi (SPPG) Bogor Tamansari Sukamantri menjadi SPPG pertama di Indonesia yang https://t.co/pzwsAqPHts</t>
  </si>
  <si>
    <t>MBG adalah Seragam Sekolah Versi Makanan! 
Program Makan Bergizi Gratis harus universal. Tujuannya menciptakan kesetaraan mutlak di sekolah. Semua anak makan menu yang sama di meja yang sama. Ini hilangkan stigma sosial &amp;amp; bangun fondasi karakter kebangsaan. Jangan ada pemilahan! https://t.co/6MWH9jVqED</t>
  </si>
  <si>
    <t>Bukan hanya sekadar makanan gratis! Juga fokus penuh naikin kualitas dan mutu makanan di program Makan Bergizi Gratis (MBG), yang sudah menyentuh ribuan siswa setiap hari. Setiap porsi dibuat dengan perhatian agar anak-anak dapat tumbuh sehat dan siap belajar. https://t.co/csqG6uMaiQ</t>
  </si>
  <si>
    <t>446.630 jiwa di Kepri kini TERSENTUH Program Makan Bergizi Gratis (MBG)! 
Ini adalah langkah nyata memastikan gizi terbaik untuk generasi penerus &amp;amp; kelompok 3B di Kepri. Penguatan gizi di 161 Satuan Pelayanan Pemenuhan Gizi (SPPG) terus dipercepat, termasuk di daerah 3T. 💪 https://t.co/OeYuUlJUgx</t>
  </si>
  <si>
    <t>Program Makan Bergizi Gratis kini menjangkau ratusan ribu siswa dan ibu hamil di Kepri, memastikan pemerataan gizi hingga ke pelosok daerah demi masa depan generasi yang lebih sehat dan kuat. https://t.co/oyvetyRw51</t>
  </si>
  <si>
    <t>Program Makan Bergizi Gratis (MBG) memastikan setiap anak mendapat nutrisi layak, meningkatkan kesehatan sekaligus mendukung fokus belajar di sekolah. Sumber: https://t.co/vMr1Q5PWNJ</t>
  </si>
  <si>
    <t>Program Makan Bergizi Gratis (MBG) di Kepri sukses menjangkau 446.630 penerima manfaat, meliputi siswa, ibu hamil, menyusui, dan balita (3B). Didukung 161 SPPG, program ini menjangkau Batam secara masif, sementara pembangunan di daerah 3T masih berjalan. https://t.co/kKvu7pl7vd</t>
  </si>
  <si>
    <t>Program Makan Bergizi Gratis (MBG) diterapkan secara merata untuk semua siswa demi menciptakan kesetaraan di sekolah. Tujuannya meniru semangat seragam sekolah: menghapus sekat status sosial dan mencegah stigma dengan tidak memilah-milah penerima manfaat. https://t.co/mHAa6AXFHW</t>
  </si>
  <si>
    <t>1.945 penerima manfaat! 
Sejak beroperasi 15 September lalu, Program Makan Bergizi Gratis (MBG) di Pulau Kelapa telah menyajikan makanan bergizi, meskipun tantangan logistik di pulau.
​Tim SPPG yang didominasi warga lokal memastikan kualitas makanan terjaga. Kehadiran MBG bukan https://t.co/HFphpoXX4P</t>
  </si>
  <si>
    <t>19 Ribu UMKM Terlibat dalam Program Makan Bergizi Gratis yang Bisa Berikan Multiplier Effect
https://t.co/5HEpNsoYEe</t>
  </si>
  <si>
    <t>RiaupagiSurya</t>
  </si>
  <si>
    <t>Polsek Muara Kaman Kawal Pelaksanaan Program Makan Bergizi Gratis, Dukung Pemenuhan Gizi dan Kamtibmas Pelajar di Panca Jaya
Kukar – Program Makan Bergizi Gratis (MBG) Tahap Pertama resmi bergulir di Desa Panca Jaya, Kecamatan Muara Kaman, pada Senin (08/12/2025). https://t.co/GKDcwRoqju</t>
  </si>
  <si>
    <t>polsek_sebulu</t>
  </si>
  <si>
    <t>@Jeejjeeee @ARSIPAJA Zulkifli Hasan (Zulhas) menyatakan target IQ anak Indonesia naik ke 120 melalui program Makan Bergizi Gratis (MBG), karena nutrisi baik bisa dukung perkembangan kognitif. Namun, IQ dipengaruhi banyak faktor seperti pendidikan dan lingkungan, bukan hanya makanan. Apakah mirip</t>
  </si>
  <si>
    <t>grok</t>
  </si>
  <si>
    <t>Babinsa Dampingi Program Makan Bergizi Gratis di TK DWP Karangandong https://t.co/vOil2MxMc1 https://t.co/LoiEIq0NEP</t>
  </si>
  <si>
    <t>kodim0817gresik</t>
  </si>
  <si>
    <t>Wali Kota Depok, Supian Suri memimpin Rapat Koordinasi Program Makan Bergizi Gratis (MBG) Kota Depok, Senin (01/12/2025).
Supian mengatakan bahwa Pemkot Depok terus berupaya  memperluas sasaran program MBG dan memastikan program berjalan dengan kualitas yang terjaga. https://t.co/GBcYuXqrgh</t>
  </si>
  <si>
    <t>Humas_depok</t>
  </si>
  <si>
    <t>Program MBG Dikritisi Masih Banyak Sekolah di Simalungun Tak Tersentuh
Program Makan Bergizi Gratis (MBG) yang menjadi salah satu agenda prioritas pemerintah kini menghadapi kritik luas. https://t.co/V02Qv1TBCc</t>
  </si>
  <si>
    <t>sibnewsnetwork</t>
  </si>
  <si>
    <t>APBN 2026 menunjukkan pergeseran prioritas belanja pemerintah yang sangat besar, terutama melalui ekspansi anggaran pada program-program flagship seperti Program Makan Bergizi Gratis (MBG) dan Program Koperasi Desa (Kopdes). https://t.co/YTYCONqtHB</t>
  </si>
  <si>
    <t>COREIndonesia</t>
  </si>
  <si>
    <t>Menteri Koordinator Bidang Pangan, Zulkifli Hasan, menyatakan optimismenya bahwa kualitas kecerdasan anak Indonesia dapat meningkat signifikan melalui Program Makan Bergizi Gratis (MBG). Zulhas menargetkan rata-rata IQ anak Indonesia bisa mencapai angka 120, jauh di atas https://t.co/JAzdIW9EZ1</t>
  </si>
  <si>
    <t>Melihat_Indo</t>
  </si>
  <si>
    <t>Distribusi MBG Masif, Ratusan Ribu Porsi Dinikmati Korban Bencana Sumatera-Aceh. 
Penyaluran bantuan pangan melalui program Makan Bergizi Gratis (MBG) masih terus dilakukan pemerintah untuk membantu masyarakat terdampak bencana alam di wilayah Sumatera dan Aceh.   Hingga 9 https://t.co/bUwNAPeqP0</t>
  </si>
  <si>
    <t>Sufmi dasco menyampaikan terima kasih atas dukungan masyarakat terhadap program-program pemerintah Presiden Prabowo Subianto, terutama Program Makan Bergizi Gratis (MBG) yang menjadi salah satu program unggulan untuk mencetak generasi bangsa yang lebih kuat dan sehat. https://t.co/xq4Q8S8OcN</t>
  </si>
  <si>
    <t>bbahtiarr</t>
  </si>
  <si>
    <t>Program Makan Bergizi Gratis hadir untuk penuhi kebutuhan gizi anak sejak dini, meningkatkan kesehatan dan daya saing generasi muda. Langkah nyata menuju Indonesia Emas 2045!
#MakanBergiziGratis #GenerasiSehat #IndonesiaEmas https://t.co/UMaJWCd2Hx</t>
  </si>
  <si>
    <t>Kami percaya setiap anak berhak tumbuh kuat dan cerdas. Dengan program makan bergizi gratis, kita bersama membuka jalan bagi masa depan yang lebih sehat. Mari saling menjaga, memastikan tak ada piring yang kosong dan setiap langkah kecil menuju mimpi jadi lebih ringan. https://t.co/LxnlVbX5jh</t>
  </si>
  <si>
    <t>Kami percaya setiap anak berhak tumbuh kuat dan cerdas. Dengan program makan bergizi gratis, kita bersama membuka jalan bagi masa depan yang lebih sehat. Mari saling menjaga, memastikan tak ada piring yang kosong dan setiap langkah kecil menuju mimpi jadi lebih ringan. https://t.co/WcJRZ5dOGz</t>
  </si>
  <si>
    <t>Kami percaya setiap anak berhak tumbuh kuat dan cerdas. Dengan program makan bergizi gratis, kita bersama membuka jalan bagi masa depan yang lebih sehat. Mari saling menjaga, memastikan tak ada piring yang kosong dan setiap langkah kecil menuju mimpi jadi lebih ringan. https://t.co/VCLf4WQgce</t>
  </si>
  <si>
    <t>Kami percaya setiap anak berhak tumbuh kuat dan cerdas. Dengan program makan bergizi gratis, kita bersama membuka jalan bagi masa depan yang lebih sehat. Mari saling menjaga, memastikan tak ada piring yang kosong dan setiap langkah kecil menuju mimpi jadi lebih ringan. https://t.co/nTYiCdqw5W</t>
  </si>
  <si>
    <t>RI Targetkan Swasembada Telur &amp;amp; Daging Ayam di 2026! 🥚🍗
Setelah sukses swasembada beras &amp;amp; jagung kini fokus beralih ke sektor peternakan. Pemerintah siapkan strategi khusus untuk memastikan pasokan aman dan berkelanjutan demi mendukung penuh program Makan Bergizi Gratis (MBG)! https://t.co/Nb7FJwRcCB</t>
  </si>
  <si>
    <t>Program Makan Bergizi Gratis (MBG) terus memberi dampak nyata dengan meningkatkan kesejahteraan anak sekolah dan memperkuat kualitas sumber daya manusia sejak dini. Sumber: https://t.co/rDns6nkdTM</t>
  </si>
  <si>
    <t>Program Makan Bergizi Gratis (MBG) kini menjangkau kelompok paling rentan: lansia, pemulung, anak jalanan, disabilitas, hingga masyarakat miskin. Harapan baru mengalir—tak boleh ada lagi warga Indonesia yang kesulitan mendapatkan makanan bergizi. Pemenuhan gizi untuk semua https://t.co/nYJOpoqz12</t>
  </si>
  <si>
    <t>adeelinaimawn</t>
  </si>
  <si>
    <t>Program Makan Bergizi Gratis (MBG) kini diperluas untuk mencakup jutaan warga Indonesia, dengan penerima manfaat yang menyentuh kelompok paling rentan seperti lansia, pemulung, anak jalanan, disabilitas, hingga masyarakat miskin. https://t.co/7XfmRBAI1J</t>
  </si>
  <si>
    <t>waynirwana</t>
  </si>
  <si>
    <t>Program Makan Bergizi Gratis (MBG) kini benar-benar menyentuh nurani bangsa. 
Dari lansia, pemulung, hingga anak jalanan—semua dirangkul agar tak ada lagi warga yang tidur dalam keadaan lapar.
Harapan baru untuk Indonesia yang lebih adil dan manusiawi. https://t.co/M5G1L3rSZA</t>
  </si>
  <si>
    <t>MBG : Ada harapan baru bagi jutaan warga! Program Makan Bergizi Gratis (MBG) kini menjangkau lansia, pemulung, anak jalanan, hingga masyarakat miskin. 
memastikan setiap anak bisa makan bergizi agar tumbuh dengan baik. Pendidikan dan tenaga penggerak masyarakat diprioritaskan. https://t.co/kiArs1GS2f</t>
  </si>
  <si>
    <t>nauna_masa</t>
  </si>
  <si>
    <t>Visi utama Program Makan Bergizi Gratis (MBG) adalah memastikan semua anak Indonesia mendapat asupan gizi yang cukup untuk tumbuh optimal.Program ini menjadi pilar penting dalam upaya pemerintah menjamin kesehatan generasi penerus bangsa. https://t.co/q5TI4Vz9AV</t>
  </si>
  <si>
    <t>Program Makan Bergizi Gratis kini menyentuh lansia dan anak jalanan membawa harapan baru bagi jutaan warga Indonesia yang membutuhkan uluran tangan pemerintah. https://t.co/viEbeoU1Au</t>
  </si>
  <si>
    <t>Harapan baru terus mengalir. Program Makan Bergizi Gratis kini menyentuh lansia, pemulung, anak jalanan, hingga kelompok paling rentan. Semua berhak makan layak dan bergizi. ✨ https://t.co/2G9Kwb9hi4</t>
  </si>
  <si>
    <t>Sebuah insiden tragis terekam dalam video yang beredar luas di media sosial, memperlihatkan mobil pengangkut makanan program Makan Bergizi Gratis (MBG) menabrak murid di SDN 01 Kalibaru, Jakarta Utara.
Mobil tersebut dilaporkan menerobos pagar sekolah dan menabrak sekelompok https://t.co/ItZqBeWyxh</t>
  </si>
  <si>
    <t>pikiran_rakyat</t>
  </si>
  <si>
    <t>Sebuah mobil operasional program Makan Bergizi Gratis (MBG) menabrak sejumlah siswa dan satu guru di SDN 01 Kalibaru, Cilincing, Jakarta Utara, pada Kamis (11/12/2025) pagi. Insiden ini menyebabkan 20 orang korban luka-luka, terdiri dari 19 siswa dan 1 guru. https://t.co/GgzOp7z4RQ</t>
  </si>
  <si>
    <t>KangDien_Wae</t>
  </si>
  <si>
    <t>Mobil operasional program Makan Bergizi Gratis (MBG) menerobos masuk ke halaman SDN Kalibaru 01 Pagi, Cilincing, Jakarta Utara, dan menabrak 20 orang. Akibat kejadian ini sebanyak 19 siswa  dan 1 guru mengalami luka. 
Kepolisian Daerah Metro Jaya menyebut, dari total korban, https://t.co/69hJXtHpKA</t>
  </si>
  <si>
    <t>NarasiNewsroom</t>
  </si>
  <si>
    <t>Program Makan Bergizi Gratis memberikan energi baru bagi anak-anak demi menyongsong masa depan yang sukses dan berguna. Dukung terus Program MBG!
#ManfaatMakanBergiziGratis
#MakanBergiziGratis
#ProgramMakanBergiziGratis
#DukungProgramMakanBergiziGratis https://t.co/Ea2gti0l6y</t>
  </si>
  <si>
    <t>Bangsaindo_</t>
  </si>
  <si>
    <t>Kukar – Bhabinkamtibmas Polsek Anggana, Briptu Zidan Nur Alif, menghadiri kegiatan launching Satuan Pelayanan Pemenuhan Gizi (SPPG) dan Distribusi Perdana Program Makan Bergizi Gratis (MBG) Periode I yang digelar di Yayasan Fimizoe Mohammad Zulkifli. https://t.co/CvV7pVpGb8</t>
  </si>
  <si>
    <t>Polsektenggaro1</t>
  </si>
  <si>
    <t>Horor di SD Cilincing! Mobil Program Makan Bergizi Gratis Nyelonong Masuk Halaman Sekolah, 20 Korban Berjatuhan...sedih...https://t.co/txOSYWwwDr</t>
  </si>
  <si>
    <t>kalderanews</t>
  </si>
  <si>
    <t>Danrem 073/Makutarama Tinjau Program Makan Bergizi Gratis di SMK Bina Utama Kendal https://t.co/hO0Rflobr6</t>
  </si>
  <si>
    <t>KoremMakutarama</t>
  </si>
  <si>
    <t>Seluruh pelajar SDN 01 Kalibaru, Jakarta Utara, langsung dipulangkan menyusul insiden tragis, mobil pengangkut program Makan Bergizi Gratis (MBG) menabrak pelajar, Kamis (11/12/2025). Hal ini disampaikan Turah, Wakil Kepala Sekolah SDN 01 Kalibaru.
Setelah kejadian, siswa yang https://t.co/V7hrUibqtL</t>
  </si>
  <si>
    <t>Sufmi Dasco juga menyampaikan apresiasi atas dukungan masyarakat terhadap program-program pemerintahan Presiden Prabowo Subianto, terutama Program Makan Bergizi Gratis (MBG) yang digulirkan untuk membangun generasi muda yang lebih sehat dan kuat. https://t.co/BOFItrWBwm</t>
  </si>
  <si>
    <t>Program Makan Bergizi Gratis (MBG) hadir untuk meningkatkan status gizi generasi muda melalui pemberian makanan bergizi gratis dan kolaborasi lintas sektor secara berkelanjutan https://t.co/r92PQdXFSc</t>
  </si>
  <si>
    <t>ravidnath</t>
  </si>
  <si>
    <t>Babinsa Koramil 13/Bener Dampingi Pelaksanaan Makan Bergizi Gratis
Babinsa Koramil 13/Bener, Kodim 0708/Purworejo melakukan pendampingan pembagian program Makan Bergizi Gratis (MBG) di Sekolahan wilayah binaan. https://t.co/xxy6Em2MzP</t>
  </si>
  <si>
    <t>13_bener</t>
  </si>
  <si>
    <t>Tragedi mobil pengantar makanan MBG yang tabrak siswa SD di Cilincing, Jakarta Utara adalah bentuk kelalaian pemerintah terkait program MBG.
Hentikan program dan evaluasi total program Makan Bergizi Gratis (MBG) adalah satu-satunya cara agar berbagai insiden yang merugikan https://t.co/oAfKhZ0aUL</t>
  </si>
  <si>
    <t>konde_co</t>
  </si>
  <si>
    <t>Wakil Presiden (Wapres) Gibran Rakabuming Raka meminta aparat penegak hukum mengusut tuntas insiden mobil pengangkut makanan Program Makan Bergizi Gratis (MBG) yang menabrak siswa dan guru SDN 1 Kalibaru, Cilincing, Jakarta Utara, Kamis (11/12/2025). Kecelakaan tersebut https://t.co/Re5CdtU5IX</t>
  </si>
  <si>
    <t>Horor di SD Cilincing! Mobil Program Makan Bergizi Gratis Nyelonong Masuk Halaman Sekolah, 20 Korban Berjatuhan..Parah sih drivernya...https://t.co/txOSYWwwDr</t>
  </si>
  <si>
    <t>Wakil Presiden Gibran Rakabuming Raka menyambangi RSUD Cilincing dan RSUD Koja, Jakarta Utara, Kamis (11/12/2025) sore. Kedatangannya dilakukan untuk menjenguk para pelajar SDN 01 Kalibaru yang menjadi korban tabrakan mobil pengangkut program Makan Bergizi Gratis (MBG). https://t.co/H0FVpLJ3o5</t>
  </si>
  <si>
    <t>Kemendikdasmen Dorong Penguatan Implementasi Program Makan Bergizi Gratis https://t.co/SzpzXBMybs</t>
  </si>
  <si>
    <t>MyInfoID</t>
  </si>
  <si>
    <t>Menginjak setahun implementasi program MBG, sudah semestinya evaluasi total dilakukan untuk mengukur capaian secara objektif. CELIOS mengundang seluruh masyarakat untuk hadir dalam Peluncuran Studi mengenai Evaluasi 1 Tahun Program Makan Bergizi Gratis dengan beberapa temuan https://t.co/v3stqIcvvQ</t>
  </si>
  <si>
    <t>barengwarga</t>
  </si>
  <si>
    <t>Menko PM Cak Imin merespons insiden mobil SPPG pengangkut makanan Program Makan Bergizi Gratis (MBG), yang menabrak siswa dan guru di lingkungan SDN Kalibaru 01
#OneNewsUpdatetvOne #tvOne #CariBeritaditvOne #MenkoPM #CakImin #MBG #ONU03 https://t.co/hg8i1OOxmo</t>
  </si>
  <si>
    <t>Presiden Prabowo Perluas Manfaat Program Makan Bergizi Gratis, Guru Swasta hingga Honorer Kini Termasuk Penerima https://t.co/lUy4pvN056</t>
  </si>
  <si>
    <t>klikaktual</t>
  </si>
  <si>
    <t>kirain dulu MBG ini program peningkatan gizi masyarakat, ternyata peningkatan lifestyle
BGN lahir dari janji kampanye mulia: Anak-anak Indonesia harus makan bergizi. Stunting harus turun. Generasi emas 2045.
BGN dibentuk khusus untuk program makan bergizi gratis yang dijanjikan</t>
  </si>
  <si>
    <t>13_iwaN</t>
  </si>
  <si>
    <t>Rp6,31 triliun buat program Makan Bergizi Gratis, katanya demi anak-anak biar gak kekurangan gizi.
Tapi yang dibelanjain:
kaos kaki, semir sepatu, barang-barang random.
Ini program gizi atau proyek gragas?
Di lapangan masih banyak anak sekolah pakai kaos kaki bolong diikat https://t.co/hL0S5B3PfO</t>
  </si>
  <si>
    <t>bangherwin</t>
  </si>
  <si>
    <t>Arah kebijakan program Makan Bergizi Gratis (MBG) kini mengalami pergeseran signifikan. Presiden Prabowo Subianto meminta agar program unggulan tersebut tidak lagi diberikan secara universal, melainkan difokuskan secara spesifik kepada anak-anak yang mengalami kekurangan gizi dan https://t.co/XkAJKEXmh1</t>
  </si>
  <si>
    <t>NalarTumpul</t>
  </si>
  <si>
    <t>Pemerintah menyiapkan 1.000 unit rumah subsidi bagi karyawan program Makan Bergizi Gratis (MBG) melalui skema Fasilitas Likuiditas Pembiayaan Perumahan (FLPP) dengan uang muka mulai sekitar Rp1,8 juta.
Kebijakan ini untuk meningkatkan kesejahteraan karyawan sekaligus mendukung https://t.co/5ZfFJxrT9s</t>
  </si>
  <si>
    <t>Seorang kreator viral menyoroti dampak program Makan Bergizi Gratis (MBG) melalui drama tentang warung sekolah yang kehilangan pelanggan.
Sejumlah UMKM mengaku omzet menurun sejak program berjalan. Selain itu, distribusi bahan pokok makin terpusat ke pemasok besar, harga di https://t.co/8NUa5JUZL9</t>
  </si>
  <si>
    <t>sosmedkeras</t>
  </si>
  <si>
    <t>Kepala BGN menyebut rata-rata IQ Indonesia 78 dan menargetkan peningkatan lewat program Makan Bergizi Gratis. Program ini fokus pada 1.000 hari pertama dan usia sekolah untuk mencegah stunting serta mendukung tumbuh kembang.
Baca selengkapnya: https://t.co/ctPLExoc28
~RK #MBG https://t.co/rEuJ0V8uu6</t>
  </si>
  <si>
    <t>kompascom</t>
  </si>
  <si>
    <t>Kepala Badan Gizi Nasional (BGN) Dadan Hindayana mengatakan, pemerintah melakukan intervensi menyeluruh kepada anak-anak Indonesia melalui program Makan Bergizi Gratis (MBG).
Baca Selengkapnya di: https://t.co/d0J2EeFtbJ.
~AC #BGN #MBG https://t.co/eIfwoPZn7g</t>
  </si>
  <si>
    <t>MOMEN HARU PERPISAHAN SISWA YG PUTUS SEKOLAH KARENA FAKTOR EKONOMI.
Di tengah besarnya anggaran program seperti Makan Bergizi Gratis (MBG) yang mencapai triliunan rupiah, realitas di lapangan justru menunjukkan cerita yang berbeda.
Ikhsan, siswa kelas VIII di SMP Negeri 1 https://t.co/rvkxnxYpW7</t>
  </si>
  <si>
    <t>NenkMonica</t>
  </si>
  <si>
    <t>Seorang santri yatim bernama Muhammad Zainuddin Alwi merasakan manfaat program Makan Bergizi Gratis (MBG) setelah bergabung di dapur SPPG Klodran sejak 2025. Melalui pekerjaannya, ia memperoleh penghasilan untuk membantu keluarga sekaligus menambah keterampilan sebagai bekal di https://t.co/BpoFNYkJFU</t>
  </si>
  <si>
    <t>antaranews</t>
  </si>
  <si>
    <t>Harga Sayur Stabil, Petani Boyolali Dukung Keberlanjutan MBG
Boyolali, 20 April 2026 Program Makan Bergizi Gratis (MBG) mulai berdampak pada stabilitas harga sayur di tingkat petani di Boyolali.
Karisudin, petani di Kecamatan Selo, menyebut komoditas seperti bawang merah kini https://t.co/IRS6SwGzue</t>
  </si>
  <si>
    <t>BangPino__</t>
  </si>
  <si>
    <t>Di balik senyum anak-anak, ada harapan besar untuk negeri ini. Polri turut mendampingi program makan bergizi gratis sebagai bentuk kepedulian terhadap tumbuh kembang generasi bangsa. Polri terus Menjamin Ketahanan Pangan Masyarakat dan #GiziUntukAnakIndonesia https://t.co/fIH8JiXxIp</t>
  </si>
  <si>
    <t>bidhumas_jatim</t>
  </si>
  <si>
    <t>Diterpa masalah bertubi-tubi, Uya Kuya kembali harus menghadapi ujian baru. 
Setelah sebelumnya rumahnya sempat dijarah akibat hoax yang viral, ia lagi-lagi jadi sasaran kabar bohong—kali ini dituding memiliki 750 dapur program Makan Bergizi Gratis (MBG).
Situasi ini membuat https://t.co/4SI5r1lRIy</t>
  </si>
  <si>
    <t>🔴 Program Makan Bergizi Gratis (MBG) yang digulirkan Presiden Prabowo Subianto memberikan dampak positif bagi pelaku usaha kecil di daerah. Salah satunya dirasakan oleh Sholikin, perajin tempe asal Desa Semen, Kabupaten Ngawi, Jawa Timur, yang mencatat peningkatan produksi https://t.co/4g5zpLPQnq</t>
  </si>
  <si>
    <t>abu_waras</t>
  </si>
  <si>
    <t>Lonjakan biaya UKT di PTN saat ini menjadi ancaman nyata yang mengubah pendidikan tinggi dari hak warga negara menjadi privilege kelompok elite. Ketika anggaran pendidikan justru dialokasikan untuk program Makan Bergizi Gratis (MBG), negara tampak sedang melakukan kebijakan https://t.co/UeDzC1g76K</t>
  </si>
  <si>
    <t>kenhans03</t>
  </si>
  <si>
    <t>Dulu cuma makan nasi sama garam, sekarang anak-anak bisa menikmati buah, susu, dan makanan bergizi berkat program MBG. Perubahan kecil yang membawa harapan besar untuk masa depan generasi bangsa ✍️🥹
#BeneranBerasaKorea
Pagii #BTSJIN https://t.co/yWIT7OiopJ</t>
  </si>
  <si>
    <t>BenaDinata01</t>
  </si>
  <si>
    <t>Efektivitas Makan Bergizi Gratis terlihat dari dampak positif yang dirasakan langsung oleh masyarakat #MBG #MakanBergiziGratis https://t.co/bM4Nghqti5</t>
  </si>
  <si>
    <t>RosaJaanne</t>
  </si>
  <si>
    <t>Kepala Badan Gizi Nasional (BGN) Dadan Hindayana meluruskan bahwa pernyataannya terkait kebutuhan 19.000 ekor sapi untuk Program Makan Bergizi Gratis (MBG), hanya merupakan simulasi atau pengandaian perhitungan.
Baca Selengkapnya di: https://t.co/2sA7bpzb6Q
~AC #BGN https://t.co/YoGBpU2OJB</t>
  </si>
  <si>
    <t>Hanya Simulasi terkait Kenutuhan Daging Sapi dalam Program MBG 😂
Kepala Badan Gizi Nasional (BGN) Dadan Hindayana mengklarifikasi pernyataannya yang menyebut kebutuhan daging sapi dalam program makan bergizi gratis (MBG) mencapai 19 ribu ekor per hari. Dadan mengatakan angka https://t.co/qwaxMVTYeD</t>
  </si>
  <si>
    <t>Jateng_Twit</t>
  </si>
  <si>
    <t>Program tersebut mewajibkan dapur pelaksana Makan Bergizi Gratis (MBG) memiliki sejumlah sertifikasi, seperti laik higiene, halal, dan Hazard Analysis and Critical Control Point (HACCP), guna menjamin kualitas dan keamanan pangan. 
Namun, anggota DPR RI, Irma Suryani Chaniago,</t>
  </si>
  <si>
    <t>Isu 19 Ribu Sapi untuk MBG Disorot, BGN Jelaskan Kenapa Daging Jarang Muncul
Pernyataan Kepala Badan Gizi Nasional (BGN), Dadan Hindayana, soal 19 ribu ekor sapi untuk program makan bergizi gratis (MBG) sempat menuai sorotan. Pasalnya, menu daging sapi dinilai jarang muncul. https://t.co/dapfIfBa7j</t>
  </si>
  <si>
    <t>MBG ( Makan Bergizi Gratis ) Kalau yang buat AI, GPT 5.5 dengan Codex!
Berasa banget aura nasionalismenya! Bandingkan sama Web BGN disebelah kanan. https://t.co/albwY1SkvI</t>
  </si>
  <si>
    <t>F2aldi</t>
  </si>
  <si>
    <t>versi online bisa check disini, disclaimer juga. Ini ga dibayar, bukan official juga yaa.
https://t.co/T8JKTnrTOx https://t.co/4jp1C2ByGS</t>
  </si>
  <si>
    <t>“Dadan menyebut pihaknya tidak mungkin bekerja sendirian dalam proses pengadaan ini. Ia menepis isu bahwa pengadaan motor listrik untuk program Makan Bergizi Gratis dilakukan secara sepihak tanpa persetujuan Kementerian Keuangan”
&amp;gt; Yang benar mana nih?😳
https://t.co/9DKCInrUhl? https://t.co/aDM3smtpDu</t>
  </si>
  <si>
    <t>King_PWS_</t>
  </si>
  <si>
    <t>Program Makan Bergizi Gratis menjadi wujud nyata transformasi gizi bangsa, memperkuat pilar MBG yang kokoh dalam menciptakan generasi sehat, cerdas, dan berkualitas sebagai fondasi masa depan Indonesia.
#PROGRAMMBG
#MAKANBERGIZIGRATIS
#TRANSFORMASIGIZIBANGSA https://t.co/IuSSrjgj4a</t>
  </si>
  <si>
    <t>Vifirukmini</t>
  </si>
  <si>
    <t>Program Makan Bergizi Gratis (MBG) memang datang dengan tantangan besar, dari distribusi yang kompleks, risiko keamanan pangan, sampai beban anggaran negara yang tidak sedikit.
Tapi tujuannya satu, meningkatkan kualitas manusia Indonesia dari hal paling dasar: Gizi!
Prof. Arif https://t.co/qgBYiMXkeY</t>
  </si>
  <si>
    <t>Wkwkwkwk... Rakyat harus terus kekurangan gizi agar program Makan Bergizi Gratis (MBG) tetap relevan selama 25 tahun https://t.co/5Om1hdR7ii</t>
  </si>
  <si>
    <t>salam4jari</t>
  </si>
  <si>
    <t>Kepala Badan pengawas Obat dan Makanan (BPOM) RI, Taruna Ikrar, mengakui belum pernah sama sekali melakukan uji sampling program Makan Bergizi Gratis sejak program tersebut berjalan. https://t.co/HKXlikH6Ay</t>
  </si>
  <si>
    <t>blue_berets7</t>
  </si>
  <si>
    <t>*Program MBG Dorong Rantai Pasok Lokal, Budidaya Lele Jadi Tulang Punggung*
Blora, 26 April 2026 - Program Makan Bergizi Gratis (MBG) tidak hanya berperan dalam meningkatkan asupan gizi masyarakat, tetapi mendorong terbentuknya rantai pasok pangan lokal berbasis komunitas. https://t.co/ESOwaqdz9W</t>
  </si>
  <si>
    <t>Kolaborasi lintas sektor mempercepat pelaksanaan Program Makan Bergizi Gratis (MBG) https://t.co/owchE2Sico</t>
  </si>
  <si>
    <t>kenzoo_46</t>
  </si>
  <si>
    <t>Rakyat butuh solusi yang langsung terasa di perut dan dompet. Program Makan Bergizi Gratis ini bukti kalau pemerintah nggak main-main soal kesejahteraan dari akar rumput. Nggak perlu banyak gaya, yang penting kerja nyata
 #LanjutkanMBG
El Rumi  Syifa Hadju Manohara https://t.co/BStGlpQxsR</t>
  </si>
  <si>
    <t>AnggelaTijam</t>
  </si>
  <si>
    <t>Personel Babinsa jajaran Kodim 1420/Sidrap melaksanakan kegiatan pendampingan penyaluran program Makan Bergizi Gratis di wilayah Kabupaten Sidrap, Senin (27/04/2026). https://t.co/TOyczgeyF6</t>
  </si>
  <si>
    <t>1420_sidrap</t>
  </si>
  <si>
    <t>Makan bergizi gratis investasi masa depan bangsa. https://t.co/7qAl1SBhSv</t>
  </si>
  <si>
    <t>cingaran</t>
  </si>
  <si>
    <t>Berkat program Makan Bergizi Gratis, ia bisa makan sehat tanpa biaya. Harapannya, program ini terus berlanjut karena sangat berdampak nyata bagi kesehatan dan kebahagiaan siswa di seluruh Indonesia. https://t.co/P6YG4bHnH0</t>
  </si>
  <si>
    <t>asepopek</t>
  </si>
  <si>
    <t>Guys, ada pernyataan dari APPMBGI yang menurut gue adalah salah satu yang paling perlu dikritisi dengan sangat teliti hari ini.
APPMBGI Asosiasi Pengusaha dan Pengelola Dapur Makan Bergizi Gratis Indonesia baru saja mengklaim dua hal sekaligus:
Satu: MBG berjalan mulus tanpa https://t.co/0pO9nUXgmA</t>
  </si>
  <si>
    <t>LambeSahamjja</t>
  </si>
  <si>
    <t>@Jumianto_RK @KayanaDuris BGN jagonya bikin program: Makan Bergizi Gratis, Rumah Bersubsidi Eksklusif. Yang gratis buat anak, yang subsidi buat pegawai. Yang nggak dapet apa-apa? Guru yang ngajarin anak.
Terlalu asuuu</t>
  </si>
  <si>
    <t>Alitt4mb3ng</t>
  </si>
  <si>
    <t>Sampang - Seorang warga mengabarkan bahwa sejumlah murid SDN Bira Tengah 1, Sokobanah, Sampang, mengalami reaksi alergi kulit setelah mengonsumsi menu Makan Bergizi Gratis (MBG) pada Rabu (22/04/26).
#JokowiPerusakRI 
#JokowiPerusakRI https://t.co/LJuGnGhcrY</t>
  </si>
  <si>
    <t>M3di4Upd4t3</t>
  </si>
  <si>
    <t>@kangdede78 yang nulis program makan bergizi mengambil anggaran pendidikan dan kesehatan, bukan saya, tapi buku ini ✍️👇 https://t.co/0lEYOGO02a</t>
  </si>
  <si>
    <t>zanatul_91</t>
  </si>
  <si>
    <t>@KSN_Garing Program makan gratis Nabi sulaiman juga gagal pada akhirnya!</t>
  </si>
  <si>
    <t>nbsjbmvtjbob</t>
  </si>
  <si>
    <t>Baca di sini: https://t.co/uxerg3EO7Y
Wakil Kepala Badan Gizi Nasional (BGN) Bidang Komunikasi Publik dan Investigasi Nanik Sudaryati Deyang menjelaskan kronologi meninggalnya seorang balita di Cianjur, Jawa Barat, yang disebut karena mengonsumsi Makan Bergizi Gratis (MBG).
~AC https://t.co/FcaXztpJUM</t>
  </si>
  <si>
    <t>Fokus MBG diperjelas untuk memastikan Program Makan Bergizi Gratis benar-benar tepat sasaran bagi anak yang paling membutuhkan dan memberi dampak nyata bagi generasi sehat Indonesia #fyp #fypシ #viral #tiktokindonesia #trending #indonesia #beritaterkini #generasisehat #MBG https://t.co/6ZjrlU96zb</t>
  </si>
  <si>
    <t>AngkasaAyani</t>
  </si>
  <si>
    <t>yang penting mbg (makan bergizi gratis)</t>
  </si>
  <si>
    <t>AkbarGID</t>
  </si>
  <si>
    <t>Suplai 25 Dapur MBG di Jabodetabek, Omzet Pedagang Buah di Pasar Kramat Jati Meroket
Jakarta - Gandi Fanani, salah satu pedagang buah di Pasar Kramat Jati, Jakarta Timur, merasakan peningkatan penjualan sejak kehadiran program Makan Bergizi Gratis (MBG) pada awal tahun 2025. https://t.co/AqCyZY9FCW</t>
  </si>
  <si>
    <t>Program Makan Bergizi Gratis (MBG) turut mendorong peningkatan permintaan bahan pangan lokal.
#pemerintah #program #mbg #indonesia https://t.co/Brx0MTZXtr</t>
  </si>
  <si>
    <t>RadioIdolaSMG</t>
  </si>
  <si>
    <t>Polres Tabalong Bagikan Makan Bergizi Gratis, Wujud Nyata Kepedulian untuk Generasi Muda
Polres Tabalong melalui Satuan Pelayanan Pemenuhan Gizi (SPPG) Sebagai Wujud kepedulian terhadap kesehatan generasi muda dengan mendistribusikan https://t.co/5xvpAc3VZJ</t>
  </si>
  <si>
    <t>im_utuhslebew</t>
  </si>
  <si>
    <t>Program Makan Bergizi Gratis bukan hanya soal kuantitas, tapi kualitas yang utama. Endipat Wijaya turun langsung ke Batam untuk memastikan operasional Dapur Bergizi berjalan sesuai standar higienis dan nutrisi yang telah ditetapkan. https://t.co/1xCWsxlxkz</t>
  </si>
  <si>
    <t>Arziky28067</t>
  </si>
  <si>
    <t>Data akurat, program tepat sasaran.
Bersama, kita perkuat sinergi untuk keberhasilan Program Makan Bergizi Gratis.
#DataAkurat #Sinergi #MakanBergiziGratis #yönetimistifa https://t.co/cjU1VPv6n4</t>
  </si>
  <si>
    <t>Valenti54333161</t>
  </si>
  <si>
    <t>Program Makan Bergizi Gratis (MBG) mengubah nasib Daniel Rio Ananta, mantan kernet buah lepas di Surakarta, menjadi juru masak berpenghasilan tetap di SPPG Manahan.
Setelah menemukan lowongan melalui media sosial, Daniel memulai karier sebagai petugas kebersihan, lalu naik https://t.co/GKRuinanzR</t>
  </si>
  <si>
    <t>Dukung Makan Bergizi Gratis 🇮🇩
Anak sehat hari ini, masa depan bangsa lebih kuat.
Investasi terbaik untuk generasi emas.
#MBG #GiziAnak #GenerasiEmas #UntukIndonesia https://t.co/R1YxzvI6bf</t>
  </si>
  <si>
    <t>windawardani99</t>
  </si>
  <si>
    <t>@UJANGgrimis Hmmm, makan seafood sih karena hidup di laut. Kalau hidupnya hidup jokowi itu termasuk makan bergizi gratis</t>
  </si>
  <si>
    <t>MukaPakKusir</t>
  </si>
  <si>
    <t>Prabowo evaluasi program makan bergizi gratis agar lebih tepat sasaran 
Fokus MBG diperjelas https://t.co/hQvv2nWAnC</t>
  </si>
  <si>
    <t>citrakiran22</t>
  </si>
  <si>
    <t>Pemerintah melakukan evaluasi menyeluruh untuk memastikan Program Makan Bergizi Gratis tepat sasaran dan lebih efektif.
Fokus MBG diperjelas https://t.co/xmLfQ1dbbc</t>
  </si>
  <si>
    <t>1. Kebijakan Prabowo: Gas Pol Makan Bergizi &amp;amp; Infrastruktur
Di 2026 ini, Pak Prabowo emang lagi kenceng-kencengnya ngejalankan Program Makan Bergizi Gratis. Targetnya nggak main-main, mau nyentuh puluhan juta anak secara bertahap. Masalahnya, program ini butuh duit gede banget.</t>
  </si>
  <si>
    <t>Taufiqkardians1</t>
  </si>
  <si>
    <t>Menteri Koordinator Bidang Pemberdayaan Masyarakat Abdul Muhaimin Iskandar mengatakan bahwa Program MBG merupakan salah satu program prioritas pemerintah yang paling berdampak bagi masyarakat luas.
"Yang paling berdampak tentu Program Makan Bergizi Gratis," kata Menko Muhaimin https://t.co/CxQ5IfbxYy</t>
  </si>
  <si>
    <t>Dukungan masyarakat sangat diperlukan agar program Makan Bergizi Gratis berjalan optimal. Melalui Fokus MBG diperjelas, pelaksanaan program dapat lebih terarah, transparan, dan memberikan manfaat nyata bagi penerima. https://t.co/YI4Qp0saGx</t>
  </si>
  <si>
    <t>kellytiemikino</t>
  </si>
  <si>
    <t>Program Makan Bergizi Gratis (MBG) turut mendorong peningkatan ekonomi pedagang di Pasar Kramat Jati, Jakarta Timur, dengan naiknya permintaan buah untuk kebutuhan dapur MBG di wilayah Jabodetabek. 
Salah satu pedagang, Gandi Fanani, mengaku tokonya kini menyuplai buah ke 25 https://t.co/trfu6aUKwI</t>
  </si>
  <si>
    <t>@liaasister Ada saja ya akalnya orang yg makan duit bergizi gratis</t>
  </si>
  <si>
    <t>sobatkadrun</t>
  </si>
  <si>
    <t>Baca di sini: https://t.co/eMNic4EdGu
Mobil pengangkut program Makanan Bergizi Gratis (MBG) menabrak tiga rumah warga di Jalan Raya Desa Donomulyo, Malang, setelah hilang kendali pada Senin (27/4/2026). Polisi memastikan tidak ada korban jiwa dalam kecelakaan tersebut, namun https://t.co/yCjVTZUVmv</t>
  </si>
  <si>
    <t>Rp1,2T cuma buat aplikasi absensi MBG? 🤯
Proyek IT Makan Bergizi Gratis disorot karena anggarannya dinilai terlalu besar. Pemerintah bilang sistem SIPGN + IoT dibutuhkan agar distribusi tepat sasaran dan cegah penyalahgunaan.
#MBG #Viral #Indonesia https://t.co/5PMexkY99L</t>
  </si>
  <si>
    <t>CapitalInsight_</t>
  </si>
  <si>
    <t>Makan Basi Gratis!!!
Ga usah pemerintah... 
Di mana2 klo makanan udh basi jangankan dikasih2 gratis, dibuang klo perlu..
Ini jelas2 anggaran, duit rakyat, tujuannya bergizi..  ternyata basi.
Untung sekolah2 skrg lbh teliti..
Kalo ga, keracunan massal lagi...
Sampai kapan ini? https://t.co/RIa37wcGVM</t>
  </si>
  <si>
    <t>Jelli_cent</t>
  </si>
  <si>
    <t>Masa Depan Generasi Muda lagi trending, katanya cerah sama program pemerintah. Tapi realitanya? Anak muda sekarang lebih sibuk jadi zombie scroll X daripada bangun negara. 
Program makan bergizi gratis bagus, tapi besok generasi kita yang bayar hutangnya. Siapa yang bikin masa</t>
  </si>
  <si>
    <t>butoable</t>
  </si>
  <si>
    <t>Gizi tercukupi, kualitas diawasi ketat, distribusi dipantau secara digital, dan ekonomi lapisan paling bawah ikut terangkat! Program Makan Bergizi Gratis adalah paket lengkap untuk masa depan. 
#MakanBergiziGratis #MBG https://t.co/7PDABNmXY3</t>
  </si>
  <si>
    <t>TasyaFahira18</t>
  </si>
  <si>
    <t>@Indra77Sahaja @_BangFu Basi
Yg jelas kalo kita komplen bakal ditanggepin, dan ga ada tu mangkas duid pendidikan demi makan (yg katanya) bergizi gratis, orang mereka juga berpendidikan 🤭</t>
  </si>
  <si>
    <t>I_am_bystander_</t>
  </si>
  <si>
    <t>Makan bergizi gratis dirombak Presiden Prabowo 
Fokus MBG diperjelas https://t.co/IuYvHS5Eyz</t>
  </si>
  <si>
    <t>changoleona3011</t>
  </si>
  <si>
    <t>Bukan lagi sekadar pembagian luas, kini Fokus MBG diperjelas! Pemerintah melakukan evaluasi menyeluruh agar Program Makan Bergizi Gratis memprioritaskan anak-anak yang kurang gizi dan berisiko stunting. Mari dukung langkah ini agar manfaatnya benar-benar tepat sasaran!
 #MBG https://t.co/lOqYOcpJwI</t>
  </si>
  <si>
    <t>Perjuangan52435</t>
  </si>
  <si>
    <t>Menteri Koordinator Pemberdayaan Masyarakat (Menko PM) Muhaimin Iskandar atau Cak Imin mengatakan Program Makan Bergizi Gratis (MBG) menjadi salah satu yang berdampak untuk menekan angka kemiskinan ekstrem. Hal itu dia ungkapkan usai rapat Evaluasi… https://t.co/nfk2mTClRU https://t.co/cTMfn1uzZ1</t>
  </si>
  <si>
    <t>Bisniscom</t>
  </si>
  <si>
    <t>KABAR duka datang dari Kabupaten Cianjur, Jawa Barat, setelah seorang balita berinisial MAB (2) disebut meninggal dunia usai menyantap menu Makan Bergizi Gratis (MBG). https://t.co/oPviAI4XyU</t>
  </si>
  <si>
    <t>bagindo_kopi</t>
  </si>
  <si>
    <t>Program Makan Bergizi Gratis (MBG) tidak hanya berperan dalam meningkatkan asupan gizi masyarakat, tetapi mendorong terbentuknya rantai pasok pasar lokal berbasis komunitas. Seperti di Kelurahan Punden, Kabupaten Blora, Jawa Tengah, budidaya lele yg dikelola koperasi warga kini https://t.co/pF9G9DIt3M</t>
  </si>
  <si>
    <t>FirzaHusain</t>
  </si>
  <si>
    <t>Pemerintah terus mengevaluasi dan meningkatkan kualitas layanan Program Makan Bergizi Gratis.
#MakanBergiziGratis
#ProgramMBG
#TataKelola
#KeamananPangan
#Akuntabel https://t.co/xCfbxokmNb</t>
  </si>
  <si>
    <t>CekFakta73</t>
  </si>
  <si>
    <t>Pemerintah terus mengevaluasi dan meningkatkan kualitas layanan Program Makan Bergizi Gratis.
#MakanBergiziGratis
#ProgramMBG
#TataKelola
#KeamananPangan
#Akuntabel https://t.co/OzRmkxzdlw</t>
  </si>
  <si>
    <t>Menteri Koordinator Pemberdayaan Masyarakat (Menko PM) Muhaimin Iskandar atau Cak Imin mengatakan Program Makan Bergizi Gratis (MBG) menjadi salah satu yang berdampak untuk menekan angka kemiskinan ekstrem. Hal itu dia ungkapkan usai rapat Evaluasi… https://t.co/S0VNtyeQr6 https://t.co/Akitm6jIiW</t>
  </si>
  <si>
    <t>Lihat senyum anak² ini saat menerima bantuan makanan bergizi dari program MBG.
BGN trs berupaya agar distribusi Makanan Bergizi Gratis tepat sasaran ke penduduk miskin &amp;amp; daerah rawan pangan.
Tiap piring makanan yg terdistribusi adlh harapan baru utk masa depan yg lebih sehat. https://t.co/SwMcVg6yIM</t>
  </si>
  <si>
    <t>neng6mei</t>
  </si>
  <si>
    <t>Andai saja CEO embegeh itu lebih memprioritaskan pendidikan seperti mas Pram ini, daripada makan siang bergizi gratis ( tapi bnyk tidak bergizinya, dan tidak gratis juga karena itu duit pajak rakyat ) yg berakhir di jamban. https://t.co/w9iYKpbl9E</t>
  </si>
  <si>
    <t>Inie_UtyCute</t>
  </si>
  <si>
    <t>Sobatkom, Program Makan Bergizi Gratis (MBG) bukan hanya tentang pemenuhan gizi, tetapi juga tentang membangun ekosistem yang berkelanjutan. https://t.co/jzvtjVlPQU</t>
  </si>
  <si>
    <t>kemkomdigi</t>
  </si>
  <si>
    <t>Pemerintah menghentikan sementara operasional 1.700 Satuan Pelayanan Pemenuhan Gizi (SPPG) setelah ditemukan adanya pengurangan porsi dalam pelaksanaan Program Makan Bergizi Gratis. Langkah ini diambil sebagai bentuk evaluasi dan penegakan standar guna memastikan kualitas serta https://t.co/Q2gaez6aZy</t>
  </si>
  <si>
    <t>idx_channel</t>
  </si>
  <si>
    <t>Apa alasannya makan siang gratis di China efektif sedangkan makan siang gratis di Indonesia masih terbilang belum efektif? 
Apakah karena kita baru menjalankan program ini atau karena hal lain?
Bukan, tapi lebih karena Indonesia tidak tau diri.
Coba lihat berapa APBN nya China? https://t.co/JdsPYsWyfl</t>
  </si>
  <si>
    <t>KapudS640</t>
  </si>
  <si>
    <t>Program Makan Bergizi Gratis (MBG) berdampak positif bagi gizi siswa, namun memicu keprihatinan terkait beban kerja guru dan ketimpangan gaji. Guru seringkali harus mengawasi distribusi makan, bahkan ada laporan gaji honorer jauh di bawah staf pendukung program. Di Jakarta, https://t.co/iCjaoJSh5Z</t>
  </si>
  <si>
    <t>wartadewan</t>
  </si>
  <si>
    <t>@mraffag @_nxttou @Bebel477884 @dokyeomiso @yappingfess APBN 2026, total anggaran pendidikan mencapai sekitar Rp769 triliun (masih memenuhi amanat 20% APBN). Dari jumlah tersebut, porsi yang cukup besar dialokasikan ke Badan Gizi Nasional (BGN) untuk menjalankan Program Makan Bergizi Gratis (MBG), yaitu sekitar Rp223,5 triliun</t>
  </si>
  <si>
    <t>AkmalIbadah</t>
  </si>
  <si>
    <t>Bagaimana jika program "Makan bergizi Gratis" justru menciptakan wabah yang mengubah anak-anak sekolah menjadi pemangsa manusia? 🧟‍♂️🍛
kami sedang menggarap film pendek  berjudul "Jam Makan Siang". Sebuah cerita tentang kebijakan yang dipaksakan, anggaran yang dipotong,  dan~</t>
  </si>
  <si>
    <t>ipiiiiiiiiiiiin</t>
  </si>
  <si>
    <t>Pemerintah memperkuat implementasi program Makan Bergizi Gratis melalui integrasi sistem digital guna memastikan ketepatan sasaran, efisiensi distribusi, dan transparansi end-to-end
#MBG #Anak #Prabowo #BGN #Dadan https://t.co/PPhc2uZUIE</t>
  </si>
  <si>
    <t>benteng_pertiwi</t>
  </si>
  <si>
    <t>Pemerintah memperkuat implementasi program Makan Bergizi Gratis melalui integrasi sistem digital guna memastikan ketepatan sasaran, efisiensi distribusi, dan transparansi end-to-end
#MBG #Anak #Prabowo #BGN #Dadan https://t.co/L1SM4UTcSf</t>
  </si>
  <si>
    <t>Personel Babinsa jajaran Kodim 1420/Sidrap melaksanakan kegiatan pendampingan penyaluran program Makan Bergizi Gratis di wilayah Kabupaten Sidrap, Selasa (28/04/2026). https://t.co/Xqddx9fNgb</t>
  </si>
  <si>
    <t>MBG Harus Tepat Sasaran
Wakil Gubernur Banten Achmad Dimyati Natakusumah menegaskan Program Makan Bergizi Gratis (MBG) harus dijalankan dengan orientasi sosial.
Fokusnya jelas.
Program ini untuk pemenuhan gizi masyarakat, bukan untuk kepentingan bisnis.
Hal yang perlu dijaga: https://t.co/pWjV7G1Mgn</t>
  </si>
  <si>
    <t>banten_pemprov</t>
  </si>
  <si>
    <t>Sebelumnya, MBG sempat dijalankan hingga 6 hari di sejumlah daerah, lalu diseragamkan menjadi 5 hari mengikuti hari sekolah. Kini kembali disesuaikan menjadi 4 hari, dengan pertimbangan efektivitas distribusi serta efisiensi anggaran negara.
#MBG #MakanBergiziGratis #APBN</t>
  </si>
  <si>
    <t>DiskursusNet</t>
  </si>
  <si>
    <t>Program Makan Bergizi Gratis (MBG) kini disesuaikan menjadi 4 hari dalam seminggu. Kebijakan ini merupakan bagian dari penajaman anggaran agar program tetap berjalan, namun lebih efisien dan terukur. https://t.co/MrArcARYTN</t>
  </si>
  <si>
    <t>Program Makan Bergizi Gratis ini ironis.
Anggaran besar, niatnya bantu yang paling membutuhkan…
tapi yang kenyang malah yang bukan yang membutuhkan.
Menurut riset @BhimaYudhistira program ini dari awal belum matang.
Dan sekarang makin kelihatan: implementasinya melenceng. https://t.co/WU2Rt2FiJU</t>
  </si>
  <si>
    <t>Program Makan Bergizi Gratis di SMAN 3 Kota Tegal kembali berjalan setelah sempat terhenti selama satu bulan. Melalui SPPG Polri 2 Kejambon Kota Tegal, sebanyak 795 siswa kembali menerima asupan makanan bergizi pada penyaluran perdana program tersebut.🎥Han https://t.co/4UHh6mzhzT</t>
  </si>
  <si>
    <t>@prabowo Karena itu #PemerintahSiapDebat di ruang2 publik: dari tema makan bergizi gratis, ketimpangan sosial, sekolah rakyat hingga geopolitik dll https://t.co/I0VHS9w0Pj</t>
  </si>
  <si>
    <t>budimandjatmiko</t>
  </si>
  <si>
    <t>@AraituLaki @_Jalan_Pejuang_ ....ya sudah, kalau prioritas berhemat maka hentikan saja program beranggaran besar
jika prioritas untuk pemenuhan gizi, ya mana cukup bergizi jika hanya diberi makan 4 kali per minggu, padahal dalam sehari butuh makan 3 kali sehari</t>
  </si>
  <si>
    <t>KangHendro2</t>
  </si>
  <si>
    <t>Setiap hari jam 17 wib (Umum)
Santunan Anak Yatim tiap hari
Gratis Makan Bergizi 
Rumah Yatim Hafiz 
Open Donatur
BCA KCU Kalimalang
Norek: 230 317 1746
A/N: Trisno/Sri Utami
Instagram:
https://t.co/u12kogD014… https://t.co/qXfo3nz7T0</t>
  </si>
  <si>
    <t>TrisnoPasuruan</t>
  </si>
  <si>
    <t>Innalillahi wa inna ilaihi rojiun
Kabar duka datang dari Kabupaten Cianjur setelah seorang balita berinisial MAB (2) dilaporkan meninggal dunia usai mengonsumsi menu Makan Bergizi Gratis (MBG).
Korban merupakan satu dari 63 warga Kecamatan Leles yang mengalami keracunan massal https://t.co/uMOESPUXi4</t>
  </si>
  <si>
    <t>MurtadhaOne1</t>
  </si>
  <si>
    <t>@aku_NKR1 @ctan666 Buzzer MBG..Program yg habisin APBN hny utk sekali makan itupun jauuuh dr yg lu katakan bergizi tinggi. Air rasa susu, buah sepotong, paha ayam, ca sayuran, semangkuk kecil nasi...lu pikir bisa penuhi gizinya?! Smtr ayah dPHK sebabkan ayah ibu n kakakny lapar drmh. Are u happy?</t>
  </si>
  <si>
    <t>wahyu_djanti88</t>
  </si>
  <si>
    <t>Dunia kini menoleh ke Indonesia. Sebuah pencapaian membanggakan bagi Badan Gizi Nasional (BGN), di mana negara-negara ASEAN kini resmi menjadikan program Makan Bergizi Gratis (MBG) Indonesia sebagai model percontohan tingkat regional.
#jagaindonesia #jagagizianakindonesia https://t.co/GW7HHlxlXG</t>
  </si>
  <si>
    <t>SuaraRI80</t>
  </si>
  <si>
    <t>"MBG 25 Tahun? 🍱🇮🇩 Program Gizi Diminta Berlanjut Lintas Pemerintahan 🚀"
Asosiasi Pengusaha dan Pengelola Dapur (Makan Bergizi Gratis APPMBGI) mendorong agar program Makan Bergizi Gratis (MBG) bisa berjalan hingga 25 tahun ke depan. https://t.co/otMyiPLoPr</t>
  </si>
  <si>
    <t>BorobudurNews_</t>
  </si>
  <si>
    <t>PRABOWO BERHALUSINASI SOAL MBG
Pernyataan Prabowo yang mengklaim program Makan Bergizi Gratis (MBG) Indonesia jauh lebih unggul daripada program serupa di Jepang dan Eropa sungguh mencengangkan. Dengan menyebut distribusi 4,5 miliar porsi dan tingkat keracunan hanya 0,0006%,</t>
  </si>
  <si>
    <t>anneserlo</t>
  </si>
  <si>
    <t>Perut kenyang, prestasi datang! Lewat Program Makan Bergizi Gratis (MBG), kebutuhan nutrisi anak-anak terpenuhi dengan baik. 
#MBG #GiziBaikGenerasiSehat #PendidikanBerkualitas https://t.co/4rbjuuCqbY</t>
  </si>
  <si>
    <t>olieverra</t>
  </si>
  <si>
    <t>Program Makan Bergizi Gratis (MBG) https://t.co/BZgoXfCYR4</t>
  </si>
  <si>
    <t>Saganewsid</t>
  </si>
  <si>
    <t>Di Papua, MBG bukan sekadar makan siang gratis. Program ini bikin semangat sekolah naik, siswa makin rajin datang, dan mimpi anak-anak makin dekat digapai. Perut kenyang, semangat terbang. https://t.co/eSUhCztNQP</t>
  </si>
  <si>
    <t>cthia12394781</t>
  </si>
  <si>
    <t>Program Makan Bergizi Gratis (MBG) terbukti membawa dampak nyata! 
​Di pesisir Danau Sentani, Papua, kehadiran program ini bikin para siswa makin semangat berangkat ke sekolah. Gak cuma soal nutrisi, tapi juga memicu motivasi belajar demi meraih cita-cita. https://t.co/BkziIEeNm6</t>
  </si>
  <si>
    <t>alief_abe</t>
  </si>
  <si>
    <t>MBG bukan cuma soal makan gratis, tapi game changer buat anak-anak Papua. Mereka jadi lebih rajin ke sekolah, lebih fokus belajar karena nggak lagi lapar. Ditambah menu yang lezat dan bergizi, bikin semangat belajar makin naik. https://t.co/tmD9AdP1Uo</t>
  </si>
  <si>
    <t>RD_4WR1212</t>
  </si>
  <si>
    <t>Saat di dalam negeri masih banyak yang ragu, ASEAN justru sudah mulai melirik dan belajar dari program Makan Bergizi Gratis (MBG) Indonesia! 
#MakanBergiziGratis #IndonesiaHebat #ASEAN #GiziNasional #SDMUnggul https://t.co/6LbX98XlCG</t>
  </si>
  <si>
    <t>Inullnj</t>
  </si>
  <si>
    <t>MBG (Makan Bergizi Gratis) menerapkan prinsip variasi menu agar kebutuhan nutrisi anak terpenuhi secara beragam. Variasi ini penting untuk mencegah kebosanan sekaligus memastikan asupan gizi lebih lengkap. https://t.co/ljupGXkIEx</t>
  </si>
  <si>
    <t>1okkROCK</t>
  </si>
  <si>
    <t>Pemerintah memastikan bahwa setiap rupiah dalam anggaran Makan Bergizi Gratis digunakan secara transparan dan akuntabel https://t.co/Ds8tgkBdx3</t>
  </si>
  <si>
    <t>rafaeljohnii</t>
  </si>
  <si>
    <t>Keberlanjutan program Makan Bergizi Gratis adalah tanggung jawab bersama demi mewujudkan Indonesia yang lebih hebat https://t.co/Qar6mYTuli</t>
  </si>
  <si>
    <t>cufyacatro</t>
  </si>
  <si>
    <t>Program Makan Bergizi Gratis tidak hanya memberi makan, tapi juga mengedukasi siswa tentang pentingnya pola makan sehat seumur hidup https://t.co/QElUcnLUBZ</t>
  </si>
  <si>
    <t>Ekonom Malaysia menyebut program Makan Bergizi Gratis sebagai investasi besar bagi masa depan. Tepat sekali, karena anak yang sehat dan tercukupi gizinya hari ini adalah tenaga produktif dan generasi unggul di masa depan ✊🇮🇩 https://t.co/H9FIdKx1cE</t>
  </si>
  <si>
    <t>xquitavee</t>
  </si>
  <si>
    <t>Kepala BGN Ajak Kampus Bangun Dapur Makan Bergizi Gratis https://t.co/QIQHPtr5aR</t>
  </si>
  <si>
    <t>Program Makan Bergizi Gratis (MBG) ternyata punya dampak luar biasa di Papua! Di wilayah pesisir Danau Sentani, semangat anak-anak untuk bersekolah meningkat drastis. https://t.co/b5hvGANphq</t>
  </si>
  <si>
    <t>Wage_Esuk</t>
  </si>
  <si>
    <t>Program Makan Bergizi Gratis terbukti efektif meningkatkan kepuasan dan kesejahteraan masyarakat #MBG #MakanBergiziGratis https://t.co/8tZARWlQUg</t>
  </si>
  <si>
    <t>Kebijakan Makan Bergizi Gratis menghadirkan manfaat nyata bagi peningkatan kualitas hidup masyarakat #MBG #MakanBergiziGratis https://t.co/A04rtM5u8M</t>
  </si>
  <si>
    <t>Pemerintahan Prabowo-Gibran menunjukkan efektivitas program melalui Makan Bergizi Gratis yang dirasakan langsung oleh masyarakat #MBG #MakanBergiziGratis https://t.co/L5kBGMeMIQ</t>
  </si>
  <si>
    <t>Program Makan Bergizi Gratis menjadi solusi nyata dalam meningkatkan kesejahteraan dan kualitas gizi masyarakat #MBG #MakanBergiziGratis https://t.co/MYmkSEHUqC</t>
  </si>
  <si>
    <t>Ekonom global asal Malaysia, Shan Saeed, menilai program Makan Bergizi Gratis (MBG) bukan sekadar bantuan sosial, melainkan investasi besar bagi masa depan Indonesia. https://t.co/HBLBWlrcNO</t>
  </si>
  <si>
    <t>Efektivitas Makan Bergizi Gratis terlihat dari meningkatnya kepuasan masyarakat terhadap program pemerintah #MBG #MakanBergiziGratis https://t.co/SRjt0bjoCd</t>
  </si>
  <si>
    <t>Presiden Prabowo Subianto meninjau langsung hasil revitalisasi sekolah serta pelaksanaan program Makan Bergizi Gratis (MBG) di SMAN 1 Cilacap pada Rabu (29/4/2026). Prabowo melihat kondisi fasilitas sekolah pasca revitalisasi serta berinteraksi dengan siswa dan tenaga pendidik https://t.co/2KwJn9TN5q</t>
  </si>
  <si>
    <t>Program Makan Bergizi Gratis memberikan dampak positif bagi kesejahteraan masyarakat secara luas #MBG #MakanBergiziGratis https://t.co/qSLB0T2TiH</t>
  </si>
  <si>
    <t>JulieMarshaa</t>
  </si>
  <si>
    <t>Makan Bergizi Gratis menjadi bukti nyata program pemerintah yang efektif dan dirasakan manfaatnya #MBG #MakanBergiziGratis https://t.co/AgLWAJXby2</t>
  </si>
  <si>
    <t>Program Makan Bergizi Gratis mendukung peningkatan kesejahteraan masyarakat melalui akses gizi yang lebih baik #MBG #MakanBergiziGratis https://t.co/z4Kn5J1xVE</t>
  </si>
  <si>
    <t>Efektivitas Program Makan Bergizi Gratis menunjukkan komitmen pemerintah dalam meningkatkan kepuasan publik #MBG #MakanBergiziGratis https://t.co/1hIHDHC076</t>
  </si>
  <si>
    <t>@BiLLRaY2019 Program ini investasi sumber daya manusia, bukan beban yang harus dipangkas sembarangan. Lebih baik cari efisiensi di tempat lain daripada potong hak anak-anak makan bergizi.
#LanjutkanMBG</t>
  </si>
  <si>
    <t>virginiepw</t>
  </si>
  <si>
    <t>ASEAN mulai melirik, Indonesia justru melangkah lebih dulu 🇮🇩✨
Dari program makan bergizi, kita bukan cuma bergerak—kita jadi inspirasi!
Dulu diragukan, sekarang jadi rujukan 🌏
Dari lokal untuk regional, dari ide jadi solusi nyata.
##IndonesiaMaju #ASEAN #jagaindonesia https://t.co/Qz29KkJ7Qr</t>
  </si>
  <si>
    <t>kimiriarika</t>
  </si>
  <si>
    <t>Indonesia kini bukan lagi pengikut, tapi Trendsetter Gizi di Asia Tenggara! Program Makan Bergizi Gratis (MBG) jadi bukti nyata bahwa manajemen bangsa kita mampu jadi kiblat bagi negara tetangga. Dari Indonesia untuk ASEAN! 🇮🇩✨#jagaindonesia #rakyatbiasaprima #indonesiaprima https://t.co/nV2qQlkEGw</t>
  </si>
  <si>
    <t>asepxnj3</t>
  </si>
  <si>
    <t>Program Makan Bergizi Gratis yang dianggap beban negara oleh sekelompok orang, ternyata adalah harapan bagi anak anak Indonesia dan penerima manfaat lainnya.
Melihat besarnya harapan, maka #LanjutkanMBG adalah pilihan terbaik.
Bekasi PPPA Munchen Liga Champions #bayernmünih https://t.co/VERp3FOYZA</t>
  </si>
  <si>
    <t>Manfaat Program Makan Bergizi Gratis itu mampu menekan gangguan belajar akibat rasa lapar, dan siswa dapat lebih fokus untuk menyimak pelajaran https://t.co/WbQpgoSy2b</t>
  </si>
  <si>
    <t>tXtsebarinfo</t>
  </si>
  <si>
    <t>@moyalyubov7 @ctan666 Cukup masjid pas jum'at an atau minggu pagi kasih makan gratis (dr infak donatur). MBG dr negara kan dr pajak. Lebih baik pajak utk membangun infrastructure yg rusak di daerah dan menciptakan iklim ekonomi yg kondusif, shg ortu, bs mmberikan makan bergizi &amp;amp; menyekolahkan anaknya</t>
  </si>
  <si>
    <t>SukaBaca2000</t>
  </si>
  <si>
    <t>Program Makan Bergizi Gratis sukses besar! jutaan penerima manfaat, lapangan kerja kebuka, ekonomi lokal stonks 📈#ProgramMBG #MakanBergiziGratis #BantenSukses #EkonomiLokalBergerak #GiziTerpenuhi #GenerasiKuat #BantenMajuBersama #AndraSoni #GubernurBanten #IndonesiaEmas2045 https://t.co/IRZ3h2IdIt</t>
  </si>
  <si>
    <t>Fitri4Astiana</t>
  </si>
  <si>
    <t>Program Makan Bergizi Gratis di Banten terus membuktikan hasil nyata. Lebih dari 2 juta penerima manfaat, ribuan lapangan kerja terbuka, dan ekonomi lokal bergerak. Gizi terpenuhi, generasi Banten makin kuat! 🍱💪🇮🇩 https://t.co/xOABydvAf5</t>
  </si>
  <si>
    <t>mahardikaagh</t>
  </si>
  <si>
    <t>Program Makan Bergizi Gratis (MBG) bukan cuma soal makan gratis 🍽️
Badan Gizi Nasional (BGN) menyebut program ini ikut mendorong perputaran ekonomi daerah lewat anggaran jumbo Rp268 triliun. 👇 https://t.co/GjxPjiRoQZ</t>
  </si>
  <si>
    <t>periskopid</t>
  </si>
  <si>
    <t>Gak cuma kasih makan, tapi juga kasih kepastian. Dengan evaluasi ini, program Makan Bergizi Gratis makin transparan dan akuntabel. Kita dukung penuh! 👍🇮🇩 https://t.co/NDGA1vDkib</t>
  </si>
  <si>
    <t>GathanRasy59309</t>
  </si>
  <si>
    <t>Presiden @prabowo Subianto melakukan inspeksi mendadak terhadap hasil revitalisasi sekolah serta pelaksanaan Program Makan Bergizi Gratis (MBG) di SMAN 1 Cilacap, Jawa Tengah, Rabu (29/4/2026). https://t.co/NuFmsZ700w</t>
  </si>
  <si>
    <t>kangdede78</t>
  </si>
  <si>
    <t>Menuju masa depan yang lebih sehat! Program Makan Bergizi Gratis (MBG) di tahun 2026 fokus pada anak-anak dalam seribu hari pertama kehidupan. Bersama kita pastikan gizi yang tepat sasaran!
#ProgramMBG
#MakanBergiziGratis
#GiziAnak
#TepatSasaran
#IndonesiaSehat https://t.co/8ZxOSd30ua</t>
  </si>
  <si>
    <t>KabarNegeri_</t>
  </si>
  <si>
    <t>Selengkapnya👇
https://t.co/KMtg36PXUc</t>
  </si>
  <si>
    <t>tempodotco</t>
  </si>
  <si>
    <t>Senyum anak-anak Papua merekah berkat program Makan Bergizi Gratis. Kini mereka lebih bersemangat berangkat sekolah dan belajar karena asupan gizi yang terjamin. Harapan baru sedang tumbuh di Bumi Cendrawasih untuk masa depan Indonesia yang lebih cerah. https://t.co/NwpSaoaruP</t>
  </si>
  <si>
    <t>Program Makan Bergizi Gratis di Sukoharjo membuka pintu inklusivitas. 
Rohmat Riyadi, seorang penyandang disabilitas, kini punya penghasilan tetap dengan bekerja di dapur MBG. 
Bukti nyata bahwa program ini membawa manfaat ekonomi dan martabat bagi sesama. https://t.co/ejEmciEAQa</t>
  </si>
  <si>
    <t>nanaenaaa_</t>
  </si>
  <si>
    <t>Indonesia kembali membuktikan kepemimpinannya di kancah regional! 🇮🇩 Melalui program Makan Bergizi Gratis (MBG), kita tidak hanya membangun generasi emas di dalam negeri, tapi juga menjadi kiblat gizi bagi negara-negara tetangga di ASEAN. https://t.co/ginOyqyucY</t>
  </si>
  <si>
    <t>Feliciapoet</t>
  </si>
  <si>
    <t>Anggota DPR RI Fraksi Gerindra, Ma’ruf Mubarok (Gus Mamak), melakukan kunjungan kerja pengawasan ke SPPG Jatirejoyoso 3, Malang. Kunjungan ini bertujuan memastikan kualitas dan standar program Makan Bergizi Gratis (MBG) terjaga demi kesejahteraan masyarakat. https://t.co/uQT1f60QXM</t>
  </si>
  <si>
    <t>BeritaTerbaaru</t>
  </si>
  <si>
    <t>Program Makan Bergizi Gratis (MBG) yang didorong Asosiasi Pengusaha Dapur buat lanjut sampai 25 tahun ini bikin geleng-geleng, apalagi kalau anggarannya segede itu 😅 #fraksipdiperjuangan #pdiperjuangan #MBG #dapurMBG #lanjut25tahunkedepan https://t.co/Su69mmaT4J</t>
  </si>
  <si>
    <t>sejutainfo2025</t>
  </si>
  <si>
    <t>Di tengah keraguan dalam negeri, justru kawasan ASEAN mulai melirik dan belajar dari Indonesia. Program Makan Bergizi Gratis (MBG) kini tak lagi sekadar inisiatif nasional, tetapi telah menjadi contoh praktik terbaik yang dibagikan ke berbagai negara di Asia. #jagaindonesia</t>
  </si>
  <si>
    <t>AldhyOhrlla12</t>
  </si>
  <si>
    <t>Di tengah keraguan dalam negeri, justru kawasan ASEAN mulai melirik dan belajar dari Indonesia. Program Makan Bergizi Gratis (MBG) kini tak lagi sekadar inisiatif nasional, tetapi telah menjadi contoh praktik terbaik yang dibagikan ke berbagai negara di Asia.#jagaindonesia https://t.co/1cNxrGHMnK</t>
  </si>
  <si>
    <t>Banten: 2,9 juta menerima program makan bergizi! Ayo dukung! https://t.co/GijknXhJCU</t>
  </si>
  <si>
    <t>BImamudin956</t>
  </si>
  <si>
    <t>Makan Bergizi Gratis (MBG) beneran jadi harapan baru buat adek-adek di Papua! Liat deh senyum mereka pas makan, jadi makin semangat sekolah &amp;amp; belajar. Programnya gacor parah buat masa depan anak bangsa! 🍱🇮🇩🔥 https://t.co/Pr4hwHwS7U</t>
  </si>
  <si>
    <t>NinaUlezzz</t>
  </si>
  <si>
    <t>Makan Bergizi Gratis bukan sekadar bantuan, tetapi bagian dari Transformasi Gizi Bangsa yang diperkuat oleh Pilar MBG Kuat untuk meningkatkan kualitas SDM https://t.co/HXt6VY3Oya</t>
  </si>
  <si>
    <t>EHoschek22710</t>
  </si>
  <si>
    <t>Siswa terlihat sangat bahagia menyambut program makan bergizi gratis karena membantu pemenuhan nutrisi mereka setiap hari sekolah demi mewujudkan generasi #LanjutkanMBG 
#TimTiaraAndini #GalaxyA57 #UnboxingA57A37 #pemerintahsiapdebat https://t.co/SAKMjsX72k</t>
  </si>
  <si>
    <t>jinkyong281562</t>
  </si>
  <si>
    <t>kayanya kalo aku masih kuliah bakalan ambil judul skripsi “implementasi kebijakan program makan bergizi gratis (MBG) dalam perspektif good governance di Indonesia” tapi abis itu mati karna penguji 1 ketua prodi terus penguji 2 wakil ketua prodi magister. langsung mati ditempat sy</t>
  </si>
  <si>
    <t>sptnism_</t>
  </si>
  <si>
    <t>Babinsa Letawa Pastikan Program Makan Bergizi Tepat Sasaran, 1.090 Penerima Manfaat Terlayani
https://t.co/mdTfiwxUxn https://t.co/JUdIM3pEFr</t>
  </si>
  <si>
    <t>1427_kodim</t>
  </si>
  <si>
    <t>@tempodotco Siapa yg ngotot ingin hentikan MBG tentu lawan politik yg kalah Pilpres lalu
Sekarang anak sekolah makin goat belajar krn dapat makan bergizi gratis 😍</t>
  </si>
  <si>
    <t>anisadina99</t>
  </si>
  <si>
    <t>Reaksi haru siswa saat mengira program berakhir menunjukkan betapa berartinya makan bergizi gratis bagi mereka. Program ini nyata membantu meringankan beban ekonomi keluarga di sekolah. #LanjutkanMBG 
Bekasi Turut KA Argo Bromo Anggrek
#BerikanPelayananPrima https://t.co/krQCzIgc5Y</t>
  </si>
  <si>
    <t>KaylaSwatantri</t>
  </si>
  <si>
    <t>Kunjungan tersebut untuk meninjau hasil revitalisasi bangunan sekolah sekaligus mengecek pelaksanaan Program Makan Bergizi Gratis (MBG). 
https://t.co/8iN99IpDPH</t>
  </si>
  <si>
    <t>mediaindonesia</t>
  </si>
  <si>
    <t>Kerjasama strategis dapur mitra memastikan setiap sarana prasarana yang digunakan sudah standar operasional terbaik demi menjamin keberhasilan program makan bergizi gratis untuk generasi masa depan #LanjutkanMBG 
#TimTiaraAndini #GalaxyA57 #UnboxingA57A37 #pemerintahsiapdebat https://t.co/UzZD42D5Yq</t>
  </si>
  <si>
    <t>zilvoria</t>
  </si>
  <si>
    <t>@tempodotco Jangan hari sabtu doang , hapus makan bergizi gratis . Udah anggaran bakal selamat .</t>
  </si>
  <si>
    <t>fanisacharm</t>
  </si>
  <si>
    <t>Bismillah
KEPADA YTH PIMPINAN KPK, PPATK SERTA MENKEU.!!
APAKAH BENAR PROGRAM MBG (MAKAN BERGIZI GRATIS) ADLH PROYEK YG LEBIH 50 % DIKUASAI ANGGOTA DEWAN, KEPOLISIAN/ APARATUR NEGARA / INDIVIDU YG MEMILIKI AKSES KE LINGKARAN PENGUASA ?
TOLONG DILAKUKAN AUDIT &amp;amp; INVESTIGASI..!!</t>
  </si>
  <si>
    <t>AssegafAlbar</t>
  </si>
  <si>
    <t>@MiskinTV_ Makan Bergizi Gratis</t>
  </si>
  <si>
    <t>alora1209</t>
  </si>
  <si>
    <t>Bukan Sekadar Makan Gratis!
Banyak yang tanya, kenapa sih MBG (Makan Bergizi Gratis) jadi kunci buat masa depan Indonesia? Jawabannya simpelt Perut kenyang, otak cemerlang, kesenjangan pun berkurang!
#BadanGiziNasional #indonesiaSehat #MakanBergiziGratis #GenerasiEmas2045 https://t.co/vD23AlHb1H</t>
  </si>
  <si>
    <t>JKT_hariesok</t>
  </si>
  <si>
    <t>@wondlerful Makan bergizi gratis</t>
  </si>
  <si>
    <t>kyoukai691</t>
  </si>
  <si>
    <t>@norihaya_ Gonku iki asli makan bergizi gratis, duduk makan beracun gratis
Dannn gk pake duit pajak masake🥰</t>
  </si>
  <si>
    <t>annebolleyn_</t>
  </si>
  <si>
    <t>Program MBG Prabowo dibilang KONYOL &amp;amp; DZALIM oleh KH Marzuki Mustamar! Masa anak orang kaya di sekolah elit dipaksa makan siang gratis standar 10 ribu? Bisa-bisa cuma diliatin doang! Anggaran negara kok dipaksain buat yang gak butuh?  #KebijakanKonyol #MBG #KHMarzukiMustamar" https://t.co/Mswlye02Og</t>
  </si>
  <si>
    <t>YudhaShanny2</t>
  </si>
  <si>
    <t>Dukung Program Makan Bergizi Gratis https://t.co/0T0BPdcvjO</t>
  </si>
  <si>
    <t>nagaredno</t>
  </si>
  <si>
    <t>Dukung Program Makan Bergizi Gratis https://t.co/tyaQrL4qVh</t>
  </si>
  <si>
    <t>Dukung Program Makan Bergizi Gratis https://t.co/AkzlXNK83H</t>
  </si>
  <si>
    <t>KH Marzuki Mustamar blak-blakan sebut program makan gratis Prabowo itu 'Dzalim' kalau dipaksakan rata ke semua sekolah. Anak elit kok dikasih makan standar rakyat jelata? Jgn sampai anggaran rakyat cuma jadi bahan mencari celah Korupsi.
 #MakanSiangGratis 
((Bekasi, 1 Mei)) https://t.co/zBjgQzRuic</t>
  </si>
  <si>
    <t>Presiden Prabowo Subianto menegaskan bahwa hingga saat ini banyak negara belajar program Makan Bergizi Gratis (MBG) karena pemerintah Indonesia melalui kebijakan itu mampu melayani lebih dari 60 juta penerima manfaat secara rutin.https://t.co/Om1CsKfGVW</t>
  </si>
  <si>
    <t>Gus Mamak tinjau dapur mbg di Malang, pastikan program akan bergizi gratis berjalan sesuai standar ✍️✅
Bekasi Jule Yordania https://t.co/CANXplBpLI</t>
  </si>
  <si>
    <t>tukang_sate1903</t>
  </si>
  <si>
    <t>Gus Mamak tinjau dapur makan bergizi gratis di Malang ✍️✅
Bekasi Jule Yordania https://t.co/vhenOrE4c9</t>
  </si>
  <si>
    <t>WiwitAntuni</t>
  </si>
  <si>
    <t>@CNNIndonesia Yang dibutuhkan rakyat itu lapangan kerja , Pendidikan gratis buat anak2nya Pak.
Kalau orang tuanya pada kerja, pasti mereka mampu kasih makan anak2nya, bahkan bisa lebih bergizi drpd yg dikasih anda.</t>
  </si>
  <si>
    <t>MamangReborn</t>
  </si>
  <si>
    <t>Sidang MK: Pihak Terkait Sebut MBG Konstitusional dan Bagian dari Pendidikan Nasional
Jakarta - Pihak Terkait dalam sidang uji materi Pasal 22 ayat (3) beserta penjelasannya dalam Undang-Undang Nomor 17 Tahun 2025 tentang APBN 2026 menegaskan bahwa Program Makan Bergizi Gratis</t>
  </si>
  <si>
    <t>Kesehatan masyarakat adalah prioritas utama. Melalui instruksi tegas Presiden Prabowo Subianto, Badan Gizi Nasional kini memperketat pengawasan terhadap seluruh dapur program Makan Bergizi Gratis (MBG).  
#MakanBergiziGratis #BadanGiziNasional #PanganSehat #IndonesiaSehat https://t.co/meSpelXj7C</t>
  </si>
  <si>
    <t>lmillerthriller</t>
  </si>
  <si>
    <t>Prabowo Subianto menegaskan program Makan Bergizi Gratis (MBG) akan terus dilanjutkan hingga selesai, meski diakui masih ada kekurangan yang akan diperbaiki.
Ia menyebut program tersebut sudah memberikan dampak, terutama bagi petani dan nelayan karena hasil produksi mereka kini https://t.co/u8dbl9ZdCk</t>
  </si>
  <si>
    <t>Pemerintah terus memperkuat komitmen dalam menjaga kepercayaan publik melalui perbaikan Program Makan Bergizi Gratis. Langkah ini dilakukan untuk memastikan kualitas, akuntabilitas, dan keberlanjutan program tetap terjaga demi peningkatan gizi masyarakat. https://t.co/MyTkog9dKo</t>
  </si>
  <si>
    <t>VokalRakyat</t>
  </si>
  <si>
    <t>Dalam kunjungan kerja ke SMA Negeri 1 Cilacap, Presiden @prabowo Subianto menyapa langsung para siswa. Beliau dgn senang hati mencicipi kue hasil usaha siswa sekaligus meninjau pelaksanaan Program Makan Bergizi Gratis (MBG) dan revitalisasi sekolah.
Tak hanya mencicipi, Presiden https://t.co/8nxnOFKoGL</t>
  </si>
  <si>
    <t>Gus Mamak turun langsung meninjau kesiapan dan kebersihan dapur Program Makan Bergizi Gratis (MBG) di Malang. Bukan sekadar meninjau, beliau ingin memastikan bahwa setiap piring yang tersaji mengandung gizi seimbang dan diolah dengan standar higienitas yang tinggi. https://t.co/doy9AYFbOo</t>
  </si>
  <si>
    <t>Presiden Prabowo Subianto menyampaikan kebermanfaatan program prioritas Makan Bergizi Gratis (MBG) dan Koperasi Desa/Kelurahan Merah Putih (KDKMP) dalam sambutannya di Cilacap, Rabu (29/4/2026). Terkait MBG, ia menjelaskan bahwa banyak negara kini menjadikannya referensi karena https://t.co/t9Pat1L7NN</t>
  </si>
  <si>
    <t>@infomitigasi Min,
Peenah denger 'program' yg dia kasih nama 'makan bergizi gratis' ?</t>
  </si>
  <si>
    <t>aysareed</t>
  </si>
  <si>
    <t>Kepala Badan Gizi Nasional (BGN) mendorong perguruan tinggi ikut terlibat dalam pembangunan dapur program Makan Bergizi Gratis (MBG). Kampus dinilai memiliki sumber daya, pengetahuan, dan kapasitas untuk membantu memperluas jangkauan sekaligus meningkatkan kualitas pelaksanaan https://t.co/cPZYGIgmtK</t>
  </si>
  <si>
    <t>Baca di sini: https://t.co/gVN49Sglht
Kepala Badan Gizi Nasional, Dadan Hindayana, menyatakan program studi gizi kini sangat diminati seiring besarnya kebutuhan tenaga ahli untuk program Makan Bergizi Gratis (MBG). Setiap unit Satuan Pelayanan Pemenuhan Gizi wajib memiliki https://t.co/Nfe0oOrr1A</t>
  </si>
  <si>
    <t>program makan bergizi gratis terbukti membuka banyak lapangan kerja baru bagi para ahli gizi di seluruh pelosok indonesia demi menjamin kualitas asupan anak bangsa #LanjutkanMBG
#FrierenWithTOMORO #JoongxViktorandRolfFragrances PHUWIN TOMMYHILFIGER MY https://t.co/a1T7sI7W8a</t>
  </si>
  <si>
    <t>venusdocxx</t>
  </si>
  <si>
    <t>@kompascom "anggaran Program Makan Bergizi Gratis (MBG) berpotensi menjadi beban bagi generasi yang menikmatinya saat ini di masa depan, terutama jika pendanaannya bersumber dari utang negara yang menumpuk." mereka yang suka adalah mereka yg bodoh, yg tidak paham beban mereka di masa depan</t>
  </si>
  <si>
    <t>Hyuga_2018</t>
  </si>
  <si>
    <t>Presiden Prabowo Subianto menegaskan bahwa hingga saat ini banyak negara belajar program Makan Bergizi Gratis.</t>
  </si>
  <si>
    <t>zahrudin194245</t>
  </si>
  <si>
    <t>Konstitusi kita unik: 20% APBN wajib untuk pendidikan. Tapi kenapa sekarang mau "dirampok" buat program Makan Bergizi Gratis? 
Para ahli hukum sudah bersuara di MK: Ini inkonstitusional! Jangan sampai dana masa depan anak bangsa dipangkas demi kepentingan pragmatis. 
#łatwogang https://t.co/hxV1vuUegy</t>
  </si>
  <si>
    <t>[POST-VERZET]
Program Makan Bergizi Gratis seharusnya melindungi hak gizi anak-anak Indonesia. Namun kasus keracunan massal menunjukkan lemahnya pengawasan dan regulasi. Di era Prabowo Subianto, negara wajib memastikan makanan yang aman, pengawasan yang ketat, dan sanksi tegas https://t.co/T5XEWCOW1Z</t>
  </si>
  <si>
    <t>LPMJustissica</t>
  </si>
  <si>
    <t>Insentif SPPG Rp6 juta per hari dukung operasional dapur dan standar gizi demi sajian Makan Bergizi Gratis berkualitas setiap hari bagi anak-anak. #LanjutkanMBG 
KRL Commuter Line Diana Pungky Jule Bekasi #SunlightIsYourSpotlight #FrierenWithTOMORO Yordania Yaman https://t.co/APrHPUwyId</t>
  </si>
  <si>
    <t>soofivyn</t>
  </si>
  <si>
    <t>Makan Bergizi Gratis sangat berarti bagi siswa; membantu kecukupan nutrisi sekaligus meringankan beban ekonomi keluarga di rumah secara nyata. #LanjutkanMBG 
KRL Commuter Line Diana Pungky Jule Bekasi #SunlightIsYourSpotlight #FrierenWithTOMORO Yordania Yaman https://t.co/RsSawmfJE0</t>
  </si>
  <si>
    <t>Program Makan Bergizi Gratis (MBG) bukan cuma soal pemenuhan gizi! Presiden Prabowo Subianto tegaskan program ini akan terus diperbaiki dan diperluas.
​#MakanBergiziGratis #ProgramMBG #GiziNasional #KetahananPangan #PrabowoSubianto https://t.co/DGkSj1ejC5</t>
  </si>
  <si>
    <t>andora44</t>
  </si>
  <si>
    <t>Prodi Gizi Melejit, Kepala BGN Sebut Dampak Program MBG Makin Terasa
Program makan bergizi gratis (MBG) tak hanya berdampak pada peningkatan kualitas kesehatan masyarakat, tetapi juga mulai mengubah tren di dunia pendidikan. Kepala Badan Gizi Nasional (BGN), Dadan Hindayana, https://t.co/RoQXiClXbD</t>
  </si>
  <si>
    <t>Setiap hari jam 17 wib (Umum)
Santunan Anak Yatim tiap hari
Gratis Makan Bergizi 
Rumah Yatim Hafiz 
Open Donatur
BCA KCU Kalimalang
Norek: 230 317 1746
A/N: Trisno/Sri Utami
Instagram:
https://t.co/u12kogD014… https://t.co/R0rsLtZylr</t>
  </si>
  <si>
    <t>MBG Kembali Makan Korban, Ratusan Siswa di Klaten Diduga Keracunan: Sampai Kapan Program Negara Jadi Ancaman?
KLATEN – Program Makan Bergizi Gratis (MBG) kembali menjadi sorotan setelah ratusan siswa dan guru di Kecamatan Tulung, Kabupaten Klaten, diduga mengalami keracunan https://t.co/KXyAEvdCoJ</t>
  </si>
  <si>
    <t>papua_muslim95</t>
  </si>
  <si>
    <t>Reaksi haru siswa ini bukti MBG sangat berarti. Program ini nyata membantu ekonomi keluarga dan memastikan anak tetap makan bergizi. #LanjutkanMBG 
Jule Diana Pungky Andrie #FrierenWithTOMORO #SunlightIsYourSpotlight PERTHSANTA CMI LOVE INFINITY Yordania Yaman COLLECTIBLE CARD https://t.co/RVp7v9fhHq</t>
  </si>
  <si>
    <t>aliciaaach</t>
  </si>
  <si>
    <t>Program Makan Bergizi Gratis (MBG) yang dikembangkan pemerintah mulai mendapat pengakuan regional dan dibagikan sebagai praktik terbaik di kawasan ASEAN. https://t.co/cORfXhDpRJ</t>
  </si>
  <si>
    <t>NVoxis</t>
  </si>
  <si>
    <t>@bangherwin Dibilang konyol? Justru ini program yang nyentuh kebutuhan paling dasar: makan bergizi. Itu bukan hal sepele.</t>
  </si>
  <si>
    <t>Momoyotojaa</t>
  </si>
  <si>
    <t>Data real-time kini jadi kunci distribusi Makan Bergizi Gratis yang lebih tepat sasaran untuk seluruh anak Indonesia demi mewujudkan generasi masa depan yang kuat 
#LanjutkanMBG
POND WITH ITSSKIN 32MP Front Camera Biore UVxStray Kids Diana Pungky https://t.co/dUCWi4EHnZ</t>
  </si>
  <si>
    <t>diandramozanika</t>
  </si>
  <si>
    <t>Pemerintah menggandeng perguruan tinggi untuk memperluas jangkauan program makanan bergizi gratis melalui dapur berbasis kampus demi menciptakan generasi muda yang jauh lebih sehat dan cerdas 
#LanjutkanMBG
POND WITH ITSSKIN 32MP Front Camera Biore UVxStray Kids Diana Pungky https://t.co/H3e1aqbR1H</t>
  </si>
  <si>
    <t>@bagindo_kopi Program makan gratis ini bantu banget warga kecil. Jangan dirusak pakai isu sapi yang nggak jelas juntrungannya. Itu cuma simulasi perencanaan dapur, realitanya menu tetap variatif dan bergizi seimbang. #LanjutkanMBG</t>
  </si>
  <si>
    <t>bradtherwage</t>
  </si>
  <si>
    <t>Presiden Prabowo Subianto menegaskan komitmen melanjutkan program Makan Bergizi Gratis (MBG) hingga tuntas. Program ini dinilai berdampak bagi petani dan nelayan karena memberi kepastian pasar.
Baca selengkapnya: https://t.co/uwkDZPqPU2
~RK #prabowo #MBG https://t.co/y6Zf37CY5y</t>
  </si>
  <si>
    <t>@okezonenews Nutrisi seimbang itu kunci kecerdasan anak sekolah. Jangan terjebak polemik simulasi sapi yang nggak utuh informasinya. Tetap dukung program makan bergizi gratis demi masa depan Indonesia yang lebih cerah. #LanjutkanMBG</t>
  </si>
  <si>
    <t>gilbhaarg</t>
  </si>
  <si>
    <t>@officialinews_ Tetap kritis tapi jangan kehilangan akal sehat. Isu sapi 19 ribu itu cuma pengandaian kapasitas logistik saja. Mari dukung penuh program makan bergizi gratis demi masa depan cerah generasi Indonesia. #LanjutkanMBG</t>
  </si>
  <si>
    <t>marasilvyy</t>
  </si>
  <si>
    <t>@ekowboy2 @ARSIPAJA Klaim sesat! Makan Bergizi Gratis baru simulasi, tapi sudah jumawa "dunia belajar ke kita." Faktanya, India lewat *Midday Meal Scheme* sudah beri makan 120 juta anak sejak 1995. Kita tertinggal 3 dekade! Jangan jualan nasionalisme sempit unt menutupi manajemen yg belum teruji.</t>
  </si>
  <si>
    <t>Didikjzie</t>
  </si>
  <si>
    <t>Kepala Badan Gizi Nasional (BGN) Dadan Hindayana mengklaim, program studi gizi kini paling diminati setelah adanya program Makan Bergizi Gratis (MBG).
Berapa sih gaji tenaga ahli gizi di program ini? 
Ternyata, kisarannya mencapai jutaan rupiah per bulan, lebih besar jika https://t.co/n8aD3NHOW5</t>
  </si>
  <si>
    <t>officialfgmedia</t>
  </si>
  <si>
    <t>Presiden Prabowo Subianto menargetkan Indonesia akan mencapai swasembada energi pada akhir 2029. 
Target ini diungkapkan Prabowo saat meninjau hasil revitalisasi sekolah dan program Makan Bergizi Gratis (MBG) di SMAN 1 Cilacap, Jawa Tengah, Rabu (29/4/2026).
Meski begitu, https://t.co/FxHxaadaN5</t>
  </si>
  <si>
    <t>Penerima Manfaat Tembus di Atas 60 Juta, Prabowo: Banyak Negara Belajar MBG ke Kita
Cilacap — Presiden RI Prabowo Subianto menyebut program Makan Bergizi Gratis (MBG) telah menjangkau lebih dari 60 juta penerima manfaat dan menjadi perhatian dunia. Bahkan, sejumlah negara mulai https://t.co/QoT5ohxJ3U</t>
  </si>
  <si>
    <t>Program Makan Bergizi Gratis (MBG) bukan cuma soal pemenuhan gizi! Presiden Prabowo Subianto tegaskan program ini akan terus diperbaiki dan diperluas. 
​#MakanBergiziGratis #ProgramMBG #GiziNasional #KetahananPangan #PrabowoSubianto https://t.co/zWtDrKOjRM</t>
  </si>
  <si>
    <t>KenneIch38736</t>
  </si>
  <si>
    <t>PROGRAM MAKAN
BERGIZI GRATIS UNTUK ANAK ACEH
#PenuhiGiziIndonesia #Indonesiaemas #AstaCita #Indonesiamaju #GiziBaik #MakananBergizi https://t.co/uJGLGMvjbM</t>
  </si>
  <si>
    <t>dzakira_af16440</t>
  </si>
  <si>
    <t>PROGRAM MAKAN BERGIZI GRATIS UNTUK ANEUK ACEH
Jak Ta Dukung Makan Bergizi Gratis Demi Masa Depan Aneuk Aceh
#PenuhiGiziIndonesia #Indonesiaemas #AstaCita #Indonesiamaju #GiziBaik #MakananBergizi https://t.co/iJqGspf03K</t>
  </si>
  <si>
    <t>Tingkatkan Kualitas Belajar Anak-Anak Aceh. Melalui Program Makan Bergizi Gratis. Mari Kita Dukung Makan Bergizi Gratis Demi Masa Depan Anak Aceh #PenuhiGiziIndonesia #Indonesiaemas #AstaCita #Indonesiamaju #GiziBaik #MakananBergizi https://t.co/VGZZ3HdbUn</t>
  </si>
  <si>
    <t>Mari Kita Dukung PROGRAM MAKAN BERGIZI GRATIS UNTUK ANAK-ANAK ACEH.
#Makan BergiziGratis #PenuhiGiziIndonesia #Indonesiaemas #AstaCita #Indonesiamaju #GiziBaik #MakananBergizi https://t.co/LFLW2HVXUf</t>
  </si>
  <si>
    <t>Mari Dukung Makan Bergizi Gratis Untuk Anak-anak Aceh. Pemerintah Tunjukkan Komitmen Untuk Anak-anak Sekolah Aceh Makan Bergizi Gratis #PenuhiGiziIndonesia #Indonesiaemas #AstaCita #Indonesiamaju #GiziBaik #MakananBergizi https://t.co/G1oTIZKYWc</t>
  </si>
  <si>
    <t>“Kampus Jadi Pusat Gizi! 🎓🍱 Mahasiswa Turun Tangan Kelola Dapur MBG”
Lur, Kepala Badan Gizi Nasional, Dadan Hindayana, mengajak kampus di seluruh Indonesia ikut mengelola dapur Program Makan Bergizi Gratis (MBG). Bukan cuma masak, tapi jadi tempat riset dan inovasi mahasiswa. https://t.co/WITXT7fGOA</t>
  </si>
  <si>
    <t>Program Makan Bergizi Gratis (MBG) bukan cuma soal pemenuhan gizi! Presiden Prabowo Subianto tegaskan program ini akan terus diperbaiki dan diperluas. 
​#MakanBergiziGratis #ProgramMBG #GiziNasional #KetahananPangan #PrabowoSubianto https://t.co/hQ8bIohsZu</t>
  </si>
  <si>
    <t>OkewDjoni26308</t>
  </si>
  <si>
    <t>Tai kucing gara² lu banyak anggaran dipangkas, banyak kampus yg kena dampak efisiensi demi menuhin that program makan beracun gratis?!?! Dana riset dipangkas dan kalo lupa ada kampus yg membatasi kegiatan perkuliahan di kampus gara² keterbatasan dana operasional krn efisiensi</t>
  </si>
  <si>
    <t>uremyhopee</t>
  </si>
  <si>
    <t>@bangherwin Heran ya ga paham manfaat tapi bahas-bahas manfaat, pada ngerti gak si
Program Makan Bergizi Gratis (MBG) membawa dampak positif bagi para petani. Peningkatan permintaan pasar membuat harga komoditas seperti brokoli dan bawang merah ikut naik, sehingga pendapatan petani membaik.</t>
  </si>
  <si>
    <t>ZukiSunni</t>
  </si>
  <si>
    <t>Melalui Makan Bergizi Gratis kita bersama membangun ketahanan fisik serta mental generasi penerus bangsa yang tangguh. https://t.co/ue0zgFgQI3</t>
  </si>
  <si>
    <t>Elizabe91164520</t>
  </si>
  <si>
    <t>Mari kita kawal kesuksesan Program Makan Bergizi Gratis demi mewujudkan cita-cita besar Indonesia Maju 2045. https://t.co/1luYtOAtP4</t>
  </si>
  <si>
    <t>@tempodotco omong kosong, mana janji lu dulu katanya ngadain program makan gratis buat anak sekolah? yg ada malah mbg skrg, mana program yg lu janjiin itu?</t>
  </si>
  <si>
    <t>pshtxbonek</t>
  </si>
  <si>
    <t>IJM: Bukan MBG Tetapi Makan Bergizi dengan Biaya Rakyat!
https://t.co/uS4mPMxDyr
Menyorot problem Makan Bergizi Gratis (MBG) Direktur Indonesia Justice Monitor (IJM) Agung Wisnuwardana mengatakan, bukan MBG tetapi makan bergizi dengan biaya rakyat.</t>
  </si>
  <si>
    <t>TintaMedia01</t>
  </si>
  <si>
    <t>Program Makan Bergizi Gratis merupakan wujud nyata kepedulian Pemerintah terhadap masa depan anak bangsa
 #DariMBGUntukIndonesiaHebat https://t.co/ksuaMg4zgZ</t>
  </si>
  <si>
    <t>SarahSaragih23</t>
  </si>
  <si>
    <t>Program Makan Bergizi Gratis menggerakkan roda ekonomi pedagang. Di Pasar Kramat Jati, Jakarta Timur, pedagang buah merasakan lonjakan omzet sejak program ini berjalan awal 2025.
#mbg #ekonomilokal #pasarkramatjati #KawalMBG  #pedagangbuah https://t.co/LjS3UqwqU3</t>
  </si>
  <si>
    <t>hypecirclez</t>
  </si>
  <si>
    <t>Pak Prabowo.. Yg kau kasih makan itu pejabat2 MBG dan semua SPPG. Jadi ladang korupsi baru. Bukan anak2 sekolah. Anak2 sekolah itu cuma sskali saja kok. itu pun tidak bergizi. bahkan banyak yg keracunan. Apa yg mau dipelajari negara lain  dari program buruk itu.??</t>
  </si>
  <si>
    <t>sinagano2</t>
  </si>
  <si>
    <t>Program Makan Bergizi Gratis (MBG) hadir sebagai langkah nyata mewujudkan generasi emas. Kuncinya bukan cuma porsi yang banyak, tapi Gizi Seimbang yang terjaga https://t.co/FVqeg54mqD</t>
  </si>
  <si>
    <t>Bahrululum977</t>
  </si>
  <si>
    <t>Setiap suapan dalam program Makan Bergizi Gratis adalah langkah kita memutus rantai stunting dan meningkatkan kualitas SDM Indonesia https://t.co/I136JC8oXB</t>
  </si>
  <si>
    <t>JAKARTA – Pemerintah Indonesia berencana memangkas kembali anggaran Makan Bergizi Gratis (MBG) demi menjaga agar defisit fiskal tak melebihi batas maksimal 3%
Baca selengkapnya: https://t.co/Mti3l2pg7M https://t.co/bP2dyniStp</t>
  </si>
  <si>
    <t>IDNFinancials</t>
  </si>
  <si>
    <t xml:space="preserve">@Gus_Raharjo Bukan hanya anak sekolah yg dijanjikan tapi juga bayi balita.. Jadi total aja sdiri brp banyak org yg dikasih mkn gratis tiap hari. Harusnya mikirin program yg bisa bikin masy berpenghasilan besar biar seluruh anggota keluarga bs makan enak bergizi... </t>
  </si>
  <si>
    <t>https://t.co/AfJHw0dbXX</t>
  </si>
  <si>
    <t xml:space="preserve">Waduh kok ini sudah jalan ya program makan siang gratis dgn lauk pauk yg sangat bergizi di Tangerang.. Ini pasti terinspirasi dari @prabowo yg punya program makan siang gratis nih... </t>
  </si>
  <si>
    <t>https://t.co/nThaOYzFIO</t>
  </si>
  <si>
    <t xml:space="preserve">TKD Prabowo-Gibran Banten Turun Langsung Laksanakan Program Makan Siang Bergizi dan Susu Gratis </t>
  </si>
  <si>
    <t>https://t.co/VTEcqZkBFL</t>
  </si>
  <si>
    <t xml:space="preserve">Pemerintah memutuskan memangkas anggaran untuk program makan bergizi gratis anak dan ibu hamil dari Rp 15.000 menjadi Rp 10.000 per orang. Hal itu menurut ekonom tidak akan berdampak signifikan pada perekonomian. Asumsinya, dengan anggaran Rp. 10 ribu per orang keluarga yang </t>
  </si>
  <si>
    <t>https://t.co/VESjT8Kmai</t>
  </si>
  <si>
    <t xml:space="preserve">Hasan Nasbi Tekankan Program Makan Bergizi Gratis Anggaran Rp 10.000 Per Porsi Itu Cukup </t>
  </si>
  <si>
    <t>https://t.co/0X7E2Q3AEz lewat @Keuangan News</t>
  </si>
  <si>
    <t xml:space="preserve">Belajar dari Brasil dalam Program Makan Bergizi Gratis </t>
  </si>
  <si>
    <t>https://t.co/6slfIohQkL</t>
  </si>
  <si>
    <t xml:space="preserve">Istana meninjau kesiapan program makan bergizi gratis di Tanah Sareal, Bogor. Program makan bergizi gratis ini akan diberikan ke 3.018 siswa di 15 sekolah. </t>
  </si>
  <si>
    <t>https://t.co/wtNOsVHsNT</t>
  </si>
  <si>
    <t xml:space="preserve">BPOM RI akan terlibat dalam program makan bergizi gratis yang diprioritaskan Presiden Prabowo, mulai dari rumah produksi hingga distribusi. Begini perannya.  </t>
  </si>
  <si>
    <t>https://t.co/qzHF8YeopK</t>
  </si>
  <si>
    <t xml:space="preserve">Presidential Communication Office (PCO) meninjau uji coba program Makan Bergizi Gratis (MBG) di 15 sekolah, di Bogor, Senin (9/12/2024). Uji coba dilaksanakan di Satuan Pelayanan Pemenuhan Gizi (SPPG) Tanah Sareal. #TirtoDaily </t>
  </si>
  <si>
    <t>https://t.co/CySCWuE3Sp</t>
  </si>
  <si>
    <t xml:space="preserve">Wamendes PDT, Riza Patria, menginstruksikan jajarannya untuk memastikan pasokan bahan baku terpenuhi untuk program makan bergizi gratis di desa. </t>
  </si>
  <si>
    <t>https://t.co/HujK1ibE56</t>
  </si>
  <si>
    <t xml:space="preserve">2 Teknologi Program Makan Bergizi Gratis: Monitoring Real-Time dan AI #uzoneID #lifestyle #viral </t>
  </si>
  <si>
    <t>https://t.co/CzzXa2aJjY</t>
  </si>
  <si>
    <t>Menteri Kelautan dan Perikanan Sakti Wahyu Trenggono mengungkapkan susu ikan menjadi salah satu alternatif dalam program Makan Bergizi Gratis (MBG)</t>
  </si>
  <si>
    <t>https://t.co/FmxNOPMJac</t>
  </si>
  <si>
    <t xml:space="preserve">Dana Judol di Bank dan e-Wallet Capai Rp 86 Triliun, Legislator Desak Sita untuk Bantu Program Makan Bergizi Gratis </t>
  </si>
  <si>
    <t>https://t.co/jB5gObSc3B #AboeBakarAlHabsy #AnggotaKomisiIIIFraksiPKS #bank #DanaJudol #ewallet #PPATK</t>
  </si>
  <si>
    <t xml:space="preserve">Menteri Keuangan #SriMulyani mengatakan alokasi #BelanjaNegara pada tahun 2025 sebesar Rp2.701,4 triliun akan dialokasikan untuk mendukung program prioritas pembangunan yaitu swasembada pangan, pendidikan dan kesehatan, hingga program makan siang bergizi gratis. </t>
  </si>
  <si>
    <t>https://t.co/zIRe86oPZf</t>
  </si>
  <si>
    <t xml:space="preserve">Gibran meninjau program makan bergizi gratis di Muhammadiyah Boarding School, Bogor. Seperti apa momennya? </t>
  </si>
  <si>
    <t>https://t.co/hGlVT8oyJH</t>
  </si>
  <si>
    <t xml:space="preserve">Pemerintah siap melaksanakan Program Makan Bergizi Gratis (MBG) mulai 2 Januari 2025. Dalam proses uji coba selama beberapa bulan terakhir, pemerintah semakin menemukan format ideal dalam proses pelaksanaan program, dari mulai penyediaan bahan baku, operasional unit pelayanan, </t>
  </si>
  <si>
    <t>https://t.co/pMSZsTrAf3</t>
  </si>
  <si>
    <t xml:space="preserve">Alokasi Belanja Pemerintah Pusat Rp2.701 Triliun untuk Program Makan Bergizi Gratis hingga Pendidikan </t>
  </si>
  <si>
    <t>https://t.co/GrMZHq4tMR</t>
  </si>
  <si>
    <t xml:space="preserve">Presiden Prabowo Subianto menyampaikan bahwa program unggulan makan bergizi gratis dapat meningkatkan peredaran uang di desa-desa hingga mencapai Rp8 miliar per desa per tahun. Hal ini disampaikan dalam gelaran penyerahan Daftar Isian Pelaksanaan Anggaran (DIPA) dan Transfer ke </t>
  </si>
  <si>
    <t>https://t.co/nE7ncLTV3t</t>
  </si>
  <si>
    <t xml:space="preserve">Wakil Presiden RI Gibran Rakabuming Raka memastikan program makan bergizi gratis tidak hanya diterapkan di sekolah dan ibu hamil namun juga akan diterapkan di pondok pesantren// Gibran menyatakan pentingnya kebutuhan gizi para santri terpenuhi. Khususnya, karena mereka tak </t>
  </si>
  <si>
    <t>https://t.co/zSa2h2VqTo</t>
  </si>
  <si>
    <t xml:space="preserve">Anggaran Program Makan Bergizi Gratis Capai Rp71 Triliun </t>
  </si>
  <si>
    <t>https://t.co/fWC1y3K92R</t>
  </si>
  <si>
    <t xml:space="preserve">1. Pondok Pesantren Muhammadiyah Boarding School (MBS) Ki Bagus Hadikusumo, sebagai lembaga pendidikan yang berkomitmen penuh terhadap kemajuan peradaban bangsa, mengundang Wakil Presiden Gibran Rakabuming untuk meninjau simulasi program Makan Bergizi Gratis (MBG). Kegiatan ini </t>
  </si>
  <si>
    <t>https://t.co/E6COkYej1Q</t>
  </si>
  <si>
    <t xml:space="preserve">BPOM Kawal Program Makan Bergizi Gratis: Dapur hingga Distribusi Diawasi </t>
  </si>
  <si>
    <t>https://t.co/z5aoqv3cte lewat @rakyatpembaruan.com</t>
  </si>
  <si>
    <t xml:space="preserve">Pemerintah melalui Kantor Komunikasi Kepresidenan meninjau secara langsung kesiapan pelaksanaan program Makan Bergizi Gratis (MBG) di Unit Pelayanan MBG Tanah Sareal, Bogor, Jawa Barat; serta SDN Kedung Badak 1 dan SMP Siliwangi Kota Bogor, Senin (9/12/2… </t>
  </si>
  <si>
    <t>https://t.co/aTtjZTsE0l</t>
  </si>
  <si>
    <t xml:space="preserve">Kepala BPOM Temui Jaksa Agung Minta Kawal Program Makan Bergizi Gratis </t>
  </si>
  <si>
    <t>https://t.co/wCeRmPwMMr</t>
  </si>
  <si>
    <t xml:space="preserve">please bantu isi atau barter kuesioner penelitian sender tentang program makan bergizi gratis (MBG) 🥹🤚kriterianya kayak dibawah ini. bolee reply aja yaa. nanti sender kirim linknya lewat dm, makasi gais 💚 </t>
  </si>
  <si>
    <t>https://t.co/W0ghxg2MtM</t>
  </si>
  <si>
    <t xml:space="preserve">Program Makan Bergizi Gratis membuktikan fleksibilitasnya dengan mengubah fungsi dapur layanan menjadi posko darurat, memastikan ratusan ribu korban bencana alam tetap mendapatkan akses pangan sehat dan layak di tengah situasi krisis. </t>
  </si>
  <si>
    <t>https://t.co/yRqOeYUH2C</t>
  </si>
  <si>
    <t xml:space="preserve">Seorang pedagang telur bernama Stefanus Gulo merasa bangga dan bersyukur karena lapak dagangannya dipercaya menjadi salah satu pemasok telur untuk kebutuhan program Makan Bergizi Gratis (MBG). </t>
  </si>
  <si>
    <t>https://t.co/cEvakJXmhj</t>
  </si>
  <si>
    <t xml:space="preserve">Program Makan Bergizi Gratis di SMAN 9 Pekanbaru Berjalan Lancar </t>
  </si>
  <si>
    <t>https://t.co/oks1cAEFez</t>
  </si>
  <si>
    <t xml:space="preserve">182 Siswa dan Guru di SMP N 2 Airmadidi, Minahasa Utara diduga keracunan Makan Siang Gratis, data per tanggal 27 November 2025. Setidaknya 3 Rumah Sakit di Sulawesi Utara dijadikan rujukan untuk merawat puluhan siswa yang keracunan pasca menyatap program Makan Bergizi Gratis. </t>
  </si>
  <si>
    <t>https://t.co/x17BWDI958</t>
  </si>
  <si>
    <t xml:space="preserve">Kodim 0815/Mojokerto bersama BPS Kota Mojokerto menggelar Rapat Koordinasi dan Evaluasi Program Makan Bergizi Gratis (MBG) sebagai wujud sinergi dalam mengawal program strategis nasional. </t>
  </si>
  <si>
    <t>https://t.co/WE8C7RFlse</t>
  </si>
  <si>
    <t xml:space="preserve">Polsek Sukadana Pantau Langsung Program Makan Bergizi Gratis di SMPN 1 Sukadana Ciamis </t>
  </si>
  <si>
    <t>https://t.co/LxyrX7oDtO</t>
  </si>
  <si>
    <t xml:space="preserve">Koramil 0820-16/Paiton dukung program makan bergizi gratis tingkatkan kesehatan pelajar. #KoramilPaiton #Probolinggo #MBG #TNIAD Simak selengkapnya disini 👇👇👇 </t>
  </si>
  <si>
    <t xml:space="preserve">https://t.co/Ncqq9FszCG </t>
  </si>
  <si>
    <t>https://t.co/Ave6LTx2nx</t>
  </si>
  <si>
    <t xml:space="preserve">BPKP Kalteng melaksanakan evaluasi program Makan Bergizi Gratis (MBG) di Kabupaten Barito Timur guna memastikan kepatuhan pelaksanaan terhadap regulasi dan rencana kerja serta mengidentifikasi permasalahan serta risiko yang menghambat pelaksanaan program MBG. </t>
  </si>
  <si>
    <t>https://t.co/dxH4bobd1B</t>
  </si>
  <si>
    <t xml:space="preserve">Setiap anak berhak tumbuh sehat dan kuat. Mari dukung program makan bergizi gratis agar mereka bisa belajar dengan penuh energi, tersenyum lebih lebar, dan meraih masa depan yang lebih cerah. </t>
  </si>
  <si>
    <t>https://t.co/CJrX729qDL</t>
  </si>
  <si>
    <t>https://t.co/RyTfJOALeR</t>
  </si>
  <si>
    <t>https://t.co/R5BFZXUp2S</t>
  </si>
  <si>
    <t xml:space="preserve">Gizi Terpenuhi, Ibu Hamil Lebih Tenang. Program Makan Bergizi Gratis hadir memastikan kesehatan ibu dan calon bayi terjaga tanpa beban biaya, bukti nyata kepedulian pemerintah untuk melahirkan generasi kuat. </t>
  </si>
  <si>
    <t>https://t.co/bozUl1SA5h</t>
  </si>
  <si>
    <t xml:space="preserve">Polres Klungkung melaksanakan Pre Launching Program Makan Bergizi Gratis (MBG) SPPG Polres Klungkung yang dipusatkan di TK Kemala Bhayangkari Polres Klungkung, (5/12). </t>
  </si>
  <si>
    <t>https://t.co/YvXVF1TYOy</t>
  </si>
  <si>
    <t xml:space="preserve">Balai Besar Obat dan Makanan (BPOM) menghadirkan mobil laboratorium untuk mendukung program makan bergizi gratis (MBG) </t>
  </si>
  <si>
    <t>https://t.co/RXfUWNr0XI</t>
  </si>
  <si>
    <t xml:space="preserve">BPOM menghadirkan mobil laboratorium untuk mendukung program makan bergizi gratis (MBG). mobil ini menjangkau daerah - daerah yang jauh dari jangkauan Balai POM guna mendukung program prioritas dari pemerintah. </t>
  </si>
  <si>
    <t>https://t.co/89Nb66vRvP</t>
  </si>
  <si>
    <t xml:space="preserve">Inovasi mobil laboratorium keliling BPOM siap menjangkau pelosok negeri demi memastikan keamanan pangan program Makan Bergizi Gratis agar anak Indonesia tumbuh sehat dan cerdas tanpa rasa khawatir. </t>
  </si>
  <si>
    <t>https://t.co/y7C3zH6Vst</t>
  </si>
  <si>
    <t xml:space="preserve">Penerapan sistem grading dapur oleh Badan Gizi Nasional bersama lembaga survei independen menjamin standar keamanan pangan yang tinggi demi kesuksesan program Makan Bergizi Gratis tahun depan. </t>
  </si>
  <si>
    <t>https://t.co/0bQ4XMHSZV</t>
  </si>
  <si>
    <t xml:space="preserve">BPOM menghadirkan mobil laboratorium keliling untuk mendukung program Makan Bergizi Gratis (MBG). Langkah ini memastikan keamanan pangan tetap terpantau hingga daerah yang sulit dijangkau. Inovasi nyata demi kesehatan masyarakat </t>
  </si>
  <si>
    <t>https://t.co/5KuetTzYHR</t>
  </si>
  <si>
    <t xml:space="preserve">Babinsa Blimbing Pendampingan Program Makan Bergizi Gratis di SDN Polowijen 2 </t>
  </si>
  <si>
    <t>https://t.co/QzNzsA9MHD #BabinsaBlimbing #MakanBergiziGratis #SDNPolowijen</t>
  </si>
  <si>
    <t xml:space="preserve">Sidokkes Polres Bangli memastikan makanan Program Makan Bergizi Gratis aman dan layak dikonsumsi. Melalui pemeriksaan Food Safety di SPPG Polres Bangli, seluruh sampel makanan dinyatakan bebas bahan kimia berbahaya dan disajikan dalam kondisi higienis sesuai standar. </t>
  </si>
  <si>
    <t>https://t.co/6g8lLJn1Fs</t>
  </si>
  <si>
    <t xml:space="preserve">BPOM Turun Langsung Kawal Program Makan Bergizi Gratis di Solo </t>
  </si>
  <si>
    <t>https://t.co/jzVniCBvoP</t>
  </si>
  <si>
    <t xml:space="preserve">Pemerintah terus memastikan program Makan Bergizi Gratis berjalan lebih rapi dan tepat sasaran. Temuan dari lapangan langsung diteruskan untuk dibenahi. Fokusnya sederhana: perlindungan anak harus terasa nyata dan merata </t>
  </si>
  <si>
    <t>https://t.co/cKZzbyDhco</t>
  </si>
  <si>
    <t xml:space="preserve">Presiden Prabowo ungkap 49 juta penerima manfaat program Makan Bergizi Gratis, setara 7 kali penduduk Singapura, hingga menjangkau daerah terpencil. </t>
  </si>
  <si>
    <t>https://t.co/crcUOpsl9b</t>
  </si>
  <si>
    <t xml:space="preserve">Program Makan Bergizi Gratis (MBG) menjadi langkah nyata negara dalam menyiapkan generasi sehat dan berdaya saing melalui pemenuhan gizi sejak dini. </t>
  </si>
  <si>
    <t>https://t.co/g17wC8XrRi</t>
  </si>
  <si>
    <t xml:space="preserve">Polri Terbitkan Buku Rasa Bhayangkara Nusantara sebagai Rujukan Diversifikasi Pangan untuk Program Makan Bergizi Gratis </t>
  </si>
  <si>
    <t>https://t.co/srGnNgF6SR</t>
  </si>
  <si>
    <t xml:space="preserve">Ketum Golkar Bahlil dorong program Makan Bergizi Gratis untuk pelosok Indonesia. Dirinya menilai program ini penting karena pernah busung lapar. </t>
  </si>
  <si>
    <t>https://t.co/3tLPEQ10cH</t>
  </si>
  <si>
    <t xml:space="preserve">Presiden Prabowo Subianto mengumumkan capaian signifikan Program Makan Bergizi Gratis (MBG), yang kini telah menjangkau sekitar 49 juta penerima manfaat setiap harinya. </t>
  </si>
  <si>
    <t>https://t.co/R5hWNrzCV8</t>
  </si>
  <si>
    <t xml:space="preserve">Sinergi berbagai pihak membuat Program Makan Bergizi Gratis mampu mendistribusikan makanan bergizi secara merata, memperkuat kualitas hidup anak #MBG #EkonomiLokal #GiziAnak </t>
  </si>
  <si>
    <t>https://t.co/TqUdMAn4ce</t>
  </si>
  <si>
    <t xml:space="preserve">Program Makan Bergizi Gratis (MBG) akan didistribusikan langsung kepada anak jalanan hingga lansia yang membutuhkan. Upaya ini layak didukung agar dapat segera terealisasi dan makin banyak yang merasakan manfaatnya </t>
  </si>
  <si>
    <t>https://t.co/3obgfySuU9</t>
  </si>
  <si>
    <t xml:space="preserve">Program Makan Bergizi Gratis (MBG) memperkuat masa depan anak bangsa dengan memastikan akses gizi sehat yang merata, sekaligus mendorong peningkatan kualitas pendidikan sejak dini </t>
  </si>
  <si>
    <t>https://t.co/hniK8tFwoA</t>
  </si>
  <si>
    <t xml:space="preserve">Presiden Prabowo Subianto mengklaim Program Makan Bergizi Gratis (MBG) sebagai salah satu program terbaik di dunia, setelah dalam 12 bulan berhasil menjangkau 49 juta penerima manfaat. Menurut Prabowo, capaian ini merupakan prestasi logistik besar, karena melebihi Brasil yang </t>
  </si>
  <si>
    <t>https://t.co/SUfxeDe2ct</t>
  </si>
  <si>
    <t xml:space="preserve">Program Makan Bergizi Gratis bukan sekadar berbagi makanan tetapi menjadi lokomotif ekonomi baru yang membuka lapangan kerja luas bagi sektor pangan dan menyejahterakan pelaku usaha kecil di seluruh daerah. </t>
  </si>
  <si>
    <t>https://t.co/krwIdPD5ky</t>
  </si>
  <si>
    <t xml:space="preserve">Program Makan Bergizi Gratis menjadi fondasi kokoh menuju Indonesia Maju dengan mencetak generasi yang sehat cerdas dan produktif melalui asupan gizi seimbang yang diberikan sejak usia dini di sekolah. </t>
  </si>
  <si>
    <t>https://t.co/TvNjy73tzj</t>
  </si>
  <si>
    <t xml:space="preserve">Program Makan Bergizi Gratis (MBG) menjadi pondasi penting untuk mencetak generasi sehat, cerdas, dan produktif dengan pemenuhan gizi yang berkelanjutan. Sumber: </t>
  </si>
  <si>
    <t>https://t.co/rDns6nkdTM</t>
  </si>
  <si>
    <t xml:space="preserve">Program Makan Bergizi Gratis (MBG) yang dijalankan Badan Gizi Nasional (BGN) terbukti menciptakan lapangan kerja dan memperkuat ekosistem usaha kuliner, mengubah Satuan Pelayanan Pemenuhan Gizi (SPPG) menjadi lokomotif baru penciptaan lapangan kerja </t>
  </si>
  <si>
    <t>https://t.co/3lGrqlJYrW</t>
  </si>
  <si>
    <t xml:space="preserve">BGN menegaskan bahwa insentif senilai Rp6 juta per hari untuk dapur program Makan Bergizi Gratis (MBG) akan dipotong apabila fasilitas Satuan Pelayanan Pemenuhan Gizi (SPPG) tidak memenuhi standar yang telah ditetapkan </t>
  </si>
  <si>
    <t>https://t.co/BBRF9Jkvpc</t>
  </si>
  <si>
    <t xml:space="preserve">program makan bergizi gratis MBG bukan sekadar bantuan makanan melainkan investasi strategis dalam m menciptakan generasi yang sehat, cerdas dan produktif  yang akan jadi fondasi Indonesia maju </t>
  </si>
  <si>
    <t>https://t.co/HtFgCPKMbY</t>
  </si>
  <si>
    <t xml:space="preserve">Wakil Bupati Asluchul Alif Dorong Perlindungan Ketenagakerjaan bagi Relawan dan Tenaga Pendukung Program Makan Bergizi Gratis </t>
  </si>
  <si>
    <t>https://t.co/fmq2SGyDV7</t>
  </si>
  <si>
    <t xml:space="preserve">Personil Polsek Pangkalan Kuras melaksanakan pengawasan Program Makan Bergizi Gratis (MBG) di MTS Al-Qasimiyah dan SMPN 1 Pangkalan Kuras, dengan total sasaran 471 dan 1.048 porsi bagi siswa-siswi. </t>
  </si>
  <si>
    <t>https://t.co/SWfZcf5Erp</t>
  </si>
  <si>
    <t xml:space="preserve">ak ada lagi anak sekolah yang lapar. Program makan bergizi gratis hadirkan senyum dan semangat belajar. #GiziUntukGenerasi #MakanBergiziGratis </t>
  </si>
  <si>
    <t>https://t.co/dwkTw8aRFJ</t>
  </si>
  <si>
    <t xml:space="preserve">Gizi cukup, prestasi meningkat. Mari dukung program makan bergizi gratis demi masa depan anak-anak kita! #BangunGenerasiEmas #DukungProgramGizi </t>
  </si>
  <si>
    <t>https://t.co/hDKhzWJTls</t>
  </si>
  <si>
    <t xml:space="preserve">Setiap anak berhak tumbuh kuat dan sehat. Program makan bergizi gratis hadir untuk memastikan tidak ada yang belajar dalam keadaan lapar. Mari bersama mendukung langkah kecil yang membawa masa depan lebih cerah bagi seluruh anak Indonesia </t>
  </si>
  <si>
    <t>https://t.co/FeghIAFd3z</t>
  </si>
  <si>
    <t>https://t.co/mNFtL0J5aX</t>
  </si>
  <si>
    <t>https://t.co/j8P9wJ0oCZ</t>
  </si>
  <si>
    <t>https://t.co/rf7Tr7KeFg</t>
  </si>
  <si>
    <t xml:space="preserve">Dadan Hindayana memastikan pengawasan program Makan Bergizi Gratis semakin ketat dengan membatasi beban kerja dapur agar kualitas gizi terjaga dan risiko keamanan pangan dapat ditekan seminimal mungkin. </t>
  </si>
  <si>
    <t>https://t.co/q7BzMEYvFr</t>
  </si>
  <si>
    <t xml:space="preserve">Penyuluh perikanan terus memberikan pendampingan kepada Poklahsar binaan dalam memenuhi permintaan produk perikanan untuk mendukung Program Makan Bergizi Gratis. Upaya ini diharapkan dapat memperkuat peran strategis UMKM pengolah hasil perikanan dalam program pemerintah. </t>
  </si>
  <si>
    <t>https://t.co/HSCSgJZECB</t>
  </si>
  <si>
    <t xml:space="preserve">Kapolsek Nagreg Kompol Rizal Adam Al Hasan AS, S.Pd, M.M., yang diwakili Kanit Intelkam AKP Nurwidi S.H., menghadiri Rapat Koordinasi Program Makan Bergizi Gratis (MBG), tingkat Kecamatan Nagreg, di Aula Kantor Kecamatan Nagreg Kabupaten Bandung. </t>
  </si>
  <si>
    <t>https://t.co/Yeh8t4HGIk</t>
  </si>
  <si>
    <t xml:space="preserve">Badan Gizi Nasional (BGN) memastikan pasokan gizi nasional melalui Program Makan Bergizi Gratis (MBG) terpenuhi. SDM dilatih untuk kesiapannya secara serentak dan tersebar ke seluruh Indonesia. </t>
  </si>
  <si>
    <t>https://t.co/SJBsZk2fv1</t>
  </si>
  <si>
    <t xml:space="preserve">PPU Siapkan Pangan Lokal untuk Sukseskan Program Makan Bergizi Gratis </t>
  </si>
  <si>
    <t>https://t.co/r1LeqNrNGw</t>
  </si>
  <si>
    <t xml:space="preserve">Indonesia masih menghadapi persoalan besar terkait sampah makanan. Hampir separuh tumpukan sampah nasional berasal dari makanan yang terbuang dan sebagian besar terjadi karena makanan tidak dihabiskan. Di tengah pelaksanaan Program Makan Bergizi Gratis, isu ini menjadi semakin </t>
  </si>
  <si>
    <t>https://t.co/3eNopJo5s5</t>
  </si>
  <si>
    <t xml:space="preserve">Bukan hanya sekadar makanan gratis! Juga fokus penuh naikin kualitas dan mutu makanan di program Makan Bergizi Gratis (MBG), yang sudah menyentuh ribuan siswa setiap hari. Setiap porsi dibuat dengan perhatian agar anak-anak dapat tumbuh sehat dan siap belajar. </t>
  </si>
  <si>
    <t>https://t.co/csqG6uMaiQ</t>
  </si>
  <si>
    <t xml:space="preserve">Program Makan Bergizi Gratis kini menjangkau ratusan ribu siswa dan ibu hamil di Kepri, memastikan pemerataan gizi hingga ke pelosok daerah demi masa depan generasi yang lebih sehat dan kuat. </t>
  </si>
  <si>
    <t>https://t.co/oyvetyRw51</t>
  </si>
  <si>
    <t xml:space="preserve">Program Makan Bergizi Gratis (MBG) memastikan setiap anak mendapat nutrisi layak, meningkatkan kesehatan sekaligus mendukung fokus belajar di sekolah. Sumber: </t>
  </si>
  <si>
    <t>https://t.co/vMr1Q5PWNJ</t>
  </si>
  <si>
    <t xml:space="preserve">Program Makan Bergizi Gratis (MBG) di Kepri sukses menjangkau 446.630 penerima manfaat, meliputi siswa, ibu hamil, menyusui, dan balita (3B). Didukung 161 SPPG, program ini menjangkau Batam secara masif, sementara pembangunan di daerah 3T masih berjalan. </t>
  </si>
  <si>
    <t>https://t.co/kKvu7pl7vd</t>
  </si>
  <si>
    <t xml:space="preserve">Program Makan Bergizi Gratis (MBG) diterapkan secara merata untuk semua siswa demi menciptakan kesetaraan di sekolah. Tujuannya meniru semangat seragam sekolah: menghapus sekat status sosial dan mencegah stigma dengan tidak memilah-milah penerima manfaat. </t>
  </si>
  <si>
    <t>https://t.co/mHAa6AXFHW</t>
  </si>
  <si>
    <t xml:space="preserve">Babinsa Dampingi Program Makan Bergizi Gratis di TK DWP Karangandong </t>
  </si>
  <si>
    <t xml:space="preserve">https://t.co/vOil2MxMc1 </t>
  </si>
  <si>
    <t>https://t.co/LoiEIq0NEP</t>
  </si>
  <si>
    <t xml:space="preserve">APBN 2026 menunjukkan pergeseran prioritas belanja pemerintah yang sangat besar, terutama melalui ekspansi anggaran pada program-program flagship seperti Program Makan Bergizi Gratis (MBG) dan Program Koperasi Desa (Kopdes). </t>
  </si>
  <si>
    <t>https://t.co/YTYCONqtHB</t>
  </si>
  <si>
    <t xml:space="preserve">Menteri Koordinator Bidang Pangan, Zulkifli Hasan, menyatakan optimismenya bahwa kualitas kecerdasan anak Indonesia dapat meningkat signifikan melalui Program Makan Bergizi Gratis (MBG). Zulhas menargetkan rata-rata IQ anak Indonesia bisa mencapai angka 120, jauh di atas </t>
  </si>
  <si>
    <t>https://t.co/JAzdIW9EZ1</t>
  </si>
  <si>
    <t xml:space="preserve">Sufmi dasco menyampaikan terima kasih atas dukungan masyarakat terhadap program-program pemerintah Presiden Prabowo Subianto, terutama Program Makan Bergizi Gratis (MBG) yang menjadi salah satu program unggulan untuk mencetak generasi bangsa yang lebih kuat dan sehat. </t>
  </si>
  <si>
    <t>https://t.co/xq4Q8S8OcN</t>
  </si>
  <si>
    <t xml:space="preserve">Kami percaya setiap anak berhak tumbuh kuat dan cerdas. Dengan program makan bergizi gratis, kita bersama membuka jalan bagi masa depan yang lebih sehat. Mari saling menjaga, memastikan tak ada piring yang kosong dan setiap langkah kecil menuju mimpi jadi lebih ringan. </t>
  </si>
  <si>
    <t>https://t.co/LxnlVbX5jh</t>
  </si>
  <si>
    <t>https://t.co/WcJRZ5dOGz</t>
  </si>
  <si>
    <t>https://t.co/VCLf4WQgce</t>
  </si>
  <si>
    <t>https://t.co/nTYiCdqw5W</t>
  </si>
  <si>
    <t xml:space="preserve">Program Makan Bergizi Gratis (MBG) terus memberi dampak nyata dengan meningkatkan kesejahteraan anak sekolah dan memperkuat kualitas sumber daya manusia sejak dini. Sumber: </t>
  </si>
  <si>
    <t xml:space="preserve">Program Makan Bergizi Gratis (MBG) kini menjangkau kelompok paling rentan: lansia, pemulung, anak jalanan, disabilitas, hingga masyarakat miskin. Harapan baru mengalir—tak boleh ada lagi warga Indonesia yang kesulitan mendapatkan makanan bergizi. Pemenuhan gizi untuk semua </t>
  </si>
  <si>
    <t>https://t.co/nYJOpoqz12</t>
  </si>
  <si>
    <t xml:space="preserve">Program Makan Bergizi Gratis (MBG) kini diperluas untuk mencakup jutaan warga Indonesia, dengan penerima manfaat yang menyentuh kelompok paling rentan seperti lansia, pemulung, anak jalanan, disabilitas, hingga masyarakat miskin. </t>
  </si>
  <si>
    <t>https://t.co/7XfmRBAI1J</t>
  </si>
  <si>
    <t xml:space="preserve">Visi utama Program Makan Bergizi Gratis (MBG) adalah memastikan semua anak Indonesia mendapat asupan gizi yang cukup untuk tumbuh optimal.Program ini menjadi pilar penting dalam upaya pemerintah menjamin kesehatan generasi penerus bangsa. </t>
  </si>
  <si>
    <t>https://t.co/q5TI4Vz9AV</t>
  </si>
  <si>
    <t xml:space="preserve">Program Makan Bergizi Gratis kini menyentuh lansia dan anak jalanan membawa harapan baru bagi jutaan warga Indonesia yang membutuhkan uluran tangan pemerintah. </t>
  </si>
  <si>
    <t>https://t.co/viEbeoU1Au</t>
  </si>
  <si>
    <t xml:space="preserve">Harapan baru terus mengalir. Program Makan Bergizi Gratis kini menyentuh lansia, pemulung, anak jalanan, hingga kelompok paling rentan. Semua berhak makan layak dan bergizi. ✨ </t>
  </si>
  <si>
    <t>https://t.co/2G9Kwb9hi4</t>
  </si>
  <si>
    <t xml:space="preserve">Sebuah mobil operasional program Makan Bergizi Gratis (MBG) menabrak sejumlah siswa dan satu guru di SDN 01 Kalibaru, Cilincing, Jakarta Utara, pada Kamis (11/12/2025) pagi. Insiden ini menyebabkan 20 orang korban luka-luka, terdiri dari 19 siswa dan 1 guru. </t>
  </si>
  <si>
    <t>https://t.co/GgzOp7z4RQ</t>
  </si>
  <si>
    <t xml:space="preserve">Kukar – Bhabinkamtibmas Polsek Anggana, Briptu Zidan Nur Alif, menghadiri kegiatan launching Satuan Pelayanan Pemenuhan Gizi (SPPG) dan Distribusi Perdana Program Makan Bergizi Gratis (MBG) Periode I yang digelar di Yayasan Fimizoe Mohammad Zulkifli. </t>
  </si>
  <si>
    <t>https://t.co/CvV7pVpGb8</t>
  </si>
  <si>
    <t>Horor di SD Cilincing! Mobil Program Makan Bergizi Gratis Nyelonong Masuk Halaman Sekolah, 20 Korban Berjatuhan...sedih...</t>
  </si>
  <si>
    <t>https://t.co/txOSYWwwDr</t>
  </si>
  <si>
    <t xml:space="preserve">Danrem 073/Makutarama Tinjau Program Makan Bergizi Gratis di SMK Bina Utama Kendal </t>
  </si>
  <si>
    <t>https://t.co/hO0Rflobr6</t>
  </si>
  <si>
    <t xml:space="preserve">Sufmi Dasco juga menyampaikan apresiasi atas dukungan masyarakat terhadap program-program pemerintahan Presiden Prabowo Subianto, terutama Program Makan Bergizi Gratis (MBG) yang digulirkan untuk membangun generasi muda yang lebih sehat dan kuat. </t>
  </si>
  <si>
    <t>https://t.co/BOFItrWBwm</t>
  </si>
  <si>
    <t xml:space="preserve">Program Makan Bergizi Gratis (MBG) hadir untuk meningkatkan status gizi generasi muda melalui pemberian makanan bergizi gratis dan kolaborasi lintas sektor secara berkelanjutan </t>
  </si>
  <si>
    <t>https://t.co/r92PQdXFSc</t>
  </si>
  <si>
    <t xml:space="preserve">Wakil Presiden (Wapres) Gibran Rakabuming Raka meminta aparat penegak hukum mengusut tuntas insiden mobil pengangkut makanan Program Makan Bergizi Gratis (MBG) yang menabrak siswa dan guru SDN 1 Kalibaru, Cilincing, Jakarta Utara, Kamis (11/12/2025). Kecelakaan tersebut </t>
  </si>
  <si>
    <t>https://t.co/Re5CdtU5IX</t>
  </si>
  <si>
    <t>Horor di SD Cilincing! Mobil Program Makan Bergizi Gratis Nyelonong Masuk Halaman Sekolah, 20 Korban Berjatuhan..Parah sih drivernya...</t>
  </si>
  <si>
    <t xml:space="preserve">Wakil Presiden Gibran Rakabuming Raka menyambangi RSUD Cilincing dan RSUD Koja, Jakarta Utara, Kamis (11/12/2025) sore. Kedatangannya dilakukan untuk menjenguk para pelajar SDN 01 Kalibaru yang menjadi korban tabrakan mobil pengangkut program Makan Bergizi Gratis (MBG). </t>
  </si>
  <si>
    <t>https://t.co/H0FVpLJ3o5</t>
  </si>
  <si>
    <t xml:space="preserve">Kemendikdasmen Dorong Penguatan Implementasi Program Makan Bergizi Gratis </t>
  </si>
  <si>
    <t>https://t.co/SzpzXBMybs</t>
  </si>
  <si>
    <t xml:space="preserve">Menginjak setahun implementasi program MBG, sudah semestinya evaluasi total dilakukan untuk mengukur capaian secara objektif. CELIOS mengundang seluruh masyarakat untuk hadir dalam Peluncuran Studi mengenai Evaluasi 1 Tahun Program Makan Bergizi Gratis dengan beberapa temuan </t>
  </si>
  <si>
    <t>https://t.co/v3stqIcvvQ</t>
  </si>
  <si>
    <t xml:space="preserve">Presiden Prabowo Perluas Manfaat Program Makan Bergizi Gratis, Guru Swasta hingga Honorer Kini Termasuk Penerima </t>
  </si>
  <si>
    <t>https://t.co/lUy4pvN056</t>
  </si>
  <si>
    <t xml:space="preserve">Arah kebijakan program Makan Bergizi Gratis (MBG) kini mengalami pergeseran signifikan. Presiden Prabowo Subianto meminta agar program unggulan tersebut tidak lagi diberikan secara universal, melainkan difokuskan secara spesifik kepada anak-anak yang mengalami kekurangan gizi dan </t>
  </si>
  <si>
    <t>https://t.co/XkAJKEXmh1</t>
  </si>
  <si>
    <t xml:space="preserve">Seorang santri yatim bernama Muhammad Zainuddin Alwi merasakan manfaat program Makan Bergizi Gratis (MBG) setelah bergabung di dapur SPPG Klodran sejak 2025. Melalui pekerjaannya, ia memperoleh penghasilan untuk membantu keluarga sekaligus menambah keterampilan sebagai bekal di </t>
  </si>
  <si>
    <t>https://t.co/BpoFNYkJFU</t>
  </si>
  <si>
    <t xml:space="preserve">Di balik senyum anak-anak, ada harapan besar untuk negeri ini. Polri turut mendampingi program makan bergizi gratis sebagai bentuk kepedulian terhadap tumbuh kembang generasi bangsa. Polri terus Menjamin Ketahanan Pangan Masyarakat dan #GiziUntukAnakIndonesia </t>
  </si>
  <si>
    <t>https://t.co/fIH8JiXxIp</t>
  </si>
  <si>
    <t xml:space="preserve">🔴 Program Makan Bergizi Gratis (MBG) yang digulirkan Presiden Prabowo Subianto memberikan dampak positif bagi pelaku usaha kecil di daerah. Salah satunya dirasakan oleh Sholikin, perajin tempe asal Desa Semen, Kabupaten Ngawi, Jawa Timur, yang mencatat peningkatan produksi </t>
  </si>
  <si>
    <t>https://t.co/4g5zpLPQnq</t>
  </si>
  <si>
    <t xml:space="preserve">Lonjakan biaya UKT di PTN saat ini menjadi ancaman nyata yang mengubah pendidikan tinggi dari hak warga negara menjadi privilege kelompok elite. Ketika anggaran pendidikan justru dialokasikan untuk program Makan Bergizi Gratis (MBG), negara tampak sedang melakukan kebijakan </t>
  </si>
  <si>
    <t>https://t.co/UeDzC1g76K</t>
  </si>
  <si>
    <t xml:space="preserve">Efektivitas Makan Bergizi Gratis terlihat dari dampak positif yang dirasakan langsung oleh masyarakat #MBG #MakanBergiziGratis </t>
  </si>
  <si>
    <t>https://t.co/bM4Nghqti5</t>
  </si>
  <si>
    <t xml:space="preserve">Wkwkwkwk... Rakyat harus terus kekurangan gizi agar program Makan Bergizi Gratis (MBG) tetap relevan selama 25 tahun </t>
  </si>
  <si>
    <t>https://t.co/5Om1hdR7ii</t>
  </si>
  <si>
    <t xml:space="preserve">Kepala Badan pengawas Obat dan Makanan (BPOM) RI, Taruna Ikrar, mengakui belum pernah sama sekali melakukan uji sampling program Makan Bergizi Gratis sejak program tersebut berjalan. </t>
  </si>
  <si>
    <t>https://t.co/HKXlikH6Ay</t>
  </si>
  <si>
    <t xml:space="preserve">Kolaborasi lintas sektor mempercepat pelaksanaan Program Makan Bergizi Gratis (MBG) </t>
  </si>
  <si>
    <t>https://t.co/owchE2Sico</t>
  </si>
  <si>
    <t xml:space="preserve">Personel Babinsa jajaran Kodim 1420/Sidrap melaksanakan kegiatan pendampingan penyaluran program Makan Bergizi Gratis di wilayah Kabupaten Sidrap, Senin (27/04/2026). </t>
  </si>
  <si>
    <t>https://t.co/TOyczgeyF6</t>
  </si>
  <si>
    <t xml:space="preserve">Makan bergizi gratis investasi masa depan bangsa. </t>
  </si>
  <si>
    <t>https://t.co/7qAl1SBhSv</t>
  </si>
  <si>
    <t xml:space="preserve">Berkat program Makan Bergizi Gratis, ia bisa makan sehat tanpa biaya. Harapannya, program ini terus berlanjut karena sangat berdampak nyata bagi kesehatan dan kebahagiaan siswa di seluruh Indonesia. </t>
  </si>
  <si>
    <t>https://t.co/P6YG4bHnH0</t>
  </si>
  <si>
    <t xml:space="preserve">@kangdede78 yang nulis program makan bergizi mengambil anggaran pendidikan dan kesehatan, bukan saya, tapi buku ini ✍️👇 </t>
  </si>
  <si>
    <t>https://t.co/0lEYOGO02a</t>
  </si>
  <si>
    <t xml:space="preserve">Fokus MBG diperjelas untuk memastikan Program Makan Bergizi Gratis benar-benar tepat sasaran bagi anak yang paling membutuhkan dan memberi dampak nyata bagi generasi sehat Indonesia #fyp #fypシ #viral #tiktokindonesia #trending #indonesia #beritaterkini #generasisehat #MBG </t>
  </si>
  <si>
    <t>https://t.co/6ZjrlU96zb</t>
  </si>
  <si>
    <t xml:space="preserve">Program Makan Bergizi Gratis bukan hanya soal kuantitas, tapi kualitas yang utama. Endipat Wijaya turun langsung ke Batam untuk memastikan operasional Dapur Bergizi berjalan sesuai standar higienis dan nutrisi yang telah ditetapkan. </t>
  </si>
  <si>
    <t>https://t.co/1xCWsxlxkz</t>
  </si>
  <si>
    <t xml:space="preserve">Dukungan masyarakat sangat diperlukan agar program Makan Bergizi Gratis berjalan optimal. Melalui Fokus MBG diperjelas, pelaksanaan program dapat lebih terarah, transparan, dan memberikan manfaat nyata bagi penerima. </t>
  </si>
  <si>
    <t>https://t.co/YI4Qp0saGx</t>
  </si>
  <si>
    <t xml:space="preserve">Menteri Koordinator Pemberdayaan Masyarakat (Menko PM) Muhaimin Iskandar atau Cak Imin mengatakan Program Makan Bergizi Gratis (MBG) menjadi salah satu yang berdampak untuk menekan angka kemiskinan ekstrem. Hal itu dia ungkapkan usai rapat Evaluasi… </t>
  </si>
  <si>
    <t xml:space="preserve">https://t.co/nfk2mTClRU </t>
  </si>
  <si>
    <t>https://t.co/cTMfn1uzZ1</t>
  </si>
  <si>
    <t xml:space="preserve">KABAR duka datang dari Kabupaten Cianjur, Jawa Barat, setelah seorang balita berinisial MAB (2) disebut meninggal dunia usai menyantap menu Makan Bergizi Gratis (MBG). </t>
  </si>
  <si>
    <t>https://t.co/oPviAI4XyU</t>
  </si>
  <si>
    <t xml:space="preserve">Program Makan Bergizi Gratis (MBG) tidak hanya berperan dalam meningkatkan asupan gizi masyarakat, tetapi mendorong terbentuknya rantai pasok pasar lokal berbasis komunitas. Seperti di Kelurahan Punden, Kabupaten Blora, Jawa Tengah, budidaya lele yg dikelola koperasi warga kini </t>
  </si>
  <si>
    <t>https://t.co/pF9G9DIt3M</t>
  </si>
  <si>
    <t xml:space="preserve">https://t.co/S0VNtyeQr6 </t>
  </si>
  <si>
    <t>https://t.co/Akitm6jIiW</t>
  </si>
  <si>
    <t xml:space="preserve">Andai saja CEO embegeh itu lebih memprioritaskan pendidikan seperti mas Pram ini, daripada makan siang bergizi gratis ( tapi bnyk tidak bergizinya, dan tidak gratis juga karena itu duit pajak rakyat ) yg berakhir di jamban. </t>
  </si>
  <si>
    <t>https://t.co/w9iYKpbl9E</t>
  </si>
  <si>
    <t xml:space="preserve">Sobatkom, Program Makan Bergizi Gratis (MBG) bukan hanya tentang pemenuhan gizi, tetapi juga tentang membangun ekosistem yang berkelanjutan. </t>
  </si>
  <si>
    <t>https://t.co/jzvtjVlPQU</t>
  </si>
  <si>
    <t xml:space="preserve">Pemerintah menghentikan sementara operasional 1.700 Satuan Pelayanan Pemenuhan Gizi (SPPG) setelah ditemukan adanya pengurangan porsi dalam pelaksanaan Program Makan Bergizi Gratis. Langkah ini diambil sebagai bentuk evaluasi dan penegakan standar guna memastikan kualitas serta </t>
  </si>
  <si>
    <t>https://t.co/Q2gaez6aZy</t>
  </si>
  <si>
    <t xml:space="preserve">Program Makan Bergizi Gratis (MBG) berdampak positif bagi gizi siswa, namun memicu keprihatinan terkait beban kerja guru dan ketimpangan gaji. Guru seringkali harus mengawasi distribusi makan, bahkan ada laporan gaji honorer jauh di bawah staf pendukung program. Di Jakarta, </t>
  </si>
  <si>
    <t>https://t.co/iCjaoJSh5Z</t>
  </si>
  <si>
    <t xml:space="preserve">Personel Babinsa jajaran Kodim 1420/Sidrap melaksanakan kegiatan pendampingan penyaluran program Makan Bergizi Gratis di wilayah Kabupaten Sidrap, Selasa (28/04/2026). </t>
  </si>
  <si>
    <t>https://t.co/Xqddx9fNgb</t>
  </si>
  <si>
    <t xml:space="preserve">Program Makan Bergizi Gratis (MBG) kini disesuaikan menjadi 4 hari dalam seminggu. Kebijakan ini merupakan bagian dari penajaman anggaran agar program tetap berjalan, namun lebih efisien dan terukur. </t>
  </si>
  <si>
    <t>https://t.co/MrArcARYTN</t>
  </si>
  <si>
    <t xml:space="preserve">Program Makan Bergizi Gratis di SMAN 3 Kota Tegal kembali berjalan setelah sempat terhenti selama satu bulan. Melalui SPPG Polri 2 Kejambon Kota Tegal, sebanyak 795 siswa kembali menerima asupan makanan bergizi pada penyaluran perdana program tersebut.🎥Han </t>
  </si>
  <si>
    <t>https://t.co/4UHh6mzhzT</t>
  </si>
  <si>
    <t xml:space="preserve">@prabowo Karena itu #PemerintahSiapDebat di ruang2 publik: dari tema makan bergizi gratis, ketimpangan sosial, sekolah rakyat hingga geopolitik dll </t>
  </si>
  <si>
    <t>https://t.co/I0VHS9w0Pj</t>
  </si>
  <si>
    <t xml:space="preserve">Program Makan Bergizi Gratis (MBG) </t>
  </si>
  <si>
    <t>https://t.co/BZgoXfCYR4</t>
  </si>
  <si>
    <t xml:space="preserve">Di Papua, MBG bukan sekadar makan siang gratis. Program ini bikin semangat sekolah naik, siswa makin rajin datang, dan mimpi anak-anak makin dekat digapai. Perut kenyang, semangat terbang. </t>
  </si>
  <si>
    <t>https://t.co/eSUhCztNQP</t>
  </si>
  <si>
    <t xml:space="preserve">MBG bukan cuma soal makan gratis, tapi game changer buat anak-anak Papua. Mereka jadi lebih rajin ke sekolah, lebih fokus belajar karena nggak lagi lapar. Ditambah menu yang lezat dan bergizi, bikin semangat belajar makin naik. </t>
  </si>
  <si>
    <t>https://t.co/tmD9AdP1Uo</t>
  </si>
  <si>
    <t xml:space="preserve">MBG (Makan Bergizi Gratis) menerapkan prinsip variasi menu agar kebutuhan nutrisi anak terpenuhi secara beragam. Variasi ini penting untuk mencegah kebosanan sekaligus memastikan asupan gizi lebih lengkap. </t>
  </si>
  <si>
    <t>https://t.co/ljupGXkIEx</t>
  </si>
  <si>
    <t xml:space="preserve">Pemerintah memastikan bahwa setiap rupiah dalam anggaran Makan Bergizi Gratis digunakan secara transparan dan akuntabel </t>
  </si>
  <si>
    <t>https://t.co/Ds8tgkBdx3</t>
  </si>
  <si>
    <t xml:space="preserve">Keberlanjutan program Makan Bergizi Gratis adalah tanggung jawab bersama demi mewujudkan Indonesia yang lebih hebat </t>
  </si>
  <si>
    <t>https://t.co/Qar6mYTuli</t>
  </si>
  <si>
    <t xml:space="preserve">Program Makan Bergizi Gratis tidak hanya memberi makan, tapi juga mengedukasi siswa tentang pentingnya pola makan sehat seumur hidup </t>
  </si>
  <si>
    <t>https://t.co/QElUcnLUBZ</t>
  </si>
  <si>
    <t xml:space="preserve">Ekonom Malaysia menyebut program Makan Bergizi Gratis sebagai investasi besar bagi masa depan. Tepat sekali, karena anak yang sehat dan tercukupi gizinya hari ini adalah tenaga produktif dan generasi unggul di masa depan ✊🇮🇩 </t>
  </si>
  <si>
    <t>https://t.co/H9FIdKx1cE</t>
  </si>
  <si>
    <t xml:space="preserve">Kepala BGN Ajak Kampus Bangun Dapur Makan Bergizi Gratis </t>
  </si>
  <si>
    <t>https://t.co/QIQHPtr5aR</t>
  </si>
  <si>
    <t xml:space="preserve">Program Makan Bergizi Gratis (MBG) ternyata punya dampak luar biasa di Papua! Di wilayah pesisir Danau Sentani, semangat anak-anak untuk bersekolah meningkat drastis. </t>
  </si>
  <si>
    <t>https://t.co/b5hvGANphq</t>
  </si>
  <si>
    <t xml:space="preserve">Program Makan Bergizi Gratis terbukti efektif meningkatkan kepuasan dan kesejahteraan masyarakat #MBG #MakanBergiziGratis </t>
  </si>
  <si>
    <t>https://t.co/8tZARWlQUg</t>
  </si>
  <si>
    <t xml:space="preserve">Kebijakan Makan Bergizi Gratis menghadirkan manfaat nyata bagi peningkatan kualitas hidup masyarakat #MBG #MakanBergiziGratis </t>
  </si>
  <si>
    <t>https://t.co/A04rtM5u8M</t>
  </si>
  <si>
    <t xml:space="preserve">Pemerintahan Prabowo-Gibran menunjukkan efektivitas program melalui Makan Bergizi Gratis yang dirasakan langsung oleh masyarakat #MBG #MakanBergiziGratis </t>
  </si>
  <si>
    <t>https://t.co/L5kBGMeMIQ</t>
  </si>
  <si>
    <t xml:space="preserve">Program Makan Bergizi Gratis menjadi solusi nyata dalam meningkatkan kesejahteraan dan kualitas gizi masyarakat #MBG #MakanBergiziGratis </t>
  </si>
  <si>
    <t>https://t.co/MYmkSEHUqC</t>
  </si>
  <si>
    <t xml:space="preserve">Ekonom global asal Malaysia, Shan Saeed, menilai program Makan Bergizi Gratis (MBG) bukan sekadar bantuan sosial, melainkan investasi besar bagi masa depan Indonesia. </t>
  </si>
  <si>
    <t>https://t.co/HBLBWlrcNO</t>
  </si>
  <si>
    <t xml:space="preserve">Efektivitas Makan Bergizi Gratis terlihat dari meningkatnya kepuasan masyarakat terhadap program pemerintah #MBG #MakanBergiziGratis </t>
  </si>
  <si>
    <t>https://t.co/SRjt0bjoCd</t>
  </si>
  <si>
    <t xml:space="preserve">Presiden Prabowo Subianto meninjau langsung hasil revitalisasi sekolah serta pelaksanaan program Makan Bergizi Gratis (MBG) di SMAN 1 Cilacap pada Rabu (29/4/2026). Prabowo melihat kondisi fasilitas sekolah pasca revitalisasi serta berinteraksi dengan siswa dan tenaga pendidik </t>
  </si>
  <si>
    <t>https://t.co/2KwJn9TN5q</t>
  </si>
  <si>
    <t xml:space="preserve">Program Makan Bergizi Gratis memberikan dampak positif bagi kesejahteraan masyarakat secara luas #MBG #MakanBergiziGratis </t>
  </si>
  <si>
    <t>https://t.co/qSLB0T2TiH</t>
  </si>
  <si>
    <t xml:space="preserve">Makan Bergizi Gratis menjadi bukti nyata program pemerintah yang efektif dan dirasakan manfaatnya #MBG #MakanBergiziGratis </t>
  </si>
  <si>
    <t>https://t.co/AgLWAJXby2</t>
  </si>
  <si>
    <t xml:space="preserve">Program Makan Bergizi Gratis mendukung peningkatan kesejahteraan masyarakat melalui akses gizi yang lebih baik #MBG #MakanBergiziGratis </t>
  </si>
  <si>
    <t>https://t.co/z4Kn5J1xVE</t>
  </si>
  <si>
    <t xml:space="preserve">Efektivitas Program Makan Bergizi Gratis menunjukkan komitmen pemerintah dalam meningkatkan kepuasan publik #MBG #MakanBergiziGratis </t>
  </si>
  <si>
    <t>https://t.co/1hIHDHC076</t>
  </si>
  <si>
    <t xml:space="preserve">Indonesia kini bukan lagi pengikut, tapi Trendsetter Gizi di Asia Tenggara! Program Makan Bergizi Gratis (MBG) jadi bukti nyata bahwa manajemen bangsa kita mampu jadi kiblat bagi negara tetangga. Dari Indonesia untuk ASEAN! 🇮🇩✨#jagaindonesia #rakyatbiasaprima #indonesiaprima </t>
  </si>
  <si>
    <t>https://t.co/nV2qQlkEGw</t>
  </si>
  <si>
    <t xml:space="preserve">Manfaat Program Makan Bergizi Gratis itu mampu menekan gangguan belajar akibat rasa lapar, dan siswa dapat lebih fokus untuk menyimak pelajaran </t>
  </si>
  <si>
    <t>https://t.co/WbQpgoSy2b</t>
  </si>
  <si>
    <t xml:space="preserve">Program Makan Bergizi Gratis sukses besar! jutaan penerima manfaat, lapangan kerja kebuka, ekonomi lokal stonks 📈#ProgramMBG #MakanBergiziGratis #BantenSukses #EkonomiLokalBergerak #GiziTerpenuhi #GenerasiKuat #BantenMajuBersama #AndraSoni #GubernurBanten #IndonesiaEmas2045 </t>
  </si>
  <si>
    <t>https://t.co/IRZ3h2IdIt</t>
  </si>
  <si>
    <t xml:space="preserve">Program Makan Bergizi Gratis di Banten terus membuktikan hasil nyata. Lebih dari 2 juta penerima manfaat, ribuan lapangan kerja terbuka, dan ekonomi lokal bergerak. Gizi terpenuhi, generasi Banten makin kuat! 🍱💪🇮🇩 </t>
  </si>
  <si>
    <t>https://t.co/xOABydvAf5</t>
  </si>
  <si>
    <t xml:space="preserve">Gak cuma kasih makan, tapi juga kasih kepastian. Dengan evaluasi ini, program Makan Bergizi Gratis makin transparan dan akuntabel. Kita dukung penuh! 👍🇮🇩 </t>
  </si>
  <si>
    <t>https://t.co/NDGA1vDkib</t>
  </si>
  <si>
    <t xml:space="preserve">Presiden @prabowo Subianto melakukan inspeksi mendadak terhadap hasil revitalisasi sekolah serta pelaksanaan Program Makan Bergizi Gratis (MBG) di SMAN 1 Cilacap, Jawa Tengah, Rabu (29/4/2026). </t>
  </si>
  <si>
    <t>https://t.co/NuFmsZ700w</t>
  </si>
  <si>
    <t xml:space="preserve">Senyum anak-anak Papua merekah berkat program Makan Bergizi Gratis. Kini mereka lebih bersemangat berangkat sekolah dan belajar karena asupan gizi yang terjamin. Harapan baru sedang tumbuh di Bumi Cendrawasih untuk masa depan Indonesia yang lebih cerah. </t>
  </si>
  <si>
    <t>https://t.co/NwpSaoaruP</t>
  </si>
  <si>
    <t xml:space="preserve">Indonesia kembali membuktikan kepemimpinannya di kancah regional! 🇮🇩 Melalui program Makan Bergizi Gratis (MBG), kita tidak hanya membangun generasi emas di dalam negeri, tapi juga menjadi kiblat gizi bagi negara-negara tetangga di ASEAN. </t>
  </si>
  <si>
    <t>https://t.co/ginOyqyucY</t>
  </si>
  <si>
    <t xml:space="preserve">Anggota DPR RI Fraksi Gerindra, Ma’ruf Mubarok (Gus Mamak), melakukan kunjungan kerja pengawasan ke SPPG Jatirejoyoso 3, Malang. Kunjungan ini bertujuan memastikan kualitas dan standar program Makan Bergizi Gratis (MBG) terjaga demi kesejahteraan masyarakat. </t>
  </si>
  <si>
    <t>https://t.co/uQT1f60QXM</t>
  </si>
  <si>
    <t xml:space="preserve">Program Makan Bergizi Gratis (MBG) yang didorong Asosiasi Pengusaha Dapur buat lanjut sampai 25 tahun ini bikin geleng-geleng, apalagi kalau anggarannya segede itu 😅 #fraksipdiperjuangan #pdiperjuangan #MBG #dapurMBG #lanjut25tahunkedepan </t>
  </si>
  <si>
    <t>https://t.co/Su69mmaT4J</t>
  </si>
  <si>
    <t xml:space="preserve">Di tengah keraguan dalam negeri, justru kawasan ASEAN mulai melirik dan belajar dari Indonesia. Program Makan Bergizi Gratis (MBG) kini tak lagi sekadar inisiatif nasional, tetapi telah menjadi contoh praktik terbaik yang dibagikan ke berbagai negara di Asia.#jagaindonesia </t>
  </si>
  <si>
    <t>https://t.co/1cNxrGHMnK</t>
  </si>
  <si>
    <t xml:space="preserve">Banten: 2,9 juta menerima program makan bergizi! Ayo dukung! </t>
  </si>
  <si>
    <t>https://t.co/GijknXhJCU</t>
  </si>
  <si>
    <t xml:space="preserve">Makan Bergizi Gratis (MBG) beneran jadi harapan baru buat adek-adek di Papua! Liat deh senyum mereka pas makan, jadi makin semangat sekolah &amp;amp; belajar. Programnya gacor parah buat masa depan anak bangsa! 🍱🇮🇩🔥 </t>
  </si>
  <si>
    <t>https://t.co/Pr4hwHwS7U</t>
  </si>
  <si>
    <t xml:space="preserve">Makan Bergizi Gratis bukan sekadar bantuan, tetapi bagian dari Transformasi Gizi Bangsa yang diperkuat oleh Pilar MBG Kuat untuk meningkatkan kualitas SDM </t>
  </si>
  <si>
    <t>https://t.co/HXt6VY3Oya</t>
  </si>
  <si>
    <t xml:space="preserve">Program MBG Prabowo dibilang KONYOL &amp;amp; DZALIM oleh KH Marzuki Mustamar! Masa anak orang kaya di sekolah elit dipaksa makan siang gratis standar 10 ribu? Bisa-bisa cuma diliatin doang! Anggaran negara kok dipaksain buat yang gak butuh?  #KebijakanKonyol #MBG #KHMarzukiMustamar" </t>
  </si>
  <si>
    <t>https://t.co/Mswlye02Og</t>
  </si>
  <si>
    <t xml:space="preserve">Dukung Program Makan Bergizi Gratis </t>
  </si>
  <si>
    <t>https://t.co/0T0BPdcvjO</t>
  </si>
  <si>
    <t>https://t.co/tyaQrL4qVh</t>
  </si>
  <si>
    <t>https://t.co/AkzlXNK83H</t>
  </si>
  <si>
    <t>Presiden Prabowo Subianto menegaskan bahwa hingga saat ini banyak negara belajar program Makan Bergizi Gratis (MBG) karena pemerintah Indonesia melalui kebijakan itu mampu melayani lebih dari 60 juta penerima manfaat secara rutin.</t>
  </si>
  <si>
    <t>https://t.co/Om1CsKfGVW</t>
  </si>
  <si>
    <t xml:space="preserve">Pemerintah terus memperkuat komitmen dalam menjaga kepercayaan publik melalui perbaikan Program Makan Bergizi Gratis. Langkah ini dilakukan untuk memastikan kualitas, akuntabilitas, dan keberlanjutan program tetap terjaga demi peningkatan gizi masyarakat. </t>
  </si>
  <si>
    <t>https://t.co/MyTkog9dKo</t>
  </si>
  <si>
    <t xml:space="preserve">Gus Mamak turun langsung meninjau kesiapan dan kebersihan dapur Program Makan Bergizi Gratis (MBG) di Malang. Bukan sekadar meninjau, beliau ingin memastikan bahwa setiap piring yang tersaji mengandung gizi seimbang dan diolah dengan standar higienitas yang tinggi. </t>
  </si>
  <si>
    <t>https://t.co/doy9AYFbOo</t>
  </si>
  <si>
    <t xml:space="preserve">Presiden Prabowo Subianto menyampaikan kebermanfaatan program prioritas Makan Bergizi Gratis (MBG) dan Koperasi Desa/Kelurahan Merah Putih (KDKMP) dalam sambutannya di Cilacap, Rabu (29/4/2026). Terkait MBG, ia menjelaskan bahwa banyak negara kini menjadikannya referensi karena </t>
  </si>
  <si>
    <t>https://t.co/t9Pat1L7NN</t>
  </si>
  <si>
    <t xml:space="preserve">Kepala Badan Gizi Nasional (BGN) mendorong perguruan tinggi ikut terlibat dalam pembangunan dapur program Makan Bergizi Gratis (MBG). Kampus dinilai memiliki sumber daya, pengetahuan, dan kapasitas untuk membantu memperluas jangkauan sekaligus meningkatkan kualitas pelaksanaan </t>
  </si>
  <si>
    <t>https://t.co/cPZYGIgmtK</t>
  </si>
  <si>
    <t xml:space="preserve">Program Makan Bergizi Gratis (MBG) yang dikembangkan pemerintah mulai mendapat pengakuan regional dan dibagikan sebagai praktik terbaik di kawasan ASEAN. </t>
  </si>
  <si>
    <t>https://t.co/cORfXhDpRJ</t>
  </si>
  <si>
    <t xml:space="preserve">Tingkatkan Kualitas Belajar Anak-Anak Aceh. Melalui Program Makan Bergizi Gratis. Mari Kita Dukung Makan Bergizi Gratis Demi Masa Depan Anak Aceh #PenuhiGiziIndonesia #Indonesiaemas #AstaCita #Indonesiamaju #GiziBaik #MakananBergizi </t>
  </si>
  <si>
    <t>https://t.co/VGZZ3HdbUn</t>
  </si>
  <si>
    <t xml:space="preserve">Mari Dukung Makan Bergizi Gratis Untuk Anak-anak Aceh. Pemerintah Tunjukkan Komitmen Untuk Anak-anak Sekolah Aceh Makan Bergizi Gratis #PenuhiGiziIndonesia #Indonesiaemas #AstaCita #Indonesiamaju #GiziBaik #MakananBergizi </t>
  </si>
  <si>
    <t>https://t.co/G1oTIZKYWc</t>
  </si>
  <si>
    <t xml:space="preserve">Melalui Makan Bergizi Gratis kita bersama membangun ketahanan fisik serta mental generasi penerus bangsa yang tangguh. </t>
  </si>
  <si>
    <t>https://t.co/ue0zgFgQI3</t>
  </si>
  <si>
    <t xml:space="preserve">Mari kita kawal kesuksesan Program Makan Bergizi Gratis demi mewujudkan cita-cita besar Indonesia Maju 2045. </t>
  </si>
  <si>
    <t>https://t.co/1luYtOAtP4</t>
  </si>
  <si>
    <t xml:space="preserve">Program Makan Bergizi Gratis (MBG) hadir sebagai langkah nyata mewujudkan generasi emas. Kuncinya bukan cuma porsi yang banyak, tapi Gizi Seimbang yang terjaga </t>
  </si>
  <si>
    <t>https://t.co/FVqeg54mqD</t>
  </si>
  <si>
    <t xml:space="preserve">Setiap suapan dalam program Makan Bergizi Gratis adalah langkah kita memutus rantai stunting dan meningkatkan kualitas SDM Indonesia </t>
  </si>
  <si>
    <t>https://t.co/I136JC8oXB</t>
  </si>
  <si>
    <t>Jelang Lebaran, Perusahaan Mulai Booking Bus untuk Program Mudik Gratis. .  #Sindonews #BukanBeritaBiasa .</t>
  </si>
  <si>
    <t>https://t.co/TuqlqY3ysc</t>
  </si>
  <si>
    <t xml:space="preserve">Prabowo menunjukkan komitmen nyata pada masa depan dengan memberikan Makan Siang Gratis yang bergizi untuk anak-anak sekolah. #GiziUntukBangsa . . </t>
  </si>
  <si>
    <t xml:space="preserve">https://t.co/mzLBqVCQfL </t>
  </si>
  <si>
    <t>https://t.co/t6IZggkXHz</t>
  </si>
  <si>
    <t xml:space="preserve">Program Prabowo: makan gratis kpd pelajar, ibu hamil. . . Jumlah pelajar: 44 juta.. . Mari kita hitung biaya makan gratis bagi pelajar saja.. .  Untuk 1x makan: 44 juta pelajar x Rp50 ribu per porsi. (Harga segitu dianggap sdh bergizi lengkap).. . Maka dlm sekali makan, anggaran negara </t>
  </si>
  <si>
    <t>https://t.co/eXaMcQBFLb</t>
  </si>
  <si>
    <t xml:space="preserve">Makanan gratis dan bergizi untuk ibu-ibu yang sedang hamil setiap tahun, karena ini untuk memperkuat bayi2 dalam rahimnya. Semuanya 77 juta jiwa," katanya.. . Pak Kencing Aja Bayar gimana ceritanya nih? 😂.  </t>
  </si>
  <si>
    <t>https://t.co/Ii5NHuX7ln</t>
  </si>
  <si>
    <t>Tapi memang agak aneh sih wacana "makan gratis" ini.. . Klo tujuannya mau mencegah stunting dengan membekali ibu hamil dan anak dengan makanan bergizi, baiknya dikemas ulang deh narasinya.. . Jangan cuma sekedar nyebut "Program Makan Gratis".</t>
  </si>
  <si>
    <t xml:space="preserve">Saat ide pembagian susu dan makan siang bergizi gratis bagi siswa di tertawakan buzzer sebelah (ntah karena tugas atau betulan), kami para orang tua di negeri ini justru merasa itu program luar biasa yg sangat membantu. . . Mencetak generasi unggul salah satunya melalui asupan </t>
  </si>
  <si>
    <t>https://t.co/dyfOMD1fLb</t>
  </si>
  <si>
    <t>Program makan siang gratis buat anak itu bisa jd sarana utk stabilitas ekonomi. Rumus GDP = C +G + I + (X-M).. Kalo pengeluaran pemerintah besar dan rutin, GDP jg akan stabil.. Tugas kita tinggal ngawasin kualitas makanan yg diberikan, harus bersih, sehat, bergizi, &amp;amp; bebas korupsi</t>
  </si>
  <si>
    <t>Pak @prabowo sudah memikirkan kondisi sprt ini tuk janji kampanye ngasih makan gratis anak sekolah seluruh Indonesia?. . Lagian makanan bergizi program stunting itu untuk ibu hamil bukan untuk anak-anak!</t>
  </si>
  <si>
    <t xml:space="preserve">Program makan siang dan susu gratis untuk murid Indonesia. . Keren banget ini pak @Prabowo @gibran_tweet . . Makanan dan minuman bergizi utk penerus bangsa adalah investasi terbesar. . Justru program ini dapat dirasakan langsung oleh rakyat. . Tagar #PrabowoArogan adalah bentuk kepanikan </t>
  </si>
  <si>
    <t>https://t.co/psNM4W0HIh</t>
  </si>
  <si>
    <t xml:space="preserve">program Makan Siang dan Susu Gratis bagi siswa dan ibu hamil semoga makanan nya bergizi . #MakanSiangSusuGratis </t>
  </si>
  <si>
    <t>https://t.co/3IkxAt2uqe</t>
  </si>
  <si>
    <t xml:space="preserve">Prabowo mengungkapkan program pemberian susu dan telor atau makanan bergizi tersebut sebagai upaya mengatasi masalah stunting dan angka kemiskinan dari akar masalahnya.. #MakanGratis. </t>
  </si>
  <si>
    <t>https://t.co/MAlyUIcfdX</t>
  </si>
  <si>
    <t>@GpFor2024 @99propaganda @alextham878 @bengkeldodo @P4P4B0W0_2024 @Minietweets_ @mpoklela7 @ignasbowo @Kimberley_2024 @Chaves1305 Yakin, semua mampu kasih makanan bergizi tinggi tiap hari agar anak2 kesehatan dan kecerdasannya ToP abis. . . Ntar pakai ahli gizi lho di program makan siang gratis. Tak asal kenyang. Tapi sehat cerdas ✌. . Ini baru program riil. Ini baru satu.</t>
  </si>
  <si>
    <t xml:space="preserve">Program makan siang gratis dibedah dalam 2 menit sama Bang @hotradero . Lagian yah makan gratis ini program yg absurd banget, dan gak akan bisa dilaksanakan. Kalo tetep dipaksaain yg ada cm jd bahan bancakan doang. Alih2 anak2 dapet makanan bergizi yg ada bakalan dpt makanan basi! </t>
  </si>
  <si>
    <t>https://t.co/Zuf7Ysv6GV</t>
  </si>
  <si>
    <t>@andre_rosiade Program konyol makan siang gratis. Untuk mendapatkan proyek.  Investasi apaan kek gitu. . Kalau memang punya gagasan cukup  menstabilkan harga pokok  semua  warga2 bisa membeli  makan yg sehat menciptakan lapangan kerja. Semua org mendapatkan uang  buat mmbeli kebutuhan yg bergizi</t>
  </si>
  <si>
    <t>@kompascom Mereka yang nyaris tidak pernah  lapar , akan sulit bayangkan dan rasakan,  kalau seseorang lagi lapar betulan.  . Rakyat miskin, tentu setuju program makan siang gratis anak sekolah. . Karena negara harus jamin rakyat nya tidak lapar. . Minimal dalam 1 hari ada makan yang bergizi.</t>
  </si>
  <si>
    <t>Program makan &amp;amp; susu gratis, yang konon untuk mengatasi gizi buruk ini program pembodohan secara terstruktural, untuk mengatasi gizi buruk buka seluas-luasnya akses pekerjaan, sehingga semua keluarga ada penghasilan yg cukup untuk ngasi makan yg bergizi keluarganya. #NoAsamSulfat</t>
  </si>
  <si>
    <t xml:space="preserve">Program Makan Bergizi Gratis Uji Coba, Anggaran Rp10 Ribu Per Porsi Ditetapkan . .  </t>
  </si>
  <si>
    <t>https://t.co/4nHdmLjpmq</t>
  </si>
  <si>
    <t xml:space="preserve">Melibatkan ibu adalah kunci keberhasilan program makan bergizi gratis 💚💚 @cakiminow . . #makanbergizigratis #gusmuhaimin #menkopm </t>
  </si>
  <si>
    <t>https://t.co/M0nGLcTHhv</t>
  </si>
  <si>
    <t xml:space="preserve">Kali ini program makan siang bergizi gratis digelar di SDN Gintungkerta 1, Kecamatan Klari,.... </t>
  </si>
  <si>
    <t>https://t.co/3YCG0zSlzf</t>
  </si>
  <si>
    <t xml:space="preserve">Dalam rangka memberikan perlidungan dan jaminan sosial kepada Penyandang Disabilitas, Kementerian sosial pada tahun 2025 telah merencanakan empat program bagi penyandang disabilitas, salah satunya program makan bergizi gratis dua kali sehari kepada 42 ribu orang penyandang 	https://t.co/iZDSmkPowQ_x000D_
Makan Bergizi Gratis: Bukan Sekadar Program 🍎. . Prabowo-Gibran tahu, makan bergizi adalah langkah awal melawan stunting.. . Tapi gimana caranya agar program ini tepat sasaran?. . Yuk, #PantauPrabowo bersama-sama! 🍚. . 📍	https://t.co/838NmIEEIh 	https://t.co/cFDHwJakMR_x000D_
Hari ini kami simulasi program Makan Bergizi Gratis di SDN Anggadita I. Kali ini kami menyiapkan 928 paket makanan untuk dibagikan. 	https://t.co/ylt2IRQax6_x000D_
Sambut Prabowo di NTT, Warga Kupang Optimistis dengan Program Makan Bergizi Gratis. . Kupang — Para masyarakat Nusa Tenggara Timur (NTT) menyambut antusias kedatangan Presiden RI Prabowo Subianto di Kupang. Salah satu dari mereka pun mengaku optimistis dengan program Makan Bergizi 	https://t.co/GCSmINKFYQ_x000D_
Sejumlah perwakilan masyarakat yang menyambut antusias kedatangan Presiden  Prabowo Subianto di Kupang selasa malam, menyampaikan harapan besar terhadap program Makan Bergizi Gratis (MBG) yang digagas Presiden Prabowo Subianto untuk bisa segera dirasakan manfaatnya._x000D_
Warga Kupang Optimistis dengan Program Makan Bergizi Gratis yang Digencarkan Prabowo. 	https://t.co/VZdZgTHU0d_x000D_
Karangasem Belum Anggarkan Program Makan Bergizi Gratis Untuk Siswa #BNetwork. 	https://t.co/DYhp4ITIhN_x000D_
Kementerian Sosial (Kemensos) telah merencanakan empat program bagi penyandang disabilitas di 2025 dalam rangka memberikan perlindungan dan jaminan sosial kepada para difabel. keempat program itu meliputi Program makan bergizi Gratis, Program Keluarga Harapan, Bantuan Pangan Non 	https://t.co/aoqwzfCG5D_x000D_
Kemenkop Dorong Penguatan Peran Koperasi dalam Program Makan Bergizi Gratis. 	https://t.co/wAsJBO8qKJ_x000D_
Prabowo Tak Ambil Pusing Harga Index Saham Turun dengan Program Makan Bergizi Gratis -  	https://t.co/ipBPMjEdVL 	https://t.co/LVR9pT4X01_x000D_
Warga Harap Program Makan Bergizi Gratis Prabowo Bisa Bantu Anak-Anak di NTT. 	https://t.co/Ot8tedDzRs_x000D_
Ketika TNI AU Turun Ikut Sukseskan Program Makan Bergizi Gratis. . 	https://t.co/g85lzxPjZG_x000D_
Prabowo Diancam-ancam Jalankan Program Rakyat, Termasuk Makan Bergizi Gratis. 	https://t.co/N766ZshhrR_x000D_
Badan Pangan Nasional (Bapanas) melaksanakan kajian untuk menentukan menu program Makan Bergizi Gratis (MBG) sesuai dengan potensi bahan pangan yang diproduksi di setiap daerah di Indonesia.. . Berikut daftar menu Makan Bergizi Gratis di berbagai daerah.. . #bisnisupdate #update 	https://t.co/ehOvULnDPU_x000D_
Badan Pangan Nasional (Bapanas) melaksanakan kajian untuk menentukan menu program Makan Bergizi Gratis (MBG) sesuai dengan potensi bahan pangan yang diproduksi di setiap daerah di Indonesia.. . Berikut daftar menu Makan Bergizi Gratis di berbagai daerah.. . #bisnisupdate #update 	https://t.co/jPR8a7nHKH_x000D_
POLDA KEPRI BERSINERGI LAKSANAKAN RAPAT KOORDINASI: SUKSESKAN PROGRAM MAKAN BERGIZI GRATIS. . .. .. . @divisihumaspolri @polripresisi @mabespolrinews @ini_polisi @polisi_indonesia @halo_polisi . . #HumasPoldaKepri #Multimediapoldakepri . #Prabowopresidenri 	https://t.co/My9KFZP7vD_x000D_
PGN Dukung Program Makan Bergizi Gratis. #makanbergizi #programmakangratis #programpresiden #BadanGiziNasional #infrastrukturjaringangas @Gas_Negara . . 	https://t.co/JpiXdybRax_x000D_
Pulang dari luar negeri setelah lawatan sejak 8 November, Presiden Prabowo Subianto membawa komitmen sejumlah negara untuk mewujudkan program makan bergizi gratis.. . #tempoplus #tempo #prabowosubianto #makan #bergizi #gratis 	https://t.co/rgUDtMXh9S_x000D_
Pemprov Lampung Harap Program Makan Bergizi Gratis Tingkatkan Ekonomi Lokal. . 	https://t.co/wtAzRCoVvJ_x000D_
F-PKS Dukung One Day One Fish untuk Program Makan Bergizi Gratis 🇮🇩. . || Riyono (Anggota Komisi IV DPR RI dari F-PKS). . #fraksipksdprri . #PKSpembelaRakyat . #PKS 	https://t.co/G08j4n7YfB_x000D_
F-PKS Dukung One Day One Fish untuk Program Makan Bergizi Gratis 🇮🇩. . || Riyono (Anggota Komisi IV DPR RI dari F-PKS). . #fraksipksdprri . #PKSpembelaRakyat . #PKS 	https://t.co/bYZJkGjz0B_x000D_
TVRINEWS, YOGYAKARTA - Pemerintah Kabupaten (PEMKAB) Kulonprogo mengalokasikan anggaran sebesar 29,5 miliar rupiah untuk program makan bergizi gratis pada tahun 2025 mendatang. Alokasi ini diambil dari pendapatan asli daerah, termasuk menotong sejumlah anggaran untuk berbagai 	https://t.co/B1hwDPZ9jc_x000D_
	https://t.co/QdOUrOSHmb. . IPOL.ID- Bank Mandiri terus konsisten menjalankan peran sebagai mitra strategis pemerintah lewat dukungan Program Makan Bergizi Gratis lewat penyaluran kredit ke sektor-sektor yang menjadi pendukung utama ekosistem pangan.. . #mandiri. #livinbymandiri. #ipol 	https://t.co/miX3mapyIb_x000D_
Bank Mandiri dukung ekonomi kerakyatan lewat program Makan Bergizi Gratis, dorong pertumbuhan ekonomi kerakyatan yang berkelanjutan - Lombok Insider_x000D_
Badan Gizi Nasional (BGN) dan seluruh mitra Kerja termasuk PEKNAS - Penguatan Ekonomi Kerakyatan Nasional (DPP-PEKNAS), Fokus terhadap program MBG (MAKAN BERGIZI GRATIS), agar berjalan Baik dan Lancar.. 🌾. 🌾. #PEKNAS. #BadanGiziNasional. #EkonomiKerakyatan 	https://t.co/7S1dfeaKSi_x000D_
Bank Mandiri terus konsisten menjalankan peran sebagai mitra strategis pemerintah lewat dukungan Program Makan Bergizi Gratis lewat penyaluran kredit ke sektor-sektor yang menjadi pendukung utama ekosistem pangan.. . Baca selengkapnya : 	https://t.co/0T2rRZc4bK 	https://t.co/kPqLw1xaOj_x000D_
#Bireuen #ProgramMakanBergiziGratis . . Polres Bireuen Gelar Program Makan Bergizi Gratis, Seorang Murid Bawa Pulang Untuk Adiknya. . 	https://t.co/XJwj2QmhdE via @tribunnews_x000D_
Menkop Apresiasi Dukungan Muslimat NU Dalam Program Makan Bergizi Gratis #BNetwork . 	https://t.co/WqVHI6usWg_x000D_
Menkop apresiasi dukungan Muslimat NU dalam program Makan Bergizi Gratis. 	https://t.co/ukxMqPlfsT_x000D_
Dukung Program Makan Bergizi Gratis, Induk KUD Siapkan Pengamanan Pasokan. . 	https://t.co/UAIkVfo2Jp_x000D_
Bank Mandiri Dukung Program Makan Bergizi Gratis, Dorong Pertumbuhan Ekonomi Kerakyatan yang Berkelanjutan 	https://t.co/tX3jtTIox7  ..._x000D_
Menteri Pendidikan Dasar dan Menengah (Mendikdasmen) Abdul Mu'ti menyebut program Makan Bergizi Gratis bisa mengajarkan anak-anak agar tidak hidup boros.. . Makan siang gratis ini sebagai bagian dari penanaman dan pembiasaan pendidikan karakter bagi anak-anak," kata Abdul Mu'ti di </t>
  </si>
  <si>
    <t>https://t.co/wY8WBbGITD</t>
  </si>
  <si>
    <t xml:space="preserve">Pemerintah Kota (Pemkot) Tangerang Selatan sudah mulai melakukan uji coba program Makan Bergizi Gratis (MBG) yang merupakan salah satu program unggulan Presiden Prabowo Subianto.. . Sekolah pertama yang dilakukan uji coba makan bergizi gratis yaitu TK Negeri Pembina 1 di Ciputat. </t>
  </si>
  <si>
    <t>https://t.co/mBVszC0k06</t>
  </si>
  <si>
    <t xml:space="preserve">Kampung Sayur di Yogya Bakal Supply Bahan untuk Program Makan Bergizi Gratis . #KampungSayur #MakanGratis #MakanBergiziGratis. </t>
  </si>
  <si>
    <t>https://t.co/WUyGTpbl8r</t>
  </si>
  <si>
    <t xml:space="preserve">Program Makan Bergizi Gratis akan mulai dilaksanakan. Pakar ini menyebut pemerintah harus memperhatikan kesesuaian menu dengan keperluan tiap siswa.. . Via @detik_edu  </t>
  </si>
  <si>
    <t>https://t.co/HYxys4av4B</t>
  </si>
  <si>
    <t xml:space="preserve">BPOM RI akan terlibat dalam program makan bergizi gratis yang diprioritaskan Presiden Prabowo, mulai dari rumah produksi hingga distribusi. Begini perannya.. </t>
  </si>
  <si>
    <t>https://t.co/9iQqwBxYss</t>
  </si>
  <si>
    <t xml:space="preserve">Simulasi program makan bergizi gratis tak berjalan mulus. Kualitas menu dipertanyakan banyak pihak.. . </t>
  </si>
  <si>
    <t>https://t.co/wTsaaEDv12</t>
  </si>
  <si>
    <t xml:space="preserve">Menkop Apresiasi Dukungan Muslimat NU Dalam Program Makan Bergizi Gratis. . </t>
  </si>
  <si>
    <t>https://t.co/jO9sebKNMu</t>
  </si>
  <si>
    <t xml:space="preserve">Ketua DPD RI Sultan B Najamudin meminta pemerintah untuk memastikan Suplay bahan pangan  terpenuhi secara simultan dan murah sebelum memulai program Makan Bergizi Gratis (MBG).. #dpdri #SBN #pangan #MBG #daridaerahuntukindonesia </t>
  </si>
  <si>
    <t>https://t.co/eSlwZixqp0</t>
  </si>
  <si>
    <t xml:space="preserve">Bank Mandiri Genjot KUR untuk Sektor Pangan, Dukung Ekonomi Kerakyatan dan Program Makan Bergizi Gratis. . Link Artikel : </t>
  </si>
  <si>
    <t>https://t.co/E1zrADw917</t>
  </si>
  <si>
    <t xml:space="preserve">RaKor dan BimTek PEKNAS pada tanggal 7-9 Desember 2024 di Jakarta terkait Program MAKAN BERGIZI GRATIS (MBG).. Acara dihadiri oleh para Pengurus DPP,  DPW dan DPC PEKNAS seluruh Indonesia serta Badan Gizi Nasional (BGN), . Para Vendor dan Investor MBG, . *. *. #PEKNAS. #BGN </t>
  </si>
  <si>
    <t>https://t.co/2G0vZezQsk</t>
  </si>
  <si>
    <t xml:space="preserve">Program Makan Siang Bergizi Gratis masih menjadi highlight dari pembicaraan warga Indonesia.. . Yuk, simak pembahasan selengkapnya di </t>
  </si>
  <si>
    <t xml:space="preserve">https://t.co/FDxyj08qt7. #HendriSatrio #SATGASKELITIK #Hensa #MakanSiangGratis #PrabowoSubianto #MakanSiang10ribu </t>
  </si>
  <si>
    <t>https://t.co/j2N8AHTzpW</t>
  </si>
  <si>
    <t xml:space="preserve">Prabowo Sebut Program Makan Bergizi Gratis Bisa Putar Roda Ekonomi Desa. </t>
  </si>
  <si>
    <t>https://t.co/CX2wYJ6a4l</t>
  </si>
  <si>
    <t xml:space="preserve">1. Edan, program makan bergizi gratis (MBG) ini lama2 tak hanya anggaran per-porsinya makin mengecil, tapi alokasi anggarannya yg Rp71 Triliun pun akan hilang lenyap tdk jelas sebagian besar.. . Hati2 lho pak Pres @prabowo. Ini anak buah bapak yg tak pinter Math atau sedang mbujuk </t>
  </si>
  <si>
    <t>https://t.co/pnXSSxuAj6</t>
  </si>
  <si>
    <t xml:space="preserve">Prabowo Janji Program Makan Bergizi Gratis akan Berdayakan Ekonomi Pedesaan . </t>
  </si>
  <si>
    <t>https://t.co/39ZelXDoJQ</t>
  </si>
  <si>
    <t xml:space="preserve">Presiden Prabowo Sebut Program Makan Bergizi Gratis Perkuat Ekonomi Desa. . Presiden Prabowo Subianto menegaskan komitmen pemerintah untuk memperkuat ekonomi pedesaan melalui implementasi program Makan Bergizi Gratis (MBG).. . Pernyataan ini disampaikan Prabowo dalam acara penyerahan </t>
  </si>
  <si>
    <t>https://t.co/SXhDC2HfQO</t>
  </si>
  <si>
    <t xml:space="preserve">Banyak yang penasaran, "Susu ikan bau amis, gak sih?" 🤔 Dalam program makan gratis bergizi Prabowo Subianto, Susu Ikan jadi sorotan utama!. . 🎥 Yuk, simak obrolan seru di Big Cheese bersama Bapak Menteri Kelautan dan Perikanan Sakti Wahyu Trenggono.. . #detikFinance </t>
  </si>
  <si>
    <t>https://t.co/UgPvRzNNyi</t>
  </si>
  <si>
    <t xml:space="preserve">Presiden RI ke 8  @prabowo menyatakan bahwa setiap tahun, akan beredar uang dalam jumlah besar di setiap desa melalui program Makan Bergizi Gratis. . . Presiden  juga berjanji untuk mendistribusikan perputaran uang yang selama ini terkonsentrasi di Jakarta ke desa-desa, guna </t>
  </si>
  <si>
    <t>https://t.co/FiM1ZZYiJq</t>
  </si>
  <si>
    <t xml:space="preserve">PT Timah terus berkomitmen mendukung kesehatan anak bangsa melalui program Makan Bergizi Gratis. . . Kali ini, program menyentuh 196 siswa SD dan TK di Kabupaten Bangka. Semangat menciptakan Generasi Emas 2045 dimulai dari piring mereka! 🍽️💪✨. . </t>
  </si>
  <si>
    <t xml:space="preserve">https://t.co/nLba6VCJI5. . #PTTimah </t>
  </si>
  <si>
    <t>https://t.co/TtwKLRKKF7</t>
  </si>
  <si>
    <t xml:space="preserve">Kabar Baik, Program Makan Bergizi Gratis Bakal Diterapkan di Pesantren #BNetwork. </t>
  </si>
  <si>
    <t>https://t.co/iabJyb7IfO</t>
  </si>
  <si>
    <t xml:space="preserve">Presiden Prabowo Subianto mengatakan, program makan bergizi gratis yang akan dilaksanakan pemerintah bisa meningkatkan peredaran uang hingga 800 persen di daerah.. . Peningkatan itu jika diperbandingkan dengan program dana desa yang memberi Rp1 miliar/tahun untuk desa.. . #SmartNews </t>
  </si>
  <si>
    <t>https://t.co/v4a0ZCRxDk</t>
  </si>
  <si>
    <t xml:space="preserve">Wapres Gibran Sosialisasikan Program Makan Bergizi Gratis di Pondok Pesantren Muhammadiyah Bogor. </t>
  </si>
  <si>
    <t>https://t.co/fqafTsuFiw</t>
  </si>
  <si>
    <t xml:space="preserve">Presiden Prabowo mengumumkan, program makan bergizi gratis (MBG) akan meningkatkan alokasi anggaran ke desa-desa, sebagai upaya untuk memberdayakan ekonomi di tingkat pedesaan, kecamatan, hingga provinsi.. . Bahkan, Presiden mengatakan MBG dapat membuat peredaran uang di desa </t>
  </si>
  <si>
    <t>https://t.co/XxYPTVSZMC</t>
  </si>
  <si>
    <t xml:space="preserve">Padahal Menurut Prabowo, penghematan anggaran itu bisa membangun bendungan, irigasi, sarana pendidikan, serta mendanai program makan bergizi gratis. . . </t>
  </si>
  <si>
    <t>https://t.co/LYsj397XuM</t>
  </si>
  <si>
    <t xml:space="preserve">Presiden Prabowo Subianto mengumumkan bahwa program makan bergizi gratis akan meningkatkan alokasi anggaran ke desa-desa. . . Hal ini sebagai upaya untuk memberdayakan ekonomi di tingkat pedesaan, kecamatan, hingga provinsi.. . Simak berita selengkapnya hanya di </t>
  </si>
  <si>
    <t>https://t.co/vYOVnhXcaN</t>
  </si>
  <si>
    <t xml:space="preserve">Presiden Prabowo Subianto mengatakan, program Makan Bergizi Gratis (MBG) merupakan langkah strategis untuk memberdayakan ekonomi di pedesaan. . . Hal tersebut disampaikan Prabowo saat acara penyerahan Daftar Isian Pelaksanaan Anggaran (DIPA) dan Buku Daftar Alokasi Transfer ke </t>
  </si>
  <si>
    <t>https://t.co/vc8AT7ojqN</t>
  </si>
  <si>
    <t xml:space="preserve">Kasat Binmas Polres Lumajang Melaksanakan Kegiatan Program Makan Bergizi Gratis, Yang Dilaksanakan Di MA Putri Nurul Masyithoh Lumajang.. . @divisihumaspolri. @humaspoldajatim. @polisi_indonesia. . #IndonesiaDamai. #divisihumaspolri. #humaspolri. #humaspoldajatim. #polri. #polripresisi </t>
  </si>
  <si>
    <t>https://t.co/Hoz0tLwF2k</t>
  </si>
  <si>
    <t xml:space="preserve">Sri Mulyani: Program Makan Bergizi Gratis Dapat Menggerakan Ekonomi Daerah. </t>
  </si>
  <si>
    <t>https://t.co/F41termyWc</t>
  </si>
  <si>
    <t xml:space="preserve">Prancis Dukung Program Makan Bergizi Gratis Prabowo. </t>
  </si>
  <si>
    <t>https://t.co/oZe6inHPyW</t>
  </si>
  <si>
    <t xml:space="preserve">WE’RE HIRING – DAPUR SPPG MBG!. . Yayasan Apta Peduli Bangsa membuka kesempatan bagi kamu yang ingin berkontribusi dalam program makan bergizi gratis untuk masyarakat 🌿🍱. . Saat ini kami membuka lowongan untuk posisi:. . 🔹 Ahli Gizi. . Kualifikasi utama:. ✔ Pria/Wanita. ✔ Minimal </t>
  </si>
  <si>
    <t>https://t.co/onjeWyapc2</t>
  </si>
  <si>
    <t xml:space="preserve">Badan Gizi Nasional (BGN) memastikan Program Makan Bergizi Gratis mulai berjalan pada awal Januari 2026 dengan belanja harian mencapai Rp900 miliar. Kepala BGN Dadan Hindayana menegaskan, “Satu hari di bulan Januari kami akan menggunakan uang Rp900 miliar.”. . Belanja besar ini </t>
  </si>
  <si>
    <t>https://t.co/nKEjY3X7Ut</t>
  </si>
  <si>
    <t xml:space="preserve">Puluhan pelajar dari sejumlah sekolah di Kecamatan Sumberwringin, Kabupaten Bondowoso, Jawa Timur, diduga mengalami keracunan setelah mengonsumsi menu program Makan Bergizi Gratis (MBG), Rabu (03/12/2025). . . Para siswa yang mengalami keluhan langsung dilarikan ke Puskesmas </t>
  </si>
  <si>
    <t>https://t.co/MWvbnwsNkh</t>
  </si>
  <si>
    <t xml:space="preserve">Babinsa Sukolilo Dampingi Program Makan Bergizi Gratis di 11 Sekolah. . </t>
  </si>
  <si>
    <t xml:space="preserve">https://t.co/vA6lVvcDiH </t>
  </si>
  <si>
    <t>https://t.co/lrEyaRKo1A</t>
  </si>
  <si>
    <t xml:space="preserve">*Sinergi TNI–Polri Dukung Program Makan Bergizi Gratis!* . . Bhabinkamtibmas Desa Tegallalang Aiptu I Dewa Made Sandat bersama Babinsa Sertu I Gst Arbajaya melaksanakan atensi pendistribusian Program Makan Bergizi Gratis (MBG) tahap I dari SPPG Tegallalang ke sekolah-sekolah </t>
  </si>
  <si>
    <t>https://t.co/9fChhyDkzO</t>
  </si>
  <si>
    <t xml:space="preserve">Program Makan Bergizi Gratis (MBG) beralih fungsi menjadi garda terdepan penyaluran makanan darurat untuk korban bencana di Sumatera (Aceh, Sumut, Sumbar). . . Ribuan paket makanan bergizi didistribusikan setiap hari untuk memastikan kebutuhan dasar korban terpenuhi. </t>
  </si>
  <si>
    <t>https://t.co/HIHG3yPBQ3</t>
  </si>
  <si>
    <t xml:space="preserve">Mobil lab keliling dari BPOM ini keren banget, soalnya langsung turun ke daerah yang susah dijangkau buat pastikan program makan bergizi gratis berjalan aman dan tepat. . . Ini contoh nyata kerja senyap tapi ngena buat banyak orang. </t>
  </si>
  <si>
    <t>https://t.co/Ll3wdYxdIE</t>
  </si>
  <si>
    <t xml:space="preserve">Kepala Badan Gizi Nasional (BGN) mengungkap peran vital program Makan Bergizi Gratis (MBG) dalam perekonomian Indonesia. . . #bgn #makanbergizigratis #mbg #ekonomi #lapangankerja </t>
  </si>
  <si>
    <t>https://t.co/sjXF1lveVW</t>
  </si>
  <si>
    <t xml:space="preserve">Program makan bergizi gratis ini benar-benar jadi penyelamat untuk banyak ibu hamil. . Mereka nggak lagi harus mikir dua kali soal biaya buat memenuhi kebutuhan gizi hariannya, karena semua sudah disiapkan dengan terukur dan seimbang </t>
  </si>
  <si>
    <t>https://t.co/V4BXR1naVI</t>
  </si>
  <si>
    <t xml:space="preserve">BPOM terus hadir mendukung Program Makan Bergizi Gratis (MBG)! 👏. Dengan mobil laboratorium keliling, jangkauan pengawasan pangan kini makin luas hingga pelosok negeri.. Demi asupan yang aman dan bergizi untuk seluruh anak Indonesia 🇮🇩✨ </t>
  </si>
  <si>
    <t>https://t.co/DpURMyxh5H</t>
  </si>
  <si>
    <t xml:space="preserve">Babinsa Koramil 0901-03/Samarinda Seberang Kawal Penuh Program Makan Bergizi Gratis untuk Generasi Sehat.  . Sertu M Syamsudin Babinsa Kelurahan Rapak Dalam Koramil 0901-03/Samarinda Seberang aktif mendampingi pelaksanaan program Makan Bergizi Gratis (MBG) di Wilayah Binaannya. </t>
  </si>
  <si>
    <t>https://t.co/uInIdwQLBS</t>
  </si>
  <si>
    <t xml:space="preserve">Polresta Palangka Raya Hadiri Rakor Optimalisasi Program Makan Bergizi Gratis. . Polresta Palangka Raya menghadiri Rapat Koordinasi (Rakor) Optimalisasi Pelaksanaan Program Makan Bergizi Gratis yang digelar di Ruang Rapat Peteng Karuhei II Kantor Wali Kota Palangka Raya. </t>
  </si>
  <si>
    <t>https://t.co/YXPR3SR9DT</t>
  </si>
  <si>
    <t xml:space="preserve">Polres Klungkung Gelar Pre-Launching Program Makan Bergizi Gratis di TK Kemala Bhayangkari Klungkung.. #polriuntukmasyarakat #Klungkung #PolresKlungkung #JagaKamtibmas #CegahGangguanKeamanan #layanancepat110untukmasyarakat #PoldaBali #PolriPresisi #humaspolresklungkung </t>
  </si>
  <si>
    <t>https://t.co/RTiT9Dr5Xl</t>
  </si>
  <si>
    <t xml:space="preserve">Presiden Prabowo memberi penegasan penting bagi pihak-pihak yang meremehkan keberhasilan program Makan Bergizi Gratis. Kritik boleh ada, namun fakta di lapangan tidak bisa diputarbalikkan: distribusi masif sudah berjalan dan mencapai 49 juta penerima manfaat setiap hari.. . Beliau </t>
  </si>
  <si>
    <t>https://t.co/aMbbfA1PS3</t>
  </si>
  <si>
    <t xml:space="preserve">Gibran Minta MBG Terus Dibenahi, Temuan KPAI Akan Dibawa ke BGN. . Pemerintah memastikan komitmen untuk terus memperbaiki sistem dan pelaksanaan program Makan Bergizi Gratis (MBG) sebagai bagian dari upaya memperkuat perlindungan anak dan memastikan efektivitas kebijakan prioritas </t>
  </si>
  <si>
    <t>https://t.co/1EVWBNUHXU</t>
  </si>
  <si>
    <t xml:space="preserve">KPAI pantau Program Makan Bergizi Gratis di Depok — memastikan setiap murid bukan cuma kenyang, tapi mendapat gizi seimbang &amp;amp; aman 👶✨ . . </t>
  </si>
  <si>
    <t>https://t.co/Wroe9LCItY. . #HakAnak #MBG #KPAI</t>
  </si>
  <si>
    <t xml:space="preserve">Program Makan Bergizi Gratis (MBG) bagi Ibu Hamil, Ibu Menyusui, dan Balita Non-PAUD (B3) di Desa Parakan, Kecamatan Leuwimunding, Kabupaten Majalengka, mendapat perhatian masyarakat usai penerima manfaatnya mengalami dugaan keracunan pada Kamis (4/12/2025). . . Insiden ini diduga </t>
  </si>
  <si>
    <t>https://t.co/LBONhnBrtT</t>
  </si>
  <si>
    <t xml:space="preserve">Kepala Badan Gizi Nasional (BGN), Dadan Hindayana menargetkan tidak ada orang lagi yang keracunan dalam program Makan Bergizi Gratis (MBG).. . #mbg #bgn. . </t>
  </si>
  <si>
    <t>https://t.co/53XxOp30zH</t>
  </si>
  <si>
    <t>Maklumin aja ges, program MBG ini punya kan bisa tiga:. 1. Program Mbah Bowo - Gibran. 2. Program Militer Banyak Gawean / Guna. 3. Program Makan Bergizi Gratis</t>
  </si>
  <si>
    <t xml:space="preserve">Gunungkidul Perbarui Data Penerima Program Makan Bergizi Gratis, Dorong Bantuan Tepat Sasaran. </t>
  </si>
  <si>
    <t>https://t.co/xYcTbOWDYi</t>
  </si>
  <si>
    <t xml:space="preserve">Mensos Gus Ipul menyebut penyandang disabilitas akan menjadi sasaran program makan bergizi gratis yang mulai berjalan 2026 dan menargetkan 36 ribu penerima..  </t>
  </si>
  <si>
    <t>https://t.co/2ErOFocKu1</t>
  </si>
  <si>
    <t xml:space="preserve">BADAN GIZI NASIONAL Sehubungan dengan pelaksanaan Program Makan Bergizi Gratis (MBG) oleh Badan Gizi Nasional) Penempatan SPPG: PURWOKERTO LOR (BANYUMAS) membutuhkan karyawan untuk posisi. . AKUNTAN. KOKI / CHEF. AHLI GIZI. DRIVER. KRU DAPUR.  </t>
  </si>
  <si>
    <t>https://t.co/oWhFLV7VDu</t>
  </si>
  <si>
    <t xml:space="preserve">Tabik puun... . Hallo sobat Mataneka 👋🏻. . *MTsN 1 Way Kanan Mulai Salurkan Program Makan Bergizi Gratis (MBG) kepada Siswa*. . Link Berita : </t>
  </si>
  <si>
    <t xml:space="preserve">https://t.co/BbelOQJYIN. . #kemenagri. #kanwil_kemenag_lampung. #kemenagwaykanan. #osimmtsn1waykanan. #kabinet_raksabhinaya_adhiwira </t>
  </si>
  <si>
    <t>https://t.co/I8dAF3AqYj</t>
  </si>
  <si>
    <t xml:space="preserve">Dadan Hindayana di Balik Program Makan Bergizi Gratis: Dari Kampus ke Garda Depan Kebijakan Nasional. . </t>
  </si>
  <si>
    <t>https://t.co/Z1R12NKqIO</t>
  </si>
  <si>
    <t xml:space="preserve">Program Makan Bergizi Gratis sejalan dengan visi Indonesia Emas 2045. Satu langkah gizi sehat, seribu manfaat untuk negeri.. #GenerasiSehat. #MBGuntukMasaDepan. #IndonesiaEmas2045 </t>
  </si>
  <si>
    <t>https://t.co/73vjgn4OMk</t>
  </si>
  <si>
    <t xml:space="preserve">Antusiasme luar biasa dari siswa-siswi di pelosok Garut saat menyambut program Makan Bergizi Gratis (MBG)! 🤩. . Senyum ceria mereka adalah bukti nyata bahwa akses gizi yang baik bisa membawa harapan dan semangat belajar.. . 🚀 Gizi baik, semangat belajar makin tinggi </t>
  </si>
  <si>
    <t>https://t.co/9gbmDX8x9V</t>
  </si>
  <si>
    <t xml:space="preserve">Semua pihak yang bekerja dapur SPPG menjadi urat nadi pelaksanaan Program Makan Bergizi Gratis. . Kerja Nyata dan tanggung jawab yg mereka, menu makanan sehat dan bergizi seimbang untuk penerima manfaat disiapkan.. . #LanjutkanMBG. . Ferry Irwandi #jonita Shanti #TimnasDay Filipina </t>
  </si>
  <si>
    <t>https://t.co/6uXQJTqXfM</t>
  </si>
  <si>
    <t xml:space="preserve">Program Makan Bergizi Gratis (MBG) yang diinisiasi pemerintahan Presiden Prabowo Subianto dan direncanakan berjalan penuh mulai 2026 dengan anggaran APBN Rp 1,2 triliun per hari, mulai menemui kendala di daerah.. . Di Kabupaten Demak, Jawa Tengah, Satuan Pelayanan Pemenuhan Gizi </t>
  </si>
  <si>
    <t>https://t.co/OOPm2WYaTI</t>
  </si>
  <si>
    <t xml:space="preserve">Badan Gizi Nasional memastikan pengawasan program Makan Bergizi Gratis semakin ketat.. Berbagai langkah dan Kerja Nyata diterapkan secara sistematis menyusul beberapa insiden keracunan dalam Program MBG.. . #LanjutkanMBG. . Login #GrandeFratello . Filipina #zonauang Kisruh Hukumᅠᅠᅠ </t>
  </si>
  <si>
    <t>https://t.co/TShsQ4M9Vq</t>
  </si>
  <si>
    <t xml:space="preserve">Program Makan Bergizi Gratis (MBG) kini merangkul para penyandang disabilitas. Mulai tahun depan, 36.000 penerima akan mendapatkan makanan bergizi dua kali sehari, langsung diantar ke rumah oleh kader desa yang sekaligus menjadi caregiver mereka.. . #MakanBergiziGratis #Disabilitas </t>
  </si>
  <si>
    <t>https://t.co/PsOXhFgx9s</t>
  </si>
  <si>
    <t xml:space="preserve">Menteri Keuangan Purbaya Yudhi Sadewa bantah tegas isu perubahan program Makan Bergizi Gratis (MBG) menjadi uang tunai. . Baca klarifikasi Menkeu: </t>
  </si>
  <si>
    <t>https://t.co/xiO6M468jQ. #NarayaPost #Menkeu #MBG #MakanBergiziGratis #Hoaks</t>
  </si>
  <si>
    <t xml:space="preserve">Badan Gizi Nasional (BGN) mendorong seluruh dapur Program Makan Bergizi Gratis (MBG) untuk menerapkan ramah lingkungan dan berorientasi pada prinsip zero waste.. . #pengolahanlimbah #sppg #mbg #biosolar #pupuk #diswayid </t>
  </si>
  <si>
    <t>https://t.co/lhdvoblKKw</t>
  </si>
  <si>
    <t xml:space="preserve">Penyerahan Simbolis Program Makan Bergizi Gratis Digelar di SMA Negeri 1 Singaraja. . </t>
  </si>
  <si>
    <t xml:space="preserve">https://t.co/jEurNuBrkO </t>
  </si>
  <si>
    <t>https://t.co/2OWqkE0oLw</t>
  </si>
  <si>
    <t xml:space="preserve">Sebelum Akhir Tahun, BGN Bidik Layanan MBG Setara Populasi Korsel. . Jakarta - Kepala Badan Gizi Nasional (BGN), Dadan Hindayana mengatakan, pihaknya kini tengah mengejar target layanan Program Makan Bergizi Gratis (MBG) setara populasi Korea Selatan, yakni 51,5 juta jiwa.  "Kita </t>
  </si>
  <si>
    <t>https://t.co/jL2Kw383pB</t>
  </si>
  <si>
    <t xml:space="preserve">Isu dugaan pungutan biaya perizinan kelayakan pangan dalam Program Makan Bergizi Gratis (MBG) mencuat di lingkungan Pemerintah Kabupaten Pekalongan. Seorang oknum pejabat di Dinas Kesehatan (Dinkes) Kabupaten Pekalongan berinisial M.K, yang disebut menjab. </t>
  </si>
  <si>
    <t>https://t.co/TzKQCKK0E8</t>
  </si>
  <si>
    <t xml:space="preserve">SPPG Sukamantri Hadirkan Oven Ompreng Pertama Nasional. . Bogor — Upaya meningkatkan keamanan pangan dalam pelaksanaan Program Makan Bergizi Gratis (MBG) mencapai tonggak baru. Satuan Pelayanan Pemenuhan Gizi (SPPG) Bogor Tamansari Sukamantri menjadi SPPG pertama di Indonesia yang </t>
  </si>
  <si>
    <t>https://t.co/pzwsAqPHts</t>
  </si>
  <si>
    <t xml:space="preserve">MBG adalah Seragam Sekolah Versi Makanan! . . Program Makan Bergizi Gratis harus universal. Tujuannya menciptakan kesetaraan mutlak di sekolah. Semua anak makan menu yang sama di meja yang sama. Ini hilangkan stigma sosial &amp;amp; bangun fondasi karakter kebangsaan. Jangan ada pemilahan! </t>
  </si>
  <si>
    <t>https://t.co/6MWH9jVqED</t>
  </si>
  <si>
    <t xml:space="preserve">446.630 jiwa di Kepri kini TERSENTUH Program Makan Bergizi Gratis (MBG)! . Ini adalah langkah nyata memastikan gizi terbaik untuk generasi penerus &amp;amp; kelompok 3B di Kepri. Penguatan gizi di 161 Satuan Pelayanan Pemenuhan Gizi (SPPG) terus dipercepat, termasuk di daerah 3T. 💪 </t>
  </si>
  <si>
    <t>https://t.co/OeYuUlJUgx</t>
  </si>
  <si>
    <t xml:space="preserve">1.945 penerima manfaat! . Sejak beroperasi 15 September lalu, Program Makan Bergizi Gratis (MBG) di Pulau Kelapa telah menyajikan makanan bergizi, meskipun tantangan logistik di pulau.. Tim SPPG yang didominasi warga lokal memastikan kualitas makanan terjaga. Kehadiran MBG bukan </t>
  </si>
  <si>
    <t>https://t.co/HFphpoXX4P</t>
  </si>
  <si>
    <t xml:space="preserve">19 Ribu UMKM Terlibat dalam Program Makan Bergizi Gratis yang Bisa Berikan Multiplier Effect. </t>
  </si>
  <si>
    <t>https://t.co/5HEpNsoYEe</t>
  </si>
  <si>
    <t xml:space="preserve">Polsek Muara Kaman Kawal Pelaksanaan Program Makan Bergizi Gratis, Dukung Pemenuhan Gizi dan Kamtibmas Pelajar di Panca Jaya. . Kukar – Program Makan Bergizi Gratis (MBG) Tahap Pertama resmi bergulir di Desa Panca Jaya, Kecamatan Muara Kaman, pada Senin (08/12/2025). </t>
  </si>
  <si>
    <t>https://t.co/GKDcwRoqju</t>
  </si>
  <si>
    <t xml:space="preserve">Wali Kota Depok, Supian Suri memimpin Rapat Koordinasi Program Makan Bergizi Gratis (MBG) Kota Depok, Senin (01/12/2025).. . Supian mengatakan bahwa Pemkot Depok terus berupaya  memperluas sasaran program MBG dan memastikan program berjalan dengan kualitas yang terjaga. </t>
  </si>
  <si>
    <t>https://t.co/GBcYuXqrgh</t>
  </si>
  <si>
    <t xml:space="preserve">Program MBG Dikritisi Masih Banyak Sekolah di Simalungun Tak Tersentuh. . Program Makan Bergizi Gratis (MBG) yang menjadi salah satu agenda prioritas pemerintah kini menghadapi kritik luas. </t>
  </si>
  <si>
    <t>https://t.co/V02Qv1TBCc</t>
  </si>
  <si>
    <t xml:space="preserve">Distribusi MBG Masif, Ratusan Ribu Porsi Dinikmati Korban Bencana Sumatera-Aceh. . . Penyaluran bantuan pangan melalui program Makan Bergizi Gratis (MBG) masih terus dilakukan pemerintah untuk membantu masyarakat terdampak bencana alam di wilayah Sumatera dan Aceh.   Hingga 9 </t>
  </si>
  <si>
    <t>https://t.co/bUwNAPeqP0</t>
  </si>
  <si>
    <t xml:space="preserve">Program Makan Bergizi Gratis hadir untuk penuhi kebutuhan gizi anak sejak dini, meningkatkan kesehatan dan daya saing generasi muda. Langkah nyata menuju Indonesia Emas 2045!. #MakanBergiziGratis #GenerasiSehat #IndonesiaEmas </t>
  </si>
  <si>
    <t>https://t.co/UMaJWCd2Hx</t>
  </si>
  <si>
    <t xml:space="preserve">RI Targetkan Swasembada Telur &amp;amp; Daging Ayam di 2026! 🥚🍗. . Setelah sukses swasembada beras &amp;amp; jagung kini fokus beralih ke sektor peternakan. Pemerintah siapkan strategi khusus untuk memastikan pasokan aman dan berkelanjutan demi mendukung penuh program Makan Bergizi Gratis (MBG)! </t>
  </si>
  <si>
    <t>https://t.co/Nb7FJwRcCB</t>
  </si>
  <si>
    <t xml:space="preserve">Program Makan Bergizi Gratis (MBG) kini benar-benar menyentuh nurani bangsa. . Dari lansia, pemulung, hingga anak jalanan—semua dirangkul agar tak ada lagi warga yang tidur dalam keadaan lapar.. Harapan baru untuk Indonesia yang lebih adil dan manusiawi. </t>
  </si>
  <si>
    <t>https://t.co/M5G1L3rSZA</t>
  </si>
  <si>
    <t xml:space="preserve">MBG : Ada harapan baru bagi jutaan warga! Program Makan Bergizi Gratis (MBG) kini menjangkau lansia, pemulung, anak jalanan, hingga masyarakat miskin. . . memastikan setiap anak bisa makan bergizi agar tumbuh dengan baik. Pendidikan dan tenaga penggerak masyarakat diprioritaskan. </t>
  </si>
  <si>
    <t>https://t.co/kiArs1GS2f</t>
  </si>
  <si>
    <t xml:space="preserve">Sebuah insiden tragis terekam dalam video yang beredar luas di media sosial, memperlihatkan mobil pengangkut makanan program Makan Bergizi Gratis (MBG) menabrak murid di SDN 01 Kalibaru, Jakarta Utara.. . Mobil tersebut dilaporkan menerobos pagar sekolah dan menabrak sekelompok </t>
  </si>
  <si>
    <t>https://t.co/ItZqBeWyxh</t>
  </si>
  <si>
    <t xml:space="preserve">Mobil operasional program Makan Bergizi Gratis (MBG) menerobos masuk ke halaman SDN Kalibaru 01 Pagi, Cilincing, Jakarta Utara, dan menabrak 20 orang. Akibat kejadian ini sebanyak 19 siswa  dan 1 guru mengalami luka. . . Kepolisian Daerah Metro Jaya menyebut, dari total korban, </t>
  </si>
  <si>
    <t>https://t.co/69hJXtHpKA</t>
  </si>
  <si>
    <t xml:space="preserve">Program Makan Bergizi Gratis memberikan energi baru bagi anak-anak demi menyongsong masa depan yang sukses dan berguna. Dukung terus Program MBG!. #ManfaatMakanBergiziGratis. #MakanBergiziGratis. #ProgramMakanBergiziGratis. #DukungProgramMakanBergiziGratis </t>
  </si>
  <si>
    <t>https://t.co/Ea2gti0l6y</t>
  </si>
  <si>
    <t xml:space="preserve">Seluruh pelajar SDN 01 Kalibaru, Jakarta Utara, langsung dipulangkan menyusul insiden tragis, mobil pengangkut program Makan Bergizi Gratis (MBG) menabrak pelajar, Kamis (11/12/2025). Hal ini disampaikan Turah, Wakil Kepala Sekolah SDN 01 Kalibaru.. . Setelah kejadian, siswa yang </t>
  </si>
  <si>
    <t>https://t.co/V7hrUibqtL</t>
  </si>
  <si>
    <t xml:space="preserve">Babinsa Koramil 13/Bener Dampingi Pelaksanaan Makan Bergizi Gratis. . Babinsa Koramil 13/Bener, Kodim 0708/Purworejo melakukan pendampingan pembagian program Makan Bergizi Gratis (MBG) di Sekolahan wilayah binaan. </t>
  </si>
  <si>
    <t>https://t.co/xxy6Em2MzP</t>
  </si>
  <si>
    <t xml:space="preserve">Tragedi mobil pengantar makanan MBG yang tabrak siswa SD di Cilincing, Jakarta Utara adalah bentuk kelalaian pemerintah terkait program MBG.. . Hentikan program dan evaluasi total program Makan Bergizi Gratis (MBG) adalah satu-satunya cara agar berbagai insiden yang merugikan </t>
  </si>
  <si>
    <t>https://t.co/oAfKhZ0aUL</t>
  </si>
  <si>
    <t xml:space="preserve">Menko PM Cak Imin merespons insiden mobil SPPG pengangkut makanan Program Makan Bergizi Gratis (MBG), yang menabrak siswa dan guru di lingkungan SDN Kalibaru 01. . #OneNewsUpdatetvOne #tvOne #CariBeritaditvOne #MenkoPM #CakImin #MBG #ONU03 </t>
  </si>
  <si>
    <t>https://t.co/hg8i1OOxmo</t>
  </si>
  <si>
    <t>kirain dulu MBG ini program peningkatan gizi masyarakat, ternyata peningkatan lifestyle. . BGN lahir dari janji kampanye mulia: Anak-anak Indonesia harus makan bergizi. Stunting harus turun. Generasi emas 2045.. . BGN dibentuk khusus untuk program makan bergizi gratis yang dijanjikan</t>
  </si>
  <si>
    <t xml:space="preserve">Rp6,31 triliun buat program Makan Bergizi Gratis, katanya demi anak-anak biar gak kekurangan gizi.. . Tapi yang dibelanjain:. kaos kaki, semir sepatu, barang-barang random.. . Ini program gizi atau proyek gragas?. . Di lapangan masih banyak anak sekolah pakai kaos kaki bolong diikat </t>
  </si>
  <si>
    <t>https://t.co/hL0S5B3PfO</t>
  </si>
  <si>
    <t xml:space="preserve">Pemerintah menyiapkan 1.000 unit rumah subsidi bagi karyawan program Makan Bergizi Gratis (MBG) melalui skema Fasilitas Likuiditas Pembiayaan Perumahan (FLPP) dengan uang muka mulai sekitar Rp1,8 juta.. . Kebijakan ini untuk meningkatkan kesejahteraan karyawan sekaligus mendukung </t>
  </si>
  <si>
    <t>https://t.co/5ZfFJxrT9s</t>
  </si>
  <si>
    <t xml:space="preserve">Seorang kreator viral menyoroti dampak program Makan Bergizi Gratis (MBG) melalui drama tentang warung sekolah yang kehilangan pelanggan.. . Sejumlah UMKM mengaku omzet menurun sejak program berjalan. Selain itu, distribusi bahan pokok makin terpusat ke pemasok besar, harga di </t>
  </si>
  <si>
    <t>https://t.co/8NUa5JUZL9</t>
  </si>
  <si>
    <t xml:space="preserve">Kepala BGN menyebut rata-rata IQ Indonesia 78 dan menargetkan peningkatan lewat program Makan Bergizi Gratis. Program ini fokus pada 1.000 hari pertama dan usia sekolah untuk mencegah stunting serta mendukung tumbuh kembang.. . Baca selengkapnya: </t>
  </si>
  <si>
    <t xml:space="preserve">https://t.co/ctPLExoc28. . ~RK #MBG </t>
  </si>
  <si>
    <t>https://t.co/rEuJ0V8uu6</t>
  </si>
  <si>
    <t xml:space="preserve">Kepala Badan Gizi Nasional (BGN) Dadan Hindayana mengatakan, pemerintah melakukan intervensi menyeluruh kepada anak-anak Indonesia melalui program Makan Bergizi Gratis (MBG).. . Baca Selengkapnya di: </t>
  </si>
  <si>
    <t xml:space="preserve">https://t.co/d0J2EeFtbJ.. . ~AC #BGN #MBG </t>
  </si>
  <si>
    <t>https://t.co/eIfwoPZn7g</t>
  </si>
  <si>
    <t xml:space="preserve">MOMEN HARU PERPISAHAN SISWA YG PUTUS SEKOLAH KARENA FAKTOR EKONOMI.. . Di tengah besarnya anggaran program seperti Makan Bergizi Gratis (MBG) yang mencapai triliunan rupiah, realitas di lapangan justru menunjukkan cerita yang berbeda.. . Ikhsan, siswa kelas VIII di SMP Negeri 1 </t>
  </si>
  <si>
    <t>https://t.co/rvkxnxYpW7</t>
  </si>
  <si>
    <t xml:space="preserve">Harga Sayur Stabil, Petani Boyolali Dukung Keberlanjutan MBG. . Boyolali, 20 April 2026 Program Makan Bergizi Gratis (MBG) mulai berdampak pada stabilitas harga sayur di tingkat petani di Boyolali.. . Karisudin, petani di Kecamatan Selo, menyebut komoditas seperti bawang merah kini </t>
  </si>
  <si>
    <t>https://t.co/IRS6SwGzue</t>
  </si>
  <si>
    <t xml:space="preserve">Diterpa masalah bertubi-tubi, Uya Kuya kembali harus menghadapi ujian baru. . . Setelah sebelumnya rumahnya sempat dijarah akibat hoax yang viral, ia lagi-lagi jadi sasaran kabar bohong—kali ini dituding memiliki 750 dapur program Makan Bergizi Gratis (MBG).. . Situasi ini membuat </t>
  </si>
  <si>
    <t>https://t.co/4SI5r1lRIy</t>
  </si>
  <si>
    <t xml:space="preserve">Dulu cuma makan nasi sama garam, sekarang anak-anak bisa menikmati buah, susu, dan makanan bergizi berkat program MBG. Perubahan kecil yang membawa harapan besar untuk masa depan generasi bangsa ✍️🥹. . #BeneranBerasaKorea. Pagii #BTSJIN </t>
  </si>
  <si>
    <t>https://t.co/yWIT7OiopJ</t>
  </si>
  <si>
    <t xml:space="preserve">Kepala Badan Gizi Nasional (BGN) Dadan Hindayana meluruskan bahwa pernyataannya terkait kebutuhan 19.000 ekor sapi untuk Program Makan Bergizi Gratis (MBG), hanya merupakan simulasi atau pengandaian perhitungan.. . Baca Selengkapnya di: </t>
  </si>
  <si>
    <t xml:space="preserve">https://t.co/2sA7bpzb6Q. . ~AC #BGN </t>
  </si>
  <si>
    <t>https://t.co/YoGBpU2OJB</t>
  </si>
  <si>
    <t xml:space="preserve">Hanya Simulasi terkait Kenutuhan Daging Sapi dalam Program MBG 😂. . Kepala Badan Gizi Nasional (BGN) Dadan Hindayana mengklarifikasi pernyataannya yang menyebut kebutuhan daging sapi dalam program makan bergizi gratis (MBG) mencapai 19 ribu ekor per hari. Dadan mengatakan angka </t>
  </si>
  <si>
    <t>https://t.co/qwaxMVTYeD</t>
  </si>
  <si>
    <t>Program tersebut mewajibkan dapur pelaksana Makan Bergizi Gratis (MBG) memiliki sejumlah sertifikasi, seperti laik higiene, halal, dan Hazard Analysis and Critical Control Point (HACCP), guna menjamin kualitas dan keamanan pangan. . . Namun, anggota DPR RI, Irma Suryani Chaniago,</t>
  </si>
  <si>
    <t xml:space="preserve">Isu 19 Ribu Sapi untuk MBG Disorot, BGN Jelaskan Kenapa Daging Jarang Muncul. . Pernyataan Kepala Badan Gizi Nasional (BGN), Dadan Hindayana, soal 19 ribu ekor sapi untuk program makan bergizi gratis (MBG) sempat menuai sorotan. Pasalnya, menu daging sapi dinilai jarang muncul. </t>
  </si>
  <si>
    <t>https://t.co/dapfIfBa7j</t>
  </si>
  <si>
    <t xml:space="preserve">MBG ( Makan Bergizi Gratis ) Kalau yang buat AI, GPT 5.5 dengan Codex!. . Berasa banget aura nasionalismenya! Bandingkan sama Web BGN disebelah kanan. </t>
  </si>
  <si>
    <t>https://t.co/albwY1SkvI</t>
  </si>
  <si>
    <t xml:space="preserve">versi online bisa check disini, disclaimer juga. Ini ga dibayar, bukan official juga yaa.. . </t>
  </si>
  <si>
    <t xml:space="preserve">https://t.co/T8JKTnrTOx </t>
  </si>
  <si>
    <t>https://t.co/4jp1C2ByGS</t>
  </si>
  <si>
    <t xml:space="preserve">“Dadan menyebut pihaknya tidak mungkin bekerja sendirian dalam proses pengadaan ini. Ia menepis isu bahwa pengadaan motor listrik untuk program Makan Bergizi Gratis dilakukan secara sepihak tanpa persetujuan Kementerian Keuangan”. . &amp;gt; Yang benar mana nih?😳. </t>
  </si>
  <si>
    <t xml:space="preserve">https://t.co/9DKCInrUhl? </t>
  </si>
  <si>
    <t>https://t.co/aDM3smtpDu</t>
  </si>
  <si>
    <t xml:space="preserve">Program Makan Bergizi Gratis menjadi wujud nyata transformasi gizi bangsa, memperkuat pilar MBG yang kokoh dalam menciptakan generasi sehat, cerdas, dan berkualitas sebagai fondasi masa depan Indonesia.. #PROGRAMMBG. #MAKANBERGIZIGRATIS. #TRANSFORMASIGIZIBANGSA </t>
  </si>
  <si>
    <t>https://t.co/IuSSrjgj4a</t>
  </si>
  <si>
    <t xml:space="preserve">Program Makan Bergizi Gratis (MBG) memang datang dengan tantangan besar, dari distribusi yang kompleks, risiko keamanan pangan, sampai beban anggaran negara yang tidak sedikit.. . Tapi tujuannya satu, meningkatkan kualitas manusia Indonesia dari hal paling dasar: Gizi!. . Prof. Arif </t>
  </si>
  <si>
    <t>https://t.co/qgBYiMXkeY</t>
  </si>
  <si>
    <t xml:space="preserve">*Program MBG Dorong Rantai Pasok Lokal, Budidaya Lele Jadi Tulang Punggung*. . Blora, 26 April 2026 - Program Makan Bergizi Gratis (MBG) tidak hanya berperan dalam meningkatkan asupan gizi masyarakat, tetapi mendorong terbentuknya rantai pasok pangan lokal berbasis komunitas. </t>
  </si>
  <si>
    <t>https://t.co/ESOwaqdz9W</t>
  </si>
  <si>
    <t xml:space="preserve">Rakyat butuh solusi yang langsung terasa di perut dan dompet. Program Makan Bergizi Gratis ini bukti kalau pemerintah nggak main-main soal kesejahteraan dari akar rumput. Nggak perlu banyak gaya, yang penting kerja nyata.  #LanjutkanMBG. . El Rumi  Syifa Hadju Manohara </t>
  </si>
  <si>
    <t>https://t.co/BStGlpQxsR</t>
  </si>
  <si>
    <t xml:space="preserve">Guys, ada pernyataan dari APPMBGI yang menurut gue adalah salah satu yang paling perlu dikritisi dengan sangat teliti hari ini.. . APPMBGI Asosiasi Pengusaha dan Pengelola Dapur Makan Bergizi Gratis Indonesia baru saja mengklaim dua hal sekaligus:. . Satu: MBG berjalan mulus tanpa </t>
  </si>
  <si>
    <t>https://t.co/0pO9nUXgmA</t>
  </si>
  <si>
    <t>@Jumianto_RK @KayanaDuris BGN jagonya bikin program: Makan Bergizi Gratis, Rumah Bersubsidi Eksklusif. Yang gratis buat anak, yang subsidi buat pegawai. Yang nggak dapet apa-apa? Guru yang ngajarin anak.. . Terlalu asuuu</t>
  </si>
  <si>
    <t xml:space="preserve">Sampang - Seorang warga mengabarkan bahwa sejumlah murid SDN Bira Tengah 1, Sokobanah, Sampang, mengalami reaksi alergi kulit setelah mengonsumsi menu Makan Bergizi Gratis (MBG) pada Rabu (22/04/26).. . #JokowiPerusakRI . #JokowiPerusakRI </t>
  </si>
  <si>
    <t>https://t.co/LJuGnGhcrY</t>
  </si>
  <si>
    <t xml:space="preserve">Baca di sini: </t>
  </si>
  <si>
    <t xml:space="preserve">https://t.co/uxerg3EO7Y. . Wakil Kepala Badan Gizi Nasional (BGN) Bidang Komunikasi Publik dan Investigasi Nanik Sudaryati Deyang menjelaskan kronologi meninggalnya seorang balita di Cianjur, Jawa Barat, yang disebut karena mengonsumsi Makan Bergizi Gratis (MBG).. . ~AC </t>
  </si>
  <si>
    <t>https://t.co/FcaXztpJUM</t>
  </si>
  <si>
    <t xml:space="preserve">Suplai 25 Dapur MBG di Jabodetabek, Omzet Pedagang Buah di Pasar Kramat Jati Meroket. . Jakarta - Gandi Fanani, salah satu pedagang buah di Pasar Kramat Jati, Jakarta Timur, merasakan peningkatan penjualan sejak kehadiran program Makan Bergizi Gratis (MBG) pada awal tahun 2025. </t>
  </si>
  <si>
    <t>https://t.co/AqCyZY9FCW</t>
  </si>
  <si>
    <t xml:space="preserve">Program Makan Bergizi Gratis (MBG) turut mendorong peningkatan permintaan bahan pangan lokal.. . #pemerintah #program #mbg #indonesia </t>
  </si>
  <si>
    <t>https://t.co/Brx0MTZXtr</t>
  </si>
  <si>
    <t xml:space="preserve">Polres Tabalong Bagikan Makan Bergizi Gratis, Wujud Nyata Kepedulian untuk Generasi Muda. . Polres Tabalong melalui Satuan Pelayanan Pemenuhan Gizi (SPPG) Sebagai Wujud kepedulian terhadap kesehatan generasi muda dengan mendistribusikan </t>
  </si>
  <si>
    <t>https://t.co/5xvpAc3VZJ</t>
  </si>
  <si>
    <t xml:space="preserve">Data akurat, program tepat sasaran.. Bersama, kita perkuat sinergi untuk keberhasilan Program Makan Bergizi Gratis.. . #DataAkurat #Sinergi #MakanBergiziGratis #yönetimistifa </t>
  </si>
  <si>
    <t>https://t.co/cjU1VPv6n4</t>
  </si>
  <si>
    <t xml:space="preserve">Program Makan Bergizi Gratis (MBG) mengubah nasib Daniel Rio Ananta, mantan kernet buah lepas di Surakarta, menjadi juru masak berpenghasilan tetap di SPPG Manahan.. . Setelah menemukan lowongan melalui media sosial, Daniel memulai karier sebagai petugas kebersihan, lalu naik </t>
  </si>
  <si>
    <t>https://t.co/GKRuinanzR</t>
  </si>
  <si>
    <t xml:space="preserve">Dukung Makan Bergizi Gratis 🇮🇩. Anak sehat hari ini, masa depan bangsa lebih kuat.. . Investasi terbaik untuk generasi emas.. . #MBG #GiziAnak #GenerasiEmas #UntukIndonesia </t>
  </si>
  <si>
    <t>https://t.co/R1YxzvI6bf</t>
  </si>
  <si>
    <t xml:space="preserve">Prabowo evaluasi program makan bergizi gratis agar lebih tepat sasaran . Fokus MBG diperjelas </t>
  </si>
  <si>
    <t>https://t.co/hQvv2nWAnC</t>
  </si>
  <si>
    <t xml:space="preserve">Pemerintah melakukan evaluasi menyeluruh untuk memastikan Program Makan Bergizi Gratis tepat sasaran dan lebih efektif.. Fokus MBG diperjelas </t>
  </si>
  <si>
    <t>https://t.co/xmLfQ1dbbc</t>
  </si>
  <si>
    <t>1. Kebijakan Prabowo: Gas Pol Makan Bergizi &amp;amp; Infrastruktur. Di 2026 ini, Pak Prabowo emang lagi kenceng-kencengnya ngejalankan Program Makan Bergizi Gratis. Targetnya nggak main-main, mau nyentuh puluhan juta anak secara bertahap. Masalahnya, program ini butuh duit gede banget.</t>
  </si>
  <si>
    <t xml:space="preserve">Menteri Koordinator Bidang Pemberdayaan Masyarakat Abdul Muhaimin Iskandar mengatakan bahwa Program MBG merupakan salah satu program prioritas pemerintah yang paling berdampak bagi masyarakat luas.. . "Yang paling berdampak tentu Program Makan Bergizi Gratis," kata Menko Muhaimin </t>
  </si>
  <si>
    <t>https://t.co/CxQ5IfbxYy</t>
  </si>
  <si>
    <t xml:space="preserve">Program Makan Bergizi Gratis (MBG) turut mendorong peningkatan ekonomi pedagang di Pasar Kramat Jati, Jakarta Timur, dengan naiknya permintaan buah untuk kebutuhan dapur MBG di wilayah Jabodetabek. . . Salah satu pedagang, Gandi Fanani, mengaku tokonya kini menyuplai buah ke 25 </t>
  </si>
  <si>
    <t>https://t.co/trfu6aUKwI</t>
  </si>
  <si>
    <t xml:space="preserve">https://t.co/eMNic4EdGu. . Mobil pengangkut program Makanan Bergizi Gratis (MBG) menabrak tiga rumah warga di Jalan Raya Desa Donomulyo, Malang, setelah hilang kendali pada Senin (27/4/2026). Polisi memastikan tidak ada korban jiwa dalam kecelakaan tersebut, namun </t>
  </si>
  <si>
    <t>https://t.co/yCjVTZUVmv</t>
  </si>
  <si>
    <t xml:space="preserve">Rp1,2T cuma buat aplikasi absensi MBG? 🤯. Proyek IT Makan Bergizi Gratis disorot karena anggarannya dinilai terlalu besar. Pemerintah bilang sistem SIPGN + IoT dibutuhkan agar distribusi tepat sasaran dan cegah penyalahgunaan.. . #MBG #Viral #Indonesia </t>
  </si>
  <si>
    <t>https://t.co/5PMexkY99L</t>
  </si>
  <si>
    <t xml:space="preserve">Makan Basi Gratis!!!. . Ga usah pemerintah... . Di mana2 klo makanan udh basi jangankan dikasih2 gratis, dibuang klo perlu... . Ini jelas2 anggaran, duit rakyat, tujuannya bergizi..  ternyata basi.. Untung sekolah2 skrg lbh teliti... . Kalo ga, keracunan massal lagi.... . Sampai kapan ini? </t>
  </si>
  <si>
    <t>https://t.co/RIa37wcGVM</t>
  </si>
  <si>
    <t>Masa Depan Generasi Muda lagi trending, katanya cerah sama program pemerintah. Tapi realitanya? Anak muda sekarang lebih sibuk jadi zombie scroll X daripada bangun negara. . . Program makan bergizi gratis bagus, tapi besok generasi kita yang bayar hutangnya. Siapa yang bikin masa</t>
  </si>
  <si>
    <t xml:space="preserve">Gizi tercukupi, kualitas diawasi ketat, distribusi dipantau secara digital, dan ekonomi lapisan paling bawah ikut terangkat! Program Makan Bergizi Gratis adalah paket lengkap untuk masa depan. . #MakanBergiziGratis #MBG </t>
  </si>
  <si>
    <t>https://t.co/7PDABNmXY3</t>
  </si>
  <si>
    <t>@Indra77Sahaja @_BangFu Basi. Yg jelas kalo kita komplen bakal ditanggepin, dan ga ada tu mangkas duid pendidikan demi makan (yg katanya) bergizi gratis, orang mereka juga berpendidikan 🤭</t>
  </si>
  <si>
    <t xml:space="preserve">Makan bergizi gratis dirombak Presiden Prabowo . Fokus MBG diperjelas </t>
  </si>
  <si>
    <t>https://t.co/IuYvHS5Eyz</t>
  </si>
  <si>
    <t xml:space="preserve">Bukan lagi sekadar pembagian luas, kini Fokus MBG diperjelas! Pemerintah melakukan evaluasi menyeluruh agar Program Makan Bergizi Gratis memprioritaskan anak-anak yang kurang gizi dan berisiko stunting. Mari dukung langkah ini agar manfaatnya benar-benar tepat sasaran!.  #MBG </t>
  </si>
  <si>
    <t>https://t.co/lOqYOcpJwI</t>
  </si>
  <si>
    <t xml:space="preserve">Pemerintah terus mengevaluasi dan meningkatkan kualitas layanan Program Makan Bergizi Gratis.. . #MakanBergiziGratis. #ProgramMBG. #TataKelola. #KeamananPangan. #Akuntabel </t>
  </si>
  <si>
    <t>https://t.co/xCfbxokmNb</t>
  </si>
  <si>
    <t>https://t.co/OzRmkxzdlw</t>
  </si>
  <si>
    <t xml:space="preserve">Lihat senyum anak² ini saat menerima bantuan makanan bergizi dari program MBG.. BGN trs berupaya agar distribusi Makanan Bergizi Gratis tepat sasaran ke penduduk miskin &amp;amp; daerah rawan pangan.. Tiap piring makanan yg terdistribusi adlh harapan baru utk masa depan yg lebih sehat. </t>
  </si>
  <si>
    <t>https://t.co/SwMcVg6yIM</t>
  </si>
  <si>
    <t xml:space="preserve">Apa alasannya makan siang gratis di China efektif sedangkan makan siang gratis di Indonesia masih terbilang belum efektif? . . Apakah karena kita baru menjalankan program ini atau karena hal lain?. Bukan, tapi lebih karena Indonesia tidak tau diri.. . Coba lihat berapa APBN nya China? </t>
  </si>
  <si>
    <t>https://t.co/JdsPYsWyfl</t>
  </si>
  <si>
    <t>Bagaimana jika program "Makan bergizi Gratis" justru menciptakan wabah yang mengubah anak-anak sekolah menjadi pemangsa manusia? 🧟‍♂️🍛. . kami sedang menggarap film pendek  berjudul "Jam Makan Siang". Sebuah cerita tentang kebijakan yang dipaksakan, anggaran yang dipotong,  dan~</t>
  </si>
  <si>
    <t xml:space="preserve">Pemerintah memperkuat implementasi program Makan Bergizi Gratis melalui integrasi sistem digital guna memastikan ketepatan sasaran, efisiensi distribusi, dan transparansi end-to-end. #MBG #Anak #Prabowo #BGN #Dadan </t>
  </si>
  <si>
    <t>https://t.co/PPhc2uZUIE</t>
  </si>
  <si>
    <t>https://t.co/L1SM4UTcSf</t>
  </si>
  <si>
    <t xml:space="preserve">MBG Harus Tepat Sasaran. . Wakil Gubernur Banten Achmad Dimyati Natakusumah menegaskan Program Makan Bergizi Gratis (MBG) harus dijalankan dengan orientasi sosial.. . Fokusnya jelas.. Program ini untuk pemenuhan gizi masyarakat, bukan untuk kepentingan bisnis.. . Hal yang perlu dijaga: </t>
  </si>
  <si>
    <t>https://t.co/pWjV7G1Mgn</t>
  </si>
  <si>
    <t>Sebelumnya, MBG sempat dijalankan hingga 6 hari di sejumlah daerah, lalu diseragamkan menjadi 5 hari mengikuti hari sekolah. Kini kembali disesuaikan menjadi 4 hari, dengan pertimbangan efektivitas distribusi serta efisiensi anggaran negara.. . #MBG #MakanBergiziGratis #APBN</t>
  </si>
  <si>
    <t xml:space="preserve">Program Makan Bergizi Gratis ini ironis.. . Anggaran besar, niatnya bantu yang paling membutuhkan…. tapi yang kenyang malah yang bukan yang membutuhkan.. . Menurut riset @BhimaYudhistira program ini dari awal belum matang.. Dan sekarang makin kelihatan: implementasinya melenceng. </t>
  </si>
  <si>
    <t>https://t.co/WU2Rt2FiJU</t>
  </si>
  <si>
    <t>@AraituLaki @_Jalan_Pejuang_ ....ya sudah, kalau prioritas berhemat maka hentikan saja program beranggaran besar. . jika prioritas untuk pemenuhan gizi, ya mana cukup bergizi jika hanya diberi makan 4 kali per minggu, padahal dalam sehari butuh makan 3 kali sehari</t>
  </si>
  <si>
    <t xml:space="preserve">Setiap hari jam 17 wib (Umum). Santunan Anak Yatim tiap hari. Gratis Makan Bergizi . Rumah Yatim Hafiz . . Open Donatur. BCA KCU Kalimalang. Norek: 230 317 1746. A/N: Trisno/Sri Utami. . Instagram:. </t>
  </si>
  <si>
    <t xml:space="preserve">https://t.co/u12kogD014… </t>
  </si>
  <si>
    <t>https://t.co/qXfo3nz7T0</t>
  </si>
  <si>
    <t xml:space="preserve">Innalillahi wa inna ilaihi rojiun. . Kabar duka datang dari Kabupaten Cianjur setelah seorang balita berinisial MAB (2) dilaporkan meninggal dunia usai mengonsumsi menu Makan Bergizi Gratis (MBG).. . Korban merupakan satu dari 63 warga Kecamatan Leles yang mengalami keracunan massal </t>
  </si>
  <si>
    <t>https://t.co/uMOESPUXi4</t>
  </si>
  <si>
    <t xml:space="preserve">Dunia kini menoleh ke Indonesia. Sebuah pencapaian membanggakan bagi Badan Gizi Nasional (BGN), di mana negara-negara ASEAN kini resmi menjadikan program Makan Bergizi Gratis (MBG) Indonesia sebagai model percontohan tingkat regional.. #jagaindonesia #jagagizianakindonesia </t>
  </si>
  <si>
    <t>https://t.co/GW7HHlxlXG</t>
  </si>
  <si>
    <t xml:space="preserve">MBG 25 Tahun? 🍱🇮🇩 Program Gizi Diminta Berlanjut Lintas Pemerintahan 🚀. . Asosiasi Pengusaha dan Pengelola Dapur (Makan Bergizi Gratis APPMBGI) mendorong agar program Makan Bergizi Gratis (MBG) bisa berjalan hingga 25 tahun ke depan. </t>
  </si>
  <si>
    <t>https://t.co/otMyiPLoPr</t>
  </si>
  <si>
    <t>PRABOWO BERHALUSINASI SOAL MBG. . Pernyataan Prabowo yang mengklaim program Makan Bergizi Gratis (MBG) Indonesia jauh lebih unggul daripada program serupa di Jepang dan Eropa sungguh mencengangkan. Dengan menyebut distribusi 4,5 miliar porsi dan tingkat keracunan hanya 0,0006%,</t>
  </si>
  <si>
    <t xml:space="preserve">Perut kenyang, prestasi datang! Lewat Program Makan Bergizi Gratis (MBG), kebutuhan nutrisi anak-anak terpenuhi dengan baik. . #MBG #GiziBaikGenerasiSehat #PendidikanBerkualitas </t>
  </si>
  <si>
    <t>https://t.co/4rbjuuCqbY</t>
  </si>
  <si>
    <t xml:space="preserve">Program Makan Bergizi Gratis (MBG) terbukti membawa dampak nyata! . Di pesisir Danau Sentani, Papua, kehadiran program ini bikin para siswa makin semangat berangkat ke sekolah. Gak cuma soal nutrisi, tapi juga memicu motivasi belajar demi meraih cita-cita. </t>
  </si>
  <si>
    <t>https://t.co/BkziIEeNm6</t>
  </si>
  <si>
    <t xml:space="preserve">Saat di dalam negeri masih banyak yang ragu, ASEAN justru sudah mulai melirik dan belajar dari program Makan Bergizi Gratis (MBG) Indonesia! . #MakanBergiziGratis #IndonesiaHebat #ASEAN #GiziNasional #SDMUnggul </t>
  </si>
  <si>
    <t>https://t.co/6LbX98XlCG</t>
  </si>
  <si>
    <t>@BiLLRaY2019 Program ini investasi sumber daya manusia, bukan beban yang harus dipangkas sembarangan. Lebih baik cari efisiensi di tempat lain daripada potong hak anak-anak makan bergizi.. #LanjutkanMBG</t>
  </si>
  <si>
    <t xml:space="preserve">ASEAN mulai melirik, Indonesia justru melangkah lebih dulu 🇮🇩✨. Dari program makan bergizi, kita bukan cuma bergerak—kita jadi inspirasi!. . Dulu diragukan, sekarang jadi rujukan 🌏. Dari lokal untuk regional, dari ide jadi solusi nyata.. ##IndonesiaMaju #ASEAN #jagaindonesia </t>
  </si>
  <si>
    <t>https://t.co/Qz29KkJ7Qr</t>
  </si>
  <si>
    <t xml:space="preserve">Program Makan Bergizi Gratis yang dianggap beban negara oleh sekelompok orang, ternyata adalah harapan bagi anak anak Indonesia dan penerima manfaat lainnya.. Melihat besarnya harapan, maka #LanjutkanMBG adalah pilihan terbaik.. . Bekasi PPPA Munchen Liga Champions #bayernmünih </t>
  </si>
  <si>
    <t>https://t.co/VERp3FOYZA</t>
  </si>
  <si>
    <t xml:space="preserve">Program Makan Bergizi Gratis (MBG) bukan cuma soal makan gratis 🍽️. . Badan Gizi Nasional (BGN) menyebut program ini ikut mendorong perputaran ekonomi daerah lewat anggaran jumbo Rp268 triliun. 👇 </t>
  </si>
  <si>
    <t>https://t.co/GjxPjiRoQZ</t>
  </si>
  <si>
    <t xml:space="preserve">Menuju masa depan yang lebih sehat! Program Makan Bergizi Gratis (MBG) di tahun 2026 fokus pada anak-anak dalam seribu hari pertama kehidupan. Bersama kita pastikan gizi yang tepat sasaran!. . #ProgramMBG. #MakanBergiziGratis. #GiziAnak. #TepatSasaran. #IndonesiaSehat </t>
  </si>
  <si>
    <t>https://t.co/8ZxOSd30ua</t>
  </si>
  <si>
    <t xml:space="preserve">Selengkapnya👇. </t>
  </si>
  <si>
    <t>https://t.co/KMtg36PXUc</t>
  </si>
  <si>
    <t xml:space="preserve">Program Makan Bergizi Gratis di Sukoharjo membuka pintu inklusivitas. . Rohmat Riyadi, seorang penyandang disabilitas, kini punya penghasilan tetap dengan bekerja di dapur MBG. . Bukti nyata bahwa program ini membawa manfaat ekonomi dan martabat bagi sesama. </t>
  </si>
  <si>
    <t>https://t.co/ejEmciEAQa</t>
  </si>
  <si>
    <t xml:space="preserve">Siswa terlihat sangat bahagia menyambut program makan bergizi gratis karena membantu pemenuhan nutrisi mereka setiap hari sekolah demi mewujudkan generasi #LanjutkanMBG . . #TimTiaraAndini #GalaxyA57 #UnboxingA57A37 #pemerintahsiapdebat </t>
  </si>
  <si>
    <t>https://t.co/SAKMjsX72k</t>
  </si>
  <si>
    <t xml:space="preserve">Babinsa Letawa Pastikan Program Makan Bergizi Tepat Sasaran, 1.090 Penerima Manfaat Terlayani. </t>
  </si>
  <si>
    <t xml:space="preserve">https://t.co/mdTfiwxUxn </t>
  </si>
  <si>
    <t>https://t.co/JUdIM3pEFr</t>
  </si>
  <si>
    <t>@tempodotco Siapa yg ngotot ingin hentikan MBG tentu lawan politik yg kalah Pilpres lalu. . Sekarang anak sekolah makin goat belajar krn dapat makan bergizi gratis 😍</t>
  </si>
  <si>
    <t xml:space="preserve">Reaksi haru siswa saat mengira program berakhir menunjukkan betapa berartinya makan bergizi gratis bagi mereka. Program ini nyata membantu meringankan beban ekonomi keluarga di sekolah. #LanjutkanMBG . . Bekasi Turut KA Argo Bromo Anggrek. #BerikanPelayananPrima </t>
  </si>
  <si>
    <t>https://t.co/krQCzIgc5Y</t>
  </si>
  <si>
    <t xml:space="preserve">Kunjungan tersebut untuk meninjau hasil revitalisasi bangunan sekolah sekaligus mengecek pelaksanaan Program Makan Bergizi Gratis (MBG). . . </t>
  </si>
  <si>
    <t>https://t.co/8iN99IpDPH</t>
  </si>
  <si>
    <t xml:space="preserve">Kerjasama strategis dapur mitra memastikan setiap sarana prasarana yang digunakan sudah standar operasional terbaik demi menjamin keberhasilan program makan bergizi gratis untuk generasi masa depan #LanjutkanMBG . . #TimTiaraAndini #GalaxyA57 #UnboxingA57A37 #pemerintahsiapdebat </t>
  </si>
  <si>
    <t>https://t.co/UzZD42D5Yq</t>
  </si>
  <si>
    <t>Bismillah. . KEPADA YTH PIMPINAN KPK, PPATK SERTA MENKEU.!!. . APAKAH BENAR PROGRAM MBG (MAKAN BERGIZI GRATIS) ADLH PROYEK YG LEBIH 50 % DIKUASAI ANGGOTA DEWAN, KEPOLISIAN/ APARATUR NEGARA / INDIVIDU YG MEMILIKI AKSES KE LINGKARAN PENGUASA ?. TOLONG DILAKUKAN AUDIT &amp;amp; INVESTIGASI..!!</t>
  </si>
  <si>
    <t xml:space="preserve">Bukan Sekadar Makan Gratis!. . Banyak yang tanya, kenapa sih MBG (Makan Bergizi Gratis) jadi kunci buat masa depan Indonesia? Jawabannya simpelt Perut kenyang, otak cemerlang, kesenjangan pun berkurang!. . #BadanGiziNasional #indonesiaSehat #MakanBergiziGratis #GenerasiEmas2045 </t>
  </si>
  <si>
    <t>https://t.co/vD23AlHb1H</t>
  </si>
  <si>
    <t>@norihaya_ Gonku iki asli makan bergizi gratis, duduk makan beracun gratis. Dannn gk pake duit pajak masake🥰</t>
  </si>
  <si>
    <t xml:space="preserve">KH Marzuki Mustamar blak-blakan sebut program makan gratis Prabowo itu 'Dzalim' kalau dipaksakan rata ke semua sekolah. Anak elit kok dikasih makan standar rakyat jelata? Jgn sampai anggaran rakyat cuma jadi bahan mencari celah Korupsi..  #MakanSiangGratis . ((Bekasi, 1 Mei)) </t>
  </si>
  <si>
    <t>https://t.co/zBjgQzRuic</t>
  </si>
  <si>
    <t xml:space="preserve">Gus Mamak tinjau dapur mbg di Malang, pastikan program akan bergizi gratis berjalan sesuai standar ✍️✅. . Bekasi Jule Yordania </t>
  </si>
  <si>
    <t>https://t.co/CANXplBpLI</t>
  </si>
  <si>
    <t xml:space="preserve">Gus Mamak tinjau dapur makan bergizi gratis di Malang ✍️✅. . Bekasi Jule Yordania </t>
  </si>
  <si>
    <t>https://t.co/vhenOrE4c9</t>
  </si>
  <si>
    <t>@CNNIndonesia Yang dibutuhkan rakyat itu lapangan kerja , Pendidikan gratis buat anak2nya Pak.. Kalau orang tuanya pada kerja, pasti mereka mampu kasih makan anak2nya, bahkan bisa lebih bergizi drpd yg dikasih anda.</t>
  </si>
  <si>
    <t>Sidang MK: Pihak Terkait Sebut MBG Konstitusional dan Bagian dari Pendidikan Nasional. . Jakarta - Pihak Terkait dalam sidang uji materi Pasal 22 ayat (3) beserta penjelasannya dalam Undang-Undang Nomor 17 Tahun 2025 tentang APBN 2026 menegaskan bahwa Program Makan Bergizi Gratis</t>
  </si>
  <si>
    <t xml:space="preserve">Kesehatan masyarakat adalah prioritas utama. Melalui instruksi tegas Presiden Prabowo Subianto, Badan Gizi Nasional kini memperketat pengawasan terhadap seluruh dapur program Makan Bergizi Gratis (MBG).  . . #MakanBergiziGratis #BadanGiziNasional #PanganSehat #IndonesiaSehat </t>
  </si>
  <si>
    <t>https://t.co/meSpelXj7C</t>
  </si>
  <si>
    <t xml:space="preserve">Prabowo Subianto menegaskan program Makan Bergizi Gratis (MBG) akan terus dilanjutkan hingga selesai, meski diakui masih ada kekurangan yang akan diperbaiki.. . Ia menyebut program tersebut sudah memberikan dampak, terutama bagi petani dan nelayan karena hasil produksi mereka kini </t>
  </si>
  <si>
    <t>https://t.co/u8dbl9ZdCk</t>
  </si>
  <si>
    <t xml:space="preserve">Dalam kunjungan kerja ke SMA Negeri 1 Cilacap, Presiden @prabowo Subianto menyapa langsung para siswa. Beliau dgn senang hati mencicipi kue hasil usaha siswa sekaligus meninjau pelaksanaan Program Makan Bergizi Gratis (MBG) dan revitalisasi sekolah.. . Tak hanya mencicipi, Presiden </t>
  </si>
  <si>
    <t>https://t.co/8nxnOFKoGL</t>
  </si>
  <si>
    <t>@infomitigasi Min,. Peenah denger 'program' yg dia kasih nama 'makan bergizi gratis' ?</t>
  </si>
  <si>
    <t>https://t.co/Nfe0oOrr1A</t>
  </si>
  <si>
    <t xml:space="preserve">program makan bergizi gratis terbukti membuka banyak lapangan kerja baru bagi para ahli gizi di seluruh pelosok indonesia demi menjamin kualitas asupan anak bangsa #LanjutkanMBG. . #FrierenWithTOMORO #JoongxViktorandRolfFragrances PHUWIN TOMMYHILFIGER MY </t>
  </si>
  <si>
    <t>https://t.co/a1T7sI7W8a</t>
  </si>
  <si>
    <t xml:space="preserve">Konstitusi kita unik: 20% APBN wajib untuk pendidikan. Tapi kenapa sekarang mau "dirampok" buat program Makan Bergizi Gratis? . Para ahli hukum sudah bersuara di MK: Ini inkonstitusional! Jangan sampai dana masa depan anak bangsa dipangkas demi kepentingan pragmatis. . #łatwogang </t>
  </si>
  <si>
    <t>https://t.co/hxV1vuUegy</t>
  </si>
  <si>
    <t xml:space="preserve">[POST-VERZET]. . Program Makan Bergizi Gratis seharusnya melindungi hak gizi anak-anak Indonesia. Namun kasus keracunan massal menunjukkan lemahnya pengawasan dan regulasi. Di era Prabowo Subianto, negara wajib memastikan makanan yang aman, pengawasan yang ketat, dan sanksi tegas </t>
  </si>
  <si>
    <t>https://t.co/T5XEWCOW1Z</t>
  </si>
  <si>
    <t xml:space="preserve">Insentif SPPG Rp6 juta per hari dukung operasional dapur dan standar gizi demi sajian Makan Bergizi Gratis berkualitas setiap hari bagi anak-anak. #LanjutkanMBG . . KRL Commuter Line Diana Pungky Jule Bekasi #SunlightIsYourSpotlight #FrierenWithTOMORO Yordania Yaman </t>
  </si>
  <si>
    <t>https://t.co/APrHPUwyId</t>
  </si>
  <si>
    <t xml:space="preserve">Makan Bergizi Gratis sangat berarti bagi siswa; membantu kecukupan nutrisi sekaligus meringankan beban ekonomi keluarga di rumah secara nyata. #LanjutkanMBG . . KRL Commuter Line Diana Pungky Jule Bekasi #SunlightIsYourSpotlight #FrierenWithTOMORO Yordania Yaman </t>
  </si>
  <si>
    <t>https://t.co/RsSawmfJE0</t>
  </si>
  <si>
    <t xml:space="preserve">Program Makan Bergizi Gratis (MBG) bukan cuma soal pemenuhan gizi! Presiden Prabowo Subianto tegaskan program ini akan terus diperbaiki dan diperluas.. #MakanBergiziGratis #ProgramMBG #GiziNasional #KetahananPangan #PrabowoSubianto </t>
  </si>
  <si>
    <t>https://t.co/DGkSj1ejC5</t>
  </si>
  <si>
    <t xml:space="preserve">Prodi Gizi Melejit, Kepala BGN Sebut Dampak Program MBG Makin Terasa. . Program makan bergizi gratis (MBG) tak hanya berdampak pada peningkatan kualitas kesehatan masyarakat, tetapi juga mulai mengubah tren di dunia pendidikan. Kepala Badan Gizi Nasional (BGN), Dadan Hindayana, </t>
  </si>
  <si>
    <t>https://t.co/RoQXiClXbD</t>
  </si>
  <si>
    <t>https://t.co/R0rsLtZylr</t>
  </si>
  <si>
    <t xml:space="preserve">MBG Kembali Makan Korban, Ratusan Siswa di Klaten Diduga Keracunan: Sampai Kapan Program Negara Jadi Ancaman?. . KLATEN – Program Makan Bergizi Gratis (MBG) kembali menjadi sorotan setelah ratusan siswa dan guru di Kecamatan Tulung, Kabupaten Klaten, diduga mengalami keracunan </t>
  </si>
  <si>
    <t>https://t.co/KXyAEvdCoJ</t>
  </si>
  <si>
    <t xml:space="preserve">Reaksi haru siswa ini bukti MBG sangat berarti. Program ini nyata membantu ekonomi keluarga dan memastikan anak tetap makan bergizi. #LanjutkanMBG . . Jule Diana Pungky Andrie #FrierenWithTOMORO #SunlightIsYourSpotlight PERTHSANTA CMI LOVE INFINITY Yordania Yaman COLLECTIBLE CARD </t>
  </si>
  <si>
    <t>https://t.co/RVp7v9fhHq</t>
  </si>
  <si>
    <t xml:space="preserve">Data real-time kini jadi kunci distribusi Makan Bergizi Gratis yang lebih tepat sasaran untuk seluruh anak Indonesia demi mewujudkan generasi masa depan yang kuat . #LanjutkanMBG. . POND WITH ITSSKIN 32MP Front Camera Biore UVxStray Kids Diana Pungky </t>
  </si>
  <si>
    <t>https://t.co/dUCWi4EHnZ</t>
  </si>
  <si>
    <t xml:space="preserve">Pemerintah menggandeng perguruan tinggi untuk memperluas jangkauan program makanan bergizi gratis melalui dapur berbasis kampus demi menciptakan generasi muda yang jauh lebih sehat dan cerdas . #LanjutkanMBG. . POND WITH ITSSKIN 32MP Front Camera Biore UVxStray Kids Diana Pungky </t>
  </si>
  <si>
    <t>https://t.co/H3e1aqbR1H</t>
  </si>
  <si>
    <t xml:space="preserve">Presiden Prabowo Subianto menegaskan komitmen melanjutkan program Makan Bergizi Gratis (MBG) hingga tuntas. Program ini dinilai berdampak bagi petani dan nelayan karena memberi kepastian pasar.. . Baca selengkapnya: </t>
  </si>
  <si>
    <t xml:space="preserve">https://t.co/uwkDZPqPU2. . ~RK #prabowo #MBG </t>
  </si>
  <si>
    <t>https://t.co/y6Zf37CY5y</t>
  </si>
  <si>
    <t xml:space="preserve">Kepala Badan Gizi Nasional (BGN) Dadan Hindayana mengklaim, program studi gizi kini paling diminati setelah adanya program Makan Bergizi Gratis (MBG).. . Berapa sih gaji tenaga ahli gizi di program ini? . . Ternyata, kisarannya mencapai jutaan rupiah per bulan, lebih besar jika </t>
  </si>
  <si>
    <t>https://t.co/n8aD3NHOW5</t>
  </si>
  <si>
    <t xml:space="preserve">Presiden Prabowo Subianto menargetkan Indonesia akan mencapai swasembada energi pada akhir 2029. . . Target ini diungkapkan Prabowo saat meninjau hasil revitalisasi sekolah dan program Makan Bergizi Gratis (MBG) di SMAN 1 Cilacap, Jawa Tengah, Rabu (29/4/2026).. . Meski begitu, </t>
  </si>
  <si>
    <t>https://t.co/FxHxaadaN5</t>
  </si>
  <si>
    <t xml:space="preserve">Penerima Manfaat Tembus di Atas 60 Juta, Prabowo: Banyak Negara Belajar MBG ke Kita. . Cilacap — Presiden RI Prabowo Subianto menyebut program Makan Bergizi Gratis (MBG) telah menjangkau lebih dari 60 juta penerima manfaat dan menjadi perhatian dunia. Bahkan, sejumlah negara mulai </t>
  </si>
  <si>
    <t>https://t.co/QoT5ohxJ3U</t>
  </si>
  <si>
    <t xml:space="preserve">Program Makan Bergizi Gratis (MBG) bukan cuma soal pemenuhan gizi! Presiden Prabowo Subianto tegaskan program ini akan terus diperbaiki dan diperluas. . #MakanBergiziGratis #ProgramMBG #GiziNasional #KetahananPangan #PrabowoSubianto </t>
  </si>
  <si>
    <t>https://t.co/zWtDrKOjRM</t>
  </si>
  <si>
    <t xml:space="preserve">PROGRAM MAKAN. BERGIZI GRATIS UNTUK ANAK ACEH. #PenuhiGiziIndonesia #Indonesiaemas #AstaCita #Indonesiamaju #GiziBaik #MakananBergizi </t>
  </si>
  <si>
    <t>https://t.co/uJGLGMvjbM</t>
  </si>
  <si>
    <t xml:space="preserve">PROGRAM MAKAN BERGIZI GRATIS UNTUK ANEUK ACEH. Jak Ta Dukung Makan Bergizi Gratis Demi Masa Depan Aneuk Aceh. #PenuhiGiziIndonesia #Indonesiaemas #AstaCita #Indonesiamaju #GiziBaik #MakananBergizi </t>
  </si>
  <si>
    <t>https://t.co/iJqGspf03K</t>
  </si>
  <si>
    <t xml:space="preserve">Mari Kita Dukung PROGRAM MAKAN BERGIZI GRATIS UNTUK ANAK-ANAK ACEH.. #Makan BergiziGratis #PenuhiGiziIndonesia #Indonesiaemas #AstaCita #Indonesiamaju #GiziBaik #MakananBergizi </t>
  </si>
  <si>
    <t>https://t.co/LFLW2HVXUf</t>
  </si>
  <si>
    <t xml:space="preserve">“Kampus Jadi Pusat Gizi! 🎓🍱 Mahasiswa Turun Tangan Kelola Dapur MBG”. . Lur, Kepala Badan Gizi Nasional, Dadan Hindayana, mengajak kampus di seluruh Indonesia ikut mengelola dapur Program Makan Bergizi Gratis (MBG). Bukan cuma masak, tapi jadi tempat riset dan inovasi mahasiswa. </t>
  </si>
  <si>
    <t>https://t.co/WITXT7fGOA</t>
  </si>
  <si>
    <t>https://t.co/hQ8bIohsZu</t>
  </si>
  <si>
    <t>@bangherwin Heran ya ga paham manfaat tapi bahas-bahas manfaat, pada ngerti gak si. . Program Makan Bergizi Gratis (MBG) membawa dampak positif bagi para petani. Peningkatan permintaan pasar membuat harga komoditas seperti brokoli dan bawang merah ikut naik, sehingga pendapatan petani membaik.</t>
  </si>
  <si>
    <t xml:space="preserve">IJM: Bukan MBG Tetapi Makan Bergizi dengan Biaya Rakyat!. . </t>
  </si>
  <si>
    <t>https://t.co/uS4mPMxDyr. . Menyorot problem Makan Bergizi Gratis (MBG) Direktur Indonesia Justice Monitor (IJM) Agung Wisnuwardana mengatakan, bukan MBG tetapi makan bergizi dengan biaya rakyat.</t>
  </si>
  <si>
    <t xml:space="preserve">Program Makan Bergizi Gratis merupakan wujud nyata kepedulian Pemerintah terhadap masa depan anak bangsa.  #DariMBGUntukIndonesiaHebat </t>
  </si>
  <si>
    <t>https://t.co/ksuaMg4zgZ</t>
  </si>
  <si>
    <t xml:space="preserve">Program Makan Bergizi Gratis menggerakkan roda ekonomi pedagang. Di Pasar Kramat Jati, Jakarta Timur, pedagang buah merasakan lonjakan omzet sejak program ini berjalan awal 2025.. . #mbg #ekonomilokal #pasarkramatjati #KawalMBG  #pedagangbuah </t>
  </si>
  <si>
    <t>https://t.co/LjS3UqwqU3</t>
  </si>
  <si>
    <t xml:space="preserve">JAKARTA – Pemerintah Indonesia berencana memangkas kembali anggaran Makan Bergizi Gratis (MBG) demi menjaga agar defisit fiskal tak melebihi batas maksimal 3%. . Baca selengkapnya: </t>
  </si>
  <si>
    <t xml:space="preserve">https://t.co/Mti3l2pg7M </t>
  </si>
  <si>
    <t>https://t.co/bP2dyniStp</t>
  </si>
  <si>
    <t xml:space="preserve">https://t.co/gVN49Sglht. .  Pemenuhan Gizi wajib memiliki </t>
  </si>
  <si>
    <t>Baca di sini: Kepala Badan Gizi Nasional, Dadan Hindayana, menyatakan program studi gizi kini sangat diminati seiring besarnya kebutuhan tenaga ahli untuk program Makan Bergizi Gratis (MBG). Setiap unit Satuan Pelayanan</t>
  </si>
  <si>
    <t>Relevansi</t>
  </si>
  <si>
    <t>tweet_tokens</t>
  </si>
  <si>
    <t>tweet_tokens_fdist</t>
  </si>
  <si>
    <t>tweet_tokens_WSW</t>
  </si>
  <si>
    <t>tweet_normalized</t>
  </si>
  <si>
    <t>tweet_tokens_stemmed</t>
  </si>
  <si>
    <t>jelang lebaran perusahaan mulai booking bus untuk program mudik gratis</t>
  </si>
  <si>
    <t>['jelang', 'lebaran', 'perusahaan', 'mulai', 'booking', 'bus', 'untuk', 'program', 'mudik', 'gratis']</t>
  </si>
  <si>
    <t>&lt;FreqDist with 10 samples and 10 outcomes&gt;</t>
  </si>
  <si>
    <t>['jelang', 'lebaran', 'perusahaan', 'booking', 'bus', 'program', 'mudik', 'gratis']</t>
  </si>
  <si>
    <t>['jelang', 'lebaran', 'usaha', 'booking', 'bus', 'program', 'mudik', 'gratis']</t>
  </si>
  <si>
    <t>anggaran segitu aja masih banyak sekolah yang kurang dan minta tambahan dari orang tua untuk program makan siang gratis harus di mark up lebih banyak lagi tapi gw dulu sd pernah ada program snack bergizi gratis itu program gabungan dengan pkk setempat</t>
  </si>
  <si>
    <t>['anggaran', 'segitu', 'aja', 'masih', 'banyak', 'sekolah', 'yang', 'kurang', 'dan', 'minta', 'tambahan', 'dari', 'orang', 'tua', 'untuk', 'program', 'makan', 'siang', 'gratis', 'harus', 'di', 'mark', 'up', 'lebih', 'banyak', 'lagi', 'tapi', 'gw', 'dulu', 'sd', 'pernah', 'ada', 'program', 'snack', 'bergizi', 'gratis', 'itu', 'program', 'gabungan', 'dengan', 'pkk', 'setempat']</t>
  </si>
  <si>
    <t>&lt;FreqDist with 38 samples and 42 outcomes&gt;</t>
  </si>
  <si>
    <t>['anggaran', 'segitu', 'sekolah', 'tambahan', 'orang', 'tua', 'program', 'makan', 'siang', 'gratis', 'mark', 'up', 'gw', 'sd', 'program', 'snack', 'bergizi', 'gratis', 'program', 'gabungan', 'pkk']</t>
  </si>
  <si>
    <t>['anggaran', 'segitu', 'sekolah', 'tambahan', 'orang', 'tua', 'program', 'makan', 'siang', 'gratis', 'mark', 'atas', 'aku', 'sd', 'program', 'snack', 'bergizi', 'gratis', 'program', 'gabungan', 'pkk']</t>
  </si>
  <si>
    <t>['anggar', 'segitu', 'sekolah', 'tambah', 'orang', 'tua', 'program', 'makan', 'siang', 'gratis', 'mark', 'atas', 'aku', 'sd', 'program', 'snack', 'gizi', 'gratis', 'program', 'gabung', 'pkk']</t>
  </si>
  <si>
    <t>keren sih ada program makan siang gratis kayak gini biar pertumbuhan dan perkembangan anak indo secara fisik jadi lebih baik kemampuan secara iq akan mengikuti krn asupan nutrisi bergizi yg cukup</t>
  </si>
  <si>
    <t>['keren', 'sih', 'ada', 'program', 'makan', 'siang', 'gratis', 'kayak', 'gini', 'biar', 'pertumbuhan', 'dan', 'perkembangan', 'anak', 'indo', 'secara', 'fisik', 'jadi', 'lebih', 'baik', 'kemampuan', 'secara', 'iq', 'akan', 'mengikuti', 'krn', 'asupan', 'nutrisi', 'bergizi', 'yg', 'cukup']</t>
  </si>
  <si>
    <t>&lt;FreqDist with 30 samples and 31 outcomes&gt;</t>
  </si>
  <si>
    <t>['keren', 'program', 'makan', 'siang', 'gratis', 'kayak', 'gini', 'pertumbuhan', 'perkembangan', 'anak', 'indo', 'fisik', 'kemampuan', 'iq', 'mengikuti', 'asupan', 'nutrisi', 'bergizi']</t>
  </si>
  <si>
    <t>['keren', 'program', 'makan', 'siang', 'gratis', 'seperti', 'gini', 'pertumbuhan', 'perkembangan', 'anak', 'indonesia', 'fisik', 'kemampuan', 'iq', 'mengikuti', 'asupan', 'nutrisi', 'bergizi']</t>
  </si>
  <si>
    <t>['keren', 'program', 'makan', 'siang', 'gratis', 'seperti', 'gin', 'tumbuh', 'kembang', 'anak', 'indonesia', 'fisik', 'mampu', 'iq', 'ikut', 'asupan', 'nutrisi', 'gizi']</t>
  </si>
  <si>
    <t>prabowo menunjukkan komitmen nyata pada masa depan dengan memberikan makan siang gratis yang bergizi untuk anakanak sekolah</t>
  </si>
  <si>
    <t>['prabowo', 'menunjukkan', 'komitmen', 'nyata', 'pada', 'masa', 'depan', 'dengan', 'memberikan', 'makan', 'siang', 'gratis', 'yang', 'bergizi', 'untuk', 'anakanak', 'sekolah']</t>
  </si>
  <si>
    <t>&lt;FreqDist with 17 samples and 17 outcomes&gt;</t>
  </si>
  <si>
    <t>['prabowo', 'komitmen', 'nyata', 'makan', 'siang', 'gratis', 'bergizi', 'anakanak', 'sekolah']</t>
  </si>
  <si>
    <t>['prabowo', 'komitmen', 'nyata', 'makan', 'siang', 'gratis', 'gizi', 'anakanak', 'sekolah']</t>
  </si>
  <si>
    <t>program prabowo makan gratis kpd pelajar ibu hamil jumlah pelajar juta mari kita hitung biaya makan gratis bagi pelajar saja untuk  makan juta pelajar  rp ribu per porsi harga segitu dianggap sdh bergizi lengkap maka dlm sekali makan anggaran negara</t>
  </si>
  <si>
    <t>['program', 'prabowo', 'makan', 'gratis', 'kpd', 'pelajar', 'ibu', 'hamil', 'jumlah', 'pelajar', 'juta', 'mari', 'kita', 'hitung', 'biaya', 'makan', 'gratis', 'bagi', 'pelajar', 'saja', 'untuk', 'makan', 'juta', 'pelajar', 'rp', 'ribu', 'per', 'porsi', 'harga', 'segitu', 'dianggap', 'sdh', 'bergizi', 'lengkap', 'maka', 'dlm', 'sekali', 'makan', 'anggaran', 'negara']</t>
  </si>
  <si>
    <t>&lt;FreqDist with 32 samples and 40 outcomes&gt;</t>
  </si>
  <si>
    <t>['program', 'prabowo', 'makan', 'gratis', 'kpd', 'pelajar', 'hamil', 'pelajar', 'juta', 'mari', 'hitung', 'biaya', 'makan', 'gratis', 'pelajar', 'makan', 'juta', 'pelajar', 'rp', 'ribu', 'porsi', 'harga', 'segitu', 'dianggap', 'bergizi', 'lengkap', 'dlm', 'makan', 'anggaran', 'negara']</t>
  </si>
  <si>
    <t>['program', 'prabowo', 'makan', 'gratis', 'kpd', 'pelajar', 'hamil', 'pelajar', 'juta', 'mari', 'hitung', 'biaya', 'makan', 'gratis', 'pelajar', 'makan', 'juta', 'pelajar', 'rp', 'ribu', 'porsi', 'harga', 'segitu', 'dianggap', 'bergizi', 'lengkap', 'dalam', 'makan', 'anggaran', 'negara']</t>
  </si>
  <si>
    <t>['program', 'prabowo', 'makan', 'gratis', 'kpd', 'ajar', 'hamil', 'ajar', 'juta', 'mari', 'hitung', 'biaya', 'makan', 'gratis', 'ajar', 'makan', 'juta', 'ajar', 'rp', 'ribu', 'porsi', 'harga', 'segitu', 'anggap', 'gizi', 'lengkap', 'dalam', 'makan', 'anggar', 'negara']</t>
  </si>
  <si>
    <t>makanan gratis dan bergizi untuk ibuibu yang sedang hamil setiap tahun karena ini untuk memperkuat bayi dalam rahimnya semuanya juta jiwa katanya pak kencing aja bayar gimana ceritanya nih</t>
  </si>
  <si>
    <t>['makanan', 'gratis', 'dan', 'bergizi', 'untuk', 'ibuibu', 'yang', 'sedang', 'hamil', 'setiap', 'tahun', 'karena', 'ini', 'untuk', 'memperkuat', 'bayi', 'dalam', 'rahimnya', 'semuanya', 'juta', 'jiwa', 'katanya', 'pak', 'kencing', 'aja', 'bayar', 'gimana', 'ceritanya', 'nih']</t>
  </si>
  <si>
    <t>&lt;FreqDist with 28 samples and 29 outcomes&gt;</t>
  </si>
  <si>
    <t>['makanan', 'gratis', 'bergizi', 'ibuibu', 'hamil', 'memperkuat', 'bayi', 'rahimnya', 'juta', 'jiwa', 'kencing', 'bayar', 'gimana', 'ceritanya']</t>
  </si>
  <si>
    <t>['makan', 'gratis', 'gizi', 'ibuibu', 'hamil', 'kuat', 'bayi', 'rahim', 'juta', 'jiwa', 'kencing', 'bayar', 'gimana', 'cerita']</t>
  </si>
  <si>
    <t>tapi memang agak aneh sih wacana makan gratis ini klo tujuannya mau mencegah stunting dengan membekali ibu hamil dan anak dengan makanan bergizi baiknya dikemas ulang deh narasinya jangan cuma sekedar nyebut program makan gratis</t>
  </si>
  <si>
    <t>['tapi', 'memang', 'agak', 'aneh', 'sih', 'wacana', 'makan', 'gratis', 'ini', 'klo', 'tujuannya', 'mau', 'mencegah', 'stunting', 'dengan', 'membekali', 'ibu', 'hamil', 'dan', 'anak', 'dengan', 'makanan', 'bergizi', 'baiknya', 'dikemas', 'ulang', 'deh', 'narasinya', 'jangan', 'cuma', 'sekedar', 'nyebut', 'program', 'makan', 'gratis']</t>
  </si>
  <si>
    <t>&lt;FreqDist with 32 samples and 35 outcomes&gt;</t>
  </si>
  <si>
    <t>['aneh', 'wacana', 'makan', 'gratis', 'tujuannya', 'mencegah', 'stunting', 'membekali', 'hamil', 'anak', 'makanan', 'bergizi', 'baiknya', 'dikemas', 'ulang', 'deh', 'narasinya', 'sekedar', 'nyebut', 'program', 'makan', 'gratis']</t>
  </si>
  <si>
    <t>['aneh', 'wacana', 'makan', 'gratis', 'tuju', 'cegah', 'stunting', 'bekal', 'hamil', 'anak', 'makan', 'gizi', 'baik', 'kemas', 'ulang', 'deh', 'narasi', 'dar', 'nyebut', 'program', 'makan', 'gratis']</t>
  </si>
  <si>
    <t>raharjo bukan hanya anak sekolah yg dijanjikan tapi juga bayi balita jadi total aja sdiri brp banyak org yg dikasih mkn gratis tiap hari harusnya mikirin program yg bisa bikin masy berpenghasilan besar biar seluruh anggota keluarga bs makan enak bergizi</t>
  </si>
  <si>
    <t>['raharjo', 'bukan', 'hanya', 'anak', 'sekolah', 'yg', 'dijanjikan', 'tapi', 'juga', 'bayi', 'balita', 'jadi', 'total', 'aja', 'sdiri', 'brp', 'banyak', 'org', 'yg', 'dikasih', 'mkn', 'gratis', 'tiap', 'hari', 'harusnya', 'mikirin', 'program', 'yg', 'bisa', 'bikin', 'masy', 'berpenghasilan', 'besar', 'biar', 'seluruh', 'anggota', 'keluarga', 'bs', 'makan', 'enak', 'bergizi']</t>
  </si>
  <si>
    <t>&lt;FreqDist with 39 samples and 41 outcomes&gt;</t>
  </si>
  <si>
    <t>['raharjo', 'anak', 'sekolah', 'dijanjikan', 'bayi', 'balita', 'total', 'sdiri', 'brp', 'org', 'dikasih', 'mkn', 'gratis', 'mikirin', 'program', 'masy', 'berpenghasilan', 'anggota', 'keluarga', 'bs', 'makan', 'enak', 'bergizi']</t>
  </si>
  <si>
    <t>['raharjo', 'anak', 'sekolah', 'dijanjikan', 'bayi', 'balita', 'total', 'sdiri', 'brp', 'orang', 'dikasih', 'makan', 'gratis', 'mikirin', 'program', 'masy', 'berpenghasilan', 'anggota', 'keluarga', 'bisa', 'makan', 'enak', 'bergizi']</t>
  </si>
  <si>
    <t>['raharjo', 'anak', 'sekolah', 'janji', 'bayi', 'balita', 'total', 'sdiri', 'brp', 'orang', 'kasih', 'makan', 'gratis', 'mikirin', 'program', 'masy', 'hasil', 'anggota', 'keluarga', 'bisa', 'makan', 'enak', 'gizi']</t>
  </si>
  <si>
    <t>saat ide pembagian susu dan makan siang bergizi gratis bagi siswa di tertawakan buzzer sebelah ntah karena tugas atau betulan kami para orang tua di negeri ini justru merasa itu program luar biasa yg sangat membantu mencetak generasi unggul salah satunya melalui asupan</t>
  </si>
  <si>
    <t>['saat', 'ide', 'pembagian', 'susu', 'dan', 'makan', 'siang', 'bergizi', 'gratis', 'bagi', 'siswa', 'di', 'tertawakan', 'buzzer', 'sebelah', 'ntah', 'karena', 'tugas', 'atau', 'betulan', 'kami', 'para', 'orang', 'tua', 'di', 'negeri', 'ini', 'justru', 'merasa', 'itu', 'program', 'luar', 'biasa', 'yg', 'sangat', 'membantu', 'mencetak', 'generasi', 'unggul', 'salah', 'satunya', 'melalui', 'asupan']</t>
  </si>
  <si>
    <t>&lt;FreqDist with 42 samples and 43 outcomes&gt;</t>
  </si>
  <si>
    <t>['ide', 'pembagian', 'susu', 'makan', 'siang', 'bergizi', 'gratis', 'siswa', 'tertawakan', 'buzzer', 'sebelah', 'ntah', 'tugas', 'betulan', 'orang', 'tua', 'negeri', 'program', 'membantu', 'mencetak', 'generasi', 'unggul', 'salah', 'satunya', 'asupan']</t>
  </si>
  <si>
    <t>['ide', 'pembagian', 'susu', 'makan', 'siang', 'bergizi', 'gratis', 'siswa', 'tertawakan', 'buzzer', 'sebelah', 'entah', 'tugas', 'betulan', 'orang', 'tua', 'negeri', 'program', 'membantu', 'mencetak', 'generasi', 'unggul', 'salah', 'satunya', 'asupan']</t>
  </si>
  <si>
    <t>['ide', 'bagi', 'susu', 'makan', 'siang', 'gizi', 'gratis', 'siswa', 'tertawa', 'buzzer', 'belah', 'entah', 'tugas', 'betul', 'orang', 'tua', 'negeri', 'program', 'bantu', 'cetak', 'generasi', 'unggul', 'salah', 'satu', 'asupan']</t>
  </si>
  <si>
    <t>program makan siang gratis buat anak itu bisa jd sarana utk stabilitas ekonomi rumus gdp    xm kalo pengeluaran pemerintah besar dan rutin gdp jg akan stabil tugas kita tinggal ngawasin kualitas makanan yg diberikan harus bersih sehat bergizi amp bebas korupsi</t>
  </si>
  <si>
    <t>['program', 'makan', 'siang', 'gratis', 'buat', 'anak', 'itu', 'bisa', 'jd', 'sarana', 'utk', 'stabilitas', 'ekonomi', 'rumus', 'gdp', 'xm', 'kalo', 'pengeluaran', 'pemerintah', 'besar', 'dan', 'rutin', 'gdp', 'jg', 'akan', 'stabil', 'tugas', 'kita', 'tinggal', 'ngawasin', 'kualitas', 'makanan', 'yg', 'diberikan', 'harus', 'bersih', 'sehat', 'bergizi', 'amp', 'bebas', 'korupsi']</t>
  </si>
  <si>
    <t>&lt;FreqDist with 40 samples and 41 outcomes&gt;</t>
  </si>
  <si>
    <t>['program', 'makan', 'siang', 'gratis', 'anak', 'sarana', 'stabilitas', 'ekonomi', 'rumus', 'gdp', 'xm', 'pengeluaran', 'pemerintah', 'rutin', 'gdp', 'jg', 'stabil', 'tugas', 'tinggal', 'ngawasin', 'kualitas', 'makanan', 'bersih', 'sehat', 'bergizi', 'bebas', 'korupsi']</t>
  </si>
  <si>
    <t>['program', 'makan', 'siang', 'gratis', 'anak', 'sarana', 'stabilitas', 'ekonomi', 'rumus', 'gdp', 'xm', 'pengeluaran', 'pemerintah', 'rutin', 'gdp', 'juga', 'stabil', 'tugas', 'tinggal', 'ngawasin', 'kualitas', 'makanan', 'bersih', 'sehat', 'bergizi', 'bebas', 'korupsi']</t>
  </si>
  <si>
    <t>['program', 'makan', 'siang', 'gratis', 'anak', 'sarana', 'stabilitas', 'ekonomi', 'rumus', 'gdp', 'xm', 'keluar', 'perintah', 'rutin', 'gdp', 'juga', 'stabil', 'tugas', 'tinggal', 'ngawasin', 'kualitas', 'makan', 'bersih', 'sehat', 'gizi', 'bebas', 'korupsi']</t>
  </si>
  <si>
    <t>pak sudah memikirkan kondisi sprt ini tuk janji kampanye ngasih makan gratis anak sekolah seluruh indonesia lagian makanan bergizi program stunting itu untuk ibu hamil bukan untuk anakanak</t>
  </si>
  <si>
    <t>['pak', 'sudah', 'memikirkan', 'kondisi', 'sprt', 'ini', 'tuk', 'janji', 'kampanye', 'ngasih', 'makan', 'gratis', 'anak', 'sekolah', 'seluruh', 'indonesia', 'lagian', 'makanan', 'bergizi', 'program', 'stunting', 'itu', 'untuk', 'ibu', 'hamil', 'bukan', 'untuk', 'anakanak']</t>
  </si>
  <si>
    <t>&lt;FreqDist with 27 samples and 28 outcomes&gt;</t>
  </si>
  <si>
    <t>['memikirkan', 'kondisi', 'sprt', 'tuk', 'janji', 'kampanye', 'ngasih', 'makan', 'gratis', 'anak', 'sekolah', 'indonesia', 'makanan', 'bergizi', 'program', 'stunting', 'hamil', 'anakanak']</t>
  </si>
  <si>
    <t>['pikir', 'kondisi', 'sprt', 'tuk', 'janji', 'kampanye', 'ngasih', 'makan', 'gratis', 'anak', 'sekolah', 'indonesia', 'makan', 'gizi', 'program', 'stunting', 'hamil', 'anakanak']</t>
  </si>
  <si>
    <t>program makan siang dan susu gratis untuk murid indonesia keren banget ini pak tweet makanan dan minuman bergizi utk penerus bangsa adalah investasi terbesar justru program ini dapat dirasakan langsung oleh rakyat tagar adalah bentuk kepanikan</t>
  </si>
  <si>
    <t>['program', 'makan', 'siang', 'dan', 'susu', 'gratis', 'untuk', 'murid', 'indonesia', 'keren', 'banget', 'ini', 'pak', 'tweet', 'makanan', 'dan', 'minuman', 'bergizi', 'utk', 'penerus', 'bangsa', 'adalah', 'investasi', 'terbesar', 'justru', 'program', 'ini', 'dapat', 'dirasakan', 'langsung', 'oleh', 'rakyat', 'tagar', 'adalah', 'bentuk', 'kepanikan']</t>
  </si>
  <si>
    <t>&lt;FreqDist with 32 samples and 36 outcomes&gt;</t>
  </si>
  <si>
    <t>['program', 'makan', 'siang', 'susu', 'gratis', 'murid', 'indonesia', 'keren', 'banget', 'tweet', 'makanan', 'minuman', 'bergizi', 'penerus', 'bangsa', 'investasi', 'terbesar', 'program', 'dirasakan', 'langsung', 'rakyat', 'tagar', 'bentuk', 'kepanikan']</t>
  </si>
  <si>
    <t>['program', 'makan', 'siang', 'susu', 'gratis', 'siswa', 'indonesia', 'keren', 'sekali', 'tweet', 'makanan', 'minuman', 'bergizi', 'penerus', 'bangsa', 'investasi', 'terbesar', 'program', 'dirasakan', 'langsung', 'rakyat', 'tagar', 'bentuk', 'kepanikan']</t>
  </si>
  <si>
    <t>['program', 'makan', 'siang', 'susu', 'gratis', 'siswa', 'indonesia', 'keren', 'sekali', 'tweet', 'makan', 'minum', 'gizi', 'terus', 'bangsa', 'investasi', 'besar', 'program', 'rasa', 'langsung', 'rakyat', 'tagar', 'bentuk', 'panik']</t>
  </si>
  <si>
    <t>pak prabowo sangat support banget untuk anak bangsa indonesia oleh karna itu adanya program makan siang bergizi gratis ini menjadikan indonesia unggul dan kuat anakanak bangsa</t>
  </si>
  <si>
    <t>['pak', 'prabowo', 'sangat', 'support', 'banget', 'untuk', 'anak', 'bangsa', 'indonesia', 'oleh', 'karna', 'itu', 'adanya', 'program', 'makan', 'siang', 'bergizi', 'gratis', 'ini', 'menjadikan', 'indonesia', 'unggul', 'dan', 'kuat', 'anakanak', 'bangsa']</t>
  </si>
  <si>
    <t>&lt;FreqDist with 24 samples and 26 outcomes&gt;</t>
  </si>
  <si>
    <t>['prabowo', 'support', 'banget', 'anak', 'bangsa', 'indonesia', 'karna', 'program', 'makan', 'siang', 'bergizi', 'gratis', 'menjadikan', 'indonesia', 'unggul', 'kuat', 'anakanak', 'bangsa']</t>
  </si>
  <si>
    <t>['prabowo', 'dukung', 'sekali', 'anak', 'bangsa', 'indonesia', 'karena', 'program', 'makan', 'siang', 'bergizi', 'gratis', 'menjadikan', 'indonesia', 'unggul', 'kuat', 'anakanak', 'bangsa']</t>
  </si>
  <si>
    <t>['prabowo', 'dukung', 'sekali', 'anak', 'bangsa', 'indonesia', 'karena', 'program', 'makan', 'siang', 'gizi', 'gratis', 'jadi', 'indonesia', 'unggul', 'kuat', 'anakanak', 'bangsa']</t>
  </si>
  <si>
    <t>waduh kok ini sudah jalan ya program makan siang gratis dgn lauk pauk yg sangat bergizi di tangerang ini pasti terinspirasi dari yg punya program makan siang gratis nih</t>
  </si>
  <si>
    <t>['waduh', 'kok', 'ini', 'sudah', 'jalan', 'ya', 'program', 'makan', 'siang', 'gratis', 'dgn', 'lauk', 'pauk', 'yg', 'sangat', 'bergizi', 'di', 'tangerang', 'ini', 'pasti', 'terinspirasi', 'dari', 'yg', 'punya', 'program', 'makan', 'siang', 'gratis', 'nih']</t>
  </si>
  <si>
    <t>&lt;FreqDist with 23 samples and 29 outcomes&gt;</t>
  </si>
  <si>
    <t>['jalan', 'program', 'makan', 'siang', 'gratis', 'lauk', 'pauk', 'bergizi', 'tangerang', 'terinspirasi', 'program', 'makan', 'siang', 'gratis']</t>
  </si>
  <si>
    <t>['jalan', 'program', 'makan', 'siang', 'gratis', 'lauk', 'pauk', 'gizi', 'tangerang', 'inspirasi', 'program', 'makan', 'siang', 'gratis']</t>
  </si>
  <si>
    <t>padahal yg diuntungkan nanti dr makan siang dan susu gratis adlh pihak ketiga perusahaan pengadaan ya ga sih syukur dapat makanan bergizi kawatirnya kayak program stunting di dpok anak dibagikan kuah sop parahnya kuahnya doang ga ada dagingnya</t>
  </si>
  <si>
    <t>['padahal', 'yg', 'diuntungkan', 'nanti', 'dr', 'makan', 'siang', 'dan', 'susu', 'gratis', 'adlh', 'pihak', 'ketiga', 'perusahaan', 'pengadaan', 'ya', 'ga', 'sih', 'syukur', 'dapat', 'makanan', 'bergizi', 'kawatirnya', 'kayak', 'program', 'stunting', 'di', 'dpok', 'anak', 'dibagikan', 'kuah', 'sop', 'parahnya', 'kuahnya', 'doang', 'ga', 'ada', 'dagingnya']</t>
  </si>
  <si>
    <t>&lt;FreqDist with 37 samples and 38 outcomes&gt;</t>
  </si>
  <si>
    <t>['diuntungkan', 'dr', 'makan', 'siang', 'susu', 'gratis', 'adlh', 'ketiga', 'perusahaan', 'pengadaan', 'syukur', 'makanan', 'bergizi', 'kawatirnya', 'kayak', 'program', 'stunting', 'dpok', 'anak', 'dibagikan', 'kuah', 'sop', 'parahnya', 'kuahnya', 'doang', 'dagingnya']</t>
  </si>
  <si>
    <t>['diuntungkan', 'dari', 'makan', 'siang', 'susu', 'gratis', 'adalah', 'ketiga', 'perusahaan', 'pengadaan', 'syukur', 'makanan', 'bergizi', 'kawatirnya', 'seperti', 'program', 'stunting', 'dpok', 'anak', 'dibagikan', 'kuah', 'sop', 'parahnya', 'kuahnya', 'doang', 'dagingnya']</t>
  </si>
  <si>
    <t>['untung', 'dari', 'makan', 'siang', 'susu', 'gratis', 'adalah', 'tiga', 'usaha', 'ada', 'syukur', 'makan', 'gizi', 'kawatirnya', 'seperti', 'program', 'stunting', 'dpok', 'anak', 'bagi', 'kuah', 'sop', 'parah', 'kuah', 'doang', 'daging']</t>
  </si>
  <si>
    <t>makan siang gratis sbv program pemerintah yg menawarkan nutrisi memainkan peran penting dlm membantu anak yg mungkin mengalami kekurangan gizi namunutk benar menekan stunting program ini perlu dikombinasikan dg upaya yg lebih luas dlm menyediakan akses ke makanan bergizi</t>
  </si>
  <si>
    <t>['makan', 'siang', 'gratis', 'sbv', 'program', 'pemerintah', 'yg', 'menawarkan', 'nutrisi', 'memainkan', 'peran', 'penting', 'dlm', 'membantu', 'anak', 'yg', 'mungkin', 'mengalami', 'kekurangan', 'gizi', 'namunutk', 'benar', 'menekan', 'stunting', 'program', 'ini', 'perlu', 'dikombinasikan', 'dg', 'upaya', 'yg', 'lebih', 'luas', 'dlm', 'menyediakan', 'akses', 'ke', 'makanan', 'bergizi']</t>
  </si>
  <si>
    <t>&lt;FreqDist with 35 samples and 39 outcomes&gt;</t>
  </si>
  <si>
    <t>['makan', 'siang', 'gratis', 'sbv', 'program', 'pemerintah', 'menawarkan', 'nutrisi', 'memainkan', 'peran', 'dlm', 'membantu', 'anak', 'mengalami', 'kekurangan', 'gizi', 'namunutk', 'menekan', 'stunting', 'program', 'dikombinasikan', 'upaya', 'luas', 'dlm', 'menyediakan', 'akses', 'makanan', 'bergizi']</t>
  </si>
  <si>
    <t>['makan', 'siang', 'gratis', 'sbv', 'program', 'pemerintah', 'menawarkan', 'nutrisi', 'memainkan', 'peran', 'dalam', 'membantu', 'anak', 'mengalami', 'kekurangan', 'gizi', 'namunutk', 'menekan', 'stunting', 'program', 'dikombinasikan', 'upaya', 'luas', 'dalam', 'menyediakan', 'akses', 'makanan', 'bergizi']</t>
  </si>
  <si>
    <t>['makan', 'siang', 'gratis', 'sbv', 'program', 'perintah', 'tawar', 'nutrisi', 'main', 'peran', 'dalam', 'bantu', 'anak', 'alami', 'kurang', 'gizi', 'namunutk', 'tekan', 'stunting', 'program', 'kombinasi', 'upaya', 'luas', 'dalam', 'sedia', 'akses', 'makan', 'gizi']</t>
  </si>
  <si>
    <t xml:space="preserve"> program makan gratis kan kusus tuk anak sd bukan buat yg udah tua kek luanak itu perlu makan bergizi dimasa pertumbuhan</t>
  </si>
  <si>
    <t>['program', 'makan', 'gratis', 'kan', 'kusus', 'tuk', 'anak', 'sd', 'bukan', 'buat', 'yg', 'udah', 'tua', 'kek', 'luanak', 'itu', 'perlu', 'makan', 'bergizi', 'dimasa', 'pertumbuhan']</t>
  </si>
  <si>
    <t>&lt;FreqDist with 20 samples and 21 outcomes&gt;</t>
  </si>
  <si>
    <t>['program', 'makan', 'gratis', 'kusus', 'tuk', 'anak', 'sd', 'udah', 'tua', 'kek', 'luanak', 'makan', 'bergizi', 'dimasa', 'pertumbuhan']</t>
  </si>
  <si>
    <t>['program', 'makan', 'gratis', 'kusus', 'tuk', 'anak', 'sd', 'sudah', 'tua', 'seperti', 'luanak', 'makan', 'bergizi', 'dimasa', 'pertumbuhan']</t>
  </si>
  <si>
    <t>['program', 'makan', 'gratis', 'sus', 'tuk', 'anak', 'sd', 'sudah', 'tua', 'seperti', 'luanak', 'makan', 'gizi', 'masa', 'tumbuh']</t>
  </si>
  <si>
    <t>tkd prabowogibran banten turun langsung laksanakan program makan siang bergizi dan susu gratis</t>
  </si>
  <si>
    <t>['tkd', 'prabowogibran', 'banten', 'turun', 'langsung', 'laksanakan', 'program', 'makan', 'siang', 'bergizi', 'dan', 'susu', 'gratis']</t>
  </si>
  <si>
    <t>&lt;FreqDist with 13 samples and 13 outcomes&gt;</t>
  </si>
  <si>
    <t>['tkd', 'prabowogibran', 'banten', 'turun', 'langsung', 'laksanakan', 'program', 'makan', 'siang', 'bergizi', 'susu', 'gratis']</t>
  </si>
  <si>
    <t>['tkd', 'prabowogibran', 'banten', 'turun', 'langsung', 'laksana', 'program', 'makan', 'siang', 'gizi', 'susu', 'gratis']</t>
  </si>
  <si>
    <t>program makan siang dan susu gratis bagi siswa dan ibu hamil semoga makanan nya bergizi</t>
  </si>
  <si>
    <t>['program', 'makan', 'siang', 'dan', 'susu', 'gratis', 'bagi', 'siswa', 'dan', 'ibu', 'hamil', 'semoga', 'makanan', 'nya', 'bergizi']</t>
  </si>
  <si>
    <t>&lt;FreqDist with 14 samples and 15 outcomes&gt;</t>
  </si>
  <si>
    <t>['program', 'makan', 'siang', 'susu', 'gratis', 'siswa', 'hamil', 'semoga', 'makanan', 'bergizi']</t>
  </si>
  <si>
    <t>['program', 'makan', 'siang', 'susu', 'gratis', 'siswa', 'hamil', 'moga', 'makan', 'gizi']</t>
  </si>
  <si>
    <t>prabowo mengungkapkan program pemberian susu dan telor atau makanan bergizi tersebut sebagai upaya mengatasi masalah stunting dan angka kemiskinan dari akar masalahnya</t>
  </si>
  <si>
    <t>['prabowo', 'mengungkapkan', 'program', 'pemberian', 'susu', 'dan', 'telor', 'atau', 'makanan', 'bergizi', 'tersebut', 'sebagai', 'upaya', 'mengatasi', 'masalah', 'stunting', 'dan', 'angka', 'kemiskinan', 'dari', 'akar', 'masalahnya']</t>
  </si>
  <si>
    <t>&lt;FreqDist with 21 samples and 22 outcomes&gt;</t>
  </si>
  <si>
    <t>['prabowo', 'program', 'pemberian', 'susu', 'telor', 'makanan', 'bergizi', 'upaya', 'mengatasi', 'stunting', 'angka', 'kemiskinan', 'akar']</t>
  </si>
  <si>
    <t>['prabowo', 'program', 'beri', 'susu', 'telor', 'makan', 'gizi', 'upaya', 'atas', 'stunting', 'angka', 'miskin', 'akar']</t>
  </si>
  <si>
    <t>yakin semua mampu kasih makanan bergizi tinggi tiap hari agar anak kesehatan dan kecerdasannya top abis ntar pakai ahli gizi lho di program makan siang gratis tak asal kenyang tapi sehat cerdas ini baru program riil ini baru satu</t>
  </si>
  <si>
    <t>['yakin', 'semua', 'mampu', 'kasih', 'makanan', 'bergizi', 'tinggi', 'tiap', 'hari', 'agar', 'anak', 'kesehatan', 'dan', 'kecerdasannya', 'top', 'abis', 'ntar', 'pakai', 'ahli', 'gizi', 'lho', 'di', 'program', 'makan', 'siang', 'gratis', 'tak', 'asal', 'kenyang', 'tapi', 'sehat', 'cerdas', 'ini', 'baru', 'program', 'riil', 'ini', 'baru', 'satu']</t>
  </si>
  <si>
    <t>&lt;FreqDist with 36 samples and 39 outcomes&gt;</t>
  </si>
  <si>
    <t>['kasih', 'makanan', 'bergizi', 'anak', 'kesehatan', 'kecerdasannya', 'top', 'abis', 'ntar', 'pakai', 'ahli', 'gizi', 'lho', 'program', 'makan', 'siang', 'gratis', 'kenyang', 'sehat', 'cerdas', 'program', 'riil']</t>
  </si>
  <si>
    <t>['kasih', 'makanan', 'bergizi', 'anak', 'kesehatan', 'kecerdasannya', 'top', 'habis', 'nanti', 'pakai', 'ahli', 'gizi', 'lho', 'program', 'makan', 'siang', 'gratis', 'kenyang', 'sehat', 'cerdas', 'program', 'riil']</t>
  </si>
  <si>
    <t>['kasih', 'makan', 'gizi', 'anak', 'sehat', 'cerdas', 'top', 'habis', 'nanti', 'pakai', 'ahli', 'gizi', 'lho', 'program', 'makan', 'siang', 'gratis', 'kenyang', 'sehat', 'cerdas', 'program', 'riil']</t>
  </si>
  <si>
    <t>maaf nih bkn mksd utk merendahkan program makan siangsusu gratis atasi stunting jika taraf hidup ekonomi para ortu meningkat spt pekerjaanupah yg layak sekolahampjamkes gratis rumah ga ngontrakmaka para orang tua dpt beri asupan makan bergizi pd anaknyato be continue</t>
  </si>
  <si>
    <t>['maaf', 'nih', 'bkn', 'mksd', 'utk', 'merendahkan', 'program', 'makan', 'siangsusu', 'gratis', 'atasi', 'stunting', 'jika', 'taraf', 'hidup', 'ekonomi', 'para', 'ortu', 'meningkat', 'spt', 'pekerjaanupah', 'yg', 'layak', 'sekolahampjamkes', 'gratis', 'rumah', 'ga', 'ngontrakmaka', 'para', 'orang', 'tua', 'dpt', 'beri', 'asupan', 'makan', 'bergizi', 'pd', 'anaknyato', 'be', 'continue']</t>
  </si>
  <si>
    <t>&lt;FreqDist with 37 samples and 40 outcomes&gt;</t>
  </si>
  <si>
    <t>['maaf', 'bkn', 'mksd', 'merendahkan', 'program', 'makan', 'siangsusu', 'gratis', 'atasi', 'stunting', 'taraf', 'hidup', 'ekonomi', 'ortu', 'meningkat', 'spt', 'pekerjaanupah', 'layak', 'sekolahampjamkes', 'gratis', 'rumah', 'ngontrakmaka', 'orang', 'tua', 'dpt', 'asupan', 'makan', 'bergizi', 'pd', 'anaknyato', 'be', 'continue']</t>
  </si>
  <si>
    <t>['maaf', 'bkn', 'mksd', 'merendahkan', 'program', 'makan', 'siangsusu', 'gratis', 'atasi', 'stunting', 'taraf', 'hidup', 'ekonomi', 'orang tua', 'meningkat', 'seperti', 'pekerjaanupah', 'layak', 'sekolahampjamkes', 'gratis', 'rumah', 'ngontrakmaka', 'orang', 'tua', 'dapat', 'asupan', 'makan', 'bergizi', 'pada', 'anaknyato', 'be', 'continue']</t>
  </si>
  <si>
    <t>['maaf', 'bkn', 'mksd', 'rendah', 'program', 'makan', 'siangsusu', 'gratis', 'atas', 'stunting', 'taraf', 'hidup', 'ekonomi', 'orang tua', 'tingkat', 'seperti', 'pekerjaanupah', 'layak', 'sekolahampjamkes', 'gratis', 'rumah', 'ngontrakmaka', 'orang', 'tua', 'dapat', 'asupan', 'makan', 'gizi', 'pada', 'anaknyato', 'be', 'continue']</t>
  </si>
  <si>
    <t>program makan siang gratis sepertinya mengikuti prinsip kurangi potongan tingkatkan kreativitasnya juga nasi putih dan sosis memang tak tergantikan dalam menu bergizi rendah</t>
  </si>
  <si>
    <t>['program', 'makan', 'siang', 'gratis', 'sepertinya', 'mengikuti', 'prinsip', 'kurangi', 'potongan', 'tingkatkan', 'kreativitasnya', 'juga', 'nasi', 'putih', 'dan', 'sosis', 'memang', 'tak', 'tergantikan', 'dalam', 'menu', 'bergizi', 'rendah']</t>
  </si>
  <si>
    <t>&lt;FreqDist with 23 samples and 23 outcomes&gt;</t>
  </si>
  <si>
    <t>['program', 'makan', 'siang', 'gratis', 'mengikuti', 'prinsip', 'kurangi', 'potongan', 'tingkatkan', 'kreativitasnya', 'nasi', 'putih', 'sosis', 'tergantikan', 'menu', 'bergizi', 'rendah']</t>
  </si>
  <si>
    <t>['program', 'makan', 'siang', 'gratis', 'ikut', 'prinsip', 'kurang', 'potong', 'tingkat', 'kreativitas', 'nasi', 'putih', 'sosis', 'ganti', 'menu', 'gizi', 'rendah']</t>
  </si>
  <si>
    <t>joee anies back semoga dg program makan siang bergizi dan susu gratis tidak ada lagi orang bodoh lagi membodohkan</t>
  </si>
  <si>
    <t>['joee', 'anies', 'back', 'semoga', 'dg', 'program', 'makan', 'siang', 'bergizi', 'dan', 'susu', 'gratis', 'tidak', 'ada', 'lagi', 'orang', 'bodoh', 'lagi', 'membodohkan']</t>
  </si>
  <si>
    <t>&lt;FreqDist with 18 samples and 19 outcomes&gt;</t>
  </si>
  <si>
    <t>['joee', 'anies', 'back', 'semoga', 'program', 'makan', 'siang', 'bergizi', 'susu', 'gratis', 'orang', 'bodoh', 'membodohkan']</t>
  </si>
  <si>
    <t>['joee', 'anies', 'kembali', 'semoga', 'program', 'makan', 'siang', 'bergizi', 'susu', 'gratis', 'orang', 'bodoh', 'membodohkan']</t>
  </si>
  <si>
    <t>['joee', 'anies', 'kembali', 'moga', 'program', 'makan', 'siang', 'gizi', 'susu', 'gratis', 'orang', 'bodoh', 'bodoh']</t>
  </si>
  <si>
    <t>tentu program makan siang gratis bagi siswa dengan makananmakanan bergizi prabowo subianto</t>
  </si>
  <si>
    <t>['tentu', 'program', 'makan', 'siang', 'gratis', 'bagi', 'siswa', 'dengan', 'makananmakanan', 'bergizi', 'prabowo', 'subianto']</t>
  </si>
  <si>
    <t>&lt;FreqDist with 12 samples and 12 outcomes&gt;</t>
  </si>
  <si>
    <t>['program', 'makan', 'siang', 'gratis', 'siswa', 'makananmakanan', 'bergizi', 'prabowo', 'subianto']</t>
  </si>
  <si>
    <t>['program', 'makan', 'siang', 'gratis', 'siswa', 'makananmakanan', 'gizi', 'prabowo', 'subianto']</t>
  </si>
  <si>
    <t>id aku dukung program makan siang gratis dari prabowogibran biar anak indonesia terjamin dalam sehari dapet makanan bergizi</t>
  </si>
  <si>
    <t>['id', 'aku', 'dukung', 'program', 'makan', 'siang', 'gratis', 'dari', 'prabowogibran', 'biar', 'anak', 'indonesia', 'terjamin', 'dalam', 'sehari', 'dapet', 'makanan', 'bergizi']</t>
  </si>
  <si>
    <t>&lt;FreqDist with 18 samples and 18 outcomes&gt;</t>
  </si>
  <si>
    <t>['id', 'dukung', 'program', 'makan', 'siang', 'gratis', 'prabowogibran', 'anak', 'indonesia', 'terjamin', 'sehari', 'dapet', 'makanan', 'bergizi']</t>
  </si>
  <si>
    <t>['id', 'dukung', 'program', 'makan', 'siang', 'gratis', 'prabowogibran', 'anak', 'indonesia', 'terjamin', 'sehari', 'dapat', 'makanan', 'bergizi']</t>
  </si>
  <si>
    <t>['id', 'dukung', 'program', 'makan', 'siang', 'gratis', 'prabowogibran', 'anak', 'indonesia', 'jamin', 'hari', 'dapat', 'makan', 'gizi']</t>
  </si>
  <si>
    <t>program makan siang gratis dibedah dalam menit sama bang lagian yah makan gratis ini program yg absurd banget dan gak akan bisa dilaksanakan kalo tetep dipaksaain yg ada cm jd bahan bancakan doang alih anak dapet makanan bergizi yg ada bakalan dpt makanan basi</t>
  </si>
  <si>
    <t>['program', 'makan', 'siang', 'gratis', 'dibedah', 'dalam', 'menit', 'sama', 'bang', 'lagian', 'yah', 'makan', 'gratis', 'ini', 'program', 'yg', 'absurd', 'banget', 'dan', 'gak', 'akan', 'bisa', 'dilaksanakan', 'kalo', 'tetep', 'dipaksaain', 'yg', 'ada', 'cm', 'jd', 'bahan', 'bancakan', 'doang', 'alih', 'anak', 'dapet', 'makanan', 'bergizi', 'yg', 'ada', 'bakalan', 'dpt', 'makanan', 'basi']</t>
  </si>
  <si>
    <t>&lt;FreqDist with 37 samples and 44 outcomes&gt;</t>
  </si>
  <si>
    <t>['program', 'makan', 'siang', 'gratis', 'dibedah', 'menit', 'bang', 'makan', 'gratis', 'program', 'absurd', 'banget', 'dilaksanakan', 'tetep', 'dipaksaain', 'cm', 'bahan', 'bancakan', 'doang', 'alih', 'anak', 'dapet', 'makanan', 'bergizi', 'dpt', 'makanan', 'basi']</t>
  </si>
  <si>
    <t>['program', 'makan', 'siang', 'gratis', 'dibedah', 'menit', 'kakak', 'makan', 'gratis', 'program', 'absurd', 'sekali', 'dilaksanakan', 'tetap', 'dipaksaain', 'cm', 'bahan', 'bancakan', 'doang', 'alih', 'anak', 'dapat', 'makanan', 'bergizi', 'dapat', 'makanan', 'basi']</t>
  </si>
  <si>
    <t>['program', 'makan', 'siang', 'gratis', 'bedah', 'menit', 'kakak', 'makan', 'gratis', 'program', 'absurd', 'sekali', 'laksana', 'tetap', 'dipaksaain', 'cm', 'bahan', 'bancak', 'doang', 'alih', 'anak', 'dapat', 'makan', 'gizi', 'dapat', 'makan', 'basi']</t>
  </si>
  <si>
    <t>program makan siang gratis dapat membantu mengurangi ketidaksetaraan sosial dengan memberikan akses yang sama terhadap makanan yang bergizi kepada mereka yang mungkin membutuhkan bantuan ekstra</t>
  </si>
  <si>
    <t>['program', 'makan', 'siang', 'gratis', 'dapat', 'membantu', 'mengurangi', 'ketidaksetaraan', 'sosial', 'dengan', 'memberikan', 'akses', 'yang', 'sama', 'terhadap', 'makanan', 'yang', 'bergizi', 'kepada', 'mereka', 'yang', 'mungkin', 'membutuhkan', 'bantuan', 'ekstra']</t>
  </si>
  <si>
    <t>&lt;FreqDist with 23 samples and 25 outcomes&gt;</t>
  </si>
  <si>
    <t>['program', 'makan', 'siang', 'gratis', 'membantu', 'mengurangi', 'ketidaksetaraan', 'sosial', 'akses', 'makanan', 'bergizi', 'membutuhkan', 'bantuan', 'ekstra']</t>
  </si>
  <si>
    <t>['program', 'makan', 'siang', 'gratis', 'bantu', 'kurang', 'ketidaksetaraan', 'sosial', 'akses', 'makan', 'gizi', 'butuh', 'bantu', 'ekstra']</t>
  </si>
  <si>
    <t>jujur program makan siang gratis ini gue setuju bgt sih terutama buat anak sd yg butuh makanan sehat bergizi ya karna ga semua anak dibekelin makan banyaknya yg dikasih uang saku tapi pas istirahat belinya jajanan yg boro sehat kenyang aja engga</t>
  </si>
  <si>
    <t>['jujur', 'program', 'makan', 'siang', 'gratis', 'ini', 'gue', 'setuju', 'bgt', 'sih', 'terutama', 'buat', 'anak', 'sd', 'yg', 'butuh', 'makanan', 'sehat', 'bergizi', 'ya', 'karna', 'ga', 'semua', 'anak', 'dibekelin', 'makan', 'banyaknya', 'yg', 'dikasih', 'uang', 'saku', 'tapi', 'pas', 'istirahat', 'belinya', 'jajanan', 'yg', 'boro', 'sehat', 'kenyang', 'aja', 'engga']</t>
  </si>
  <si>
    <t>&lt;FreqDist with 37 samples and 42 outcomes&gt;</t>
  </si>
  <si>
    <t>['jujur', 'program', 'makan', 'siang', 'gratis', 'gue', 'setuju', 'bgt', 'anak', 'sd', 'butuh', 'makanan', 'sehat', 'bergizi', 'karna', 'anak', 'dibekelin', 'makan', 'banyaknya', 'dikasih', 'uang', 'saku', 'pas', 'istirahat', 'belinya', 'jajanan', 'boro', 'sehat', 'kenyang', 'engga']</t>
  </si>
  <si>
    <t>['jujur', 'program', 'makan', 'siang', 'gratis', 'aku', 'setuju', 'sekali', 'anak', 'sd', 'butuh', 'makanan', 'sehat', 'bergizi', 'karena', 'anak', 'dibekelin', 'makan', 'banyaknya', 'dikasih', 'uang', 'saku', 'pas', 'istirahat', 'belinya', 'jajanan', 'jangan', 'sehat', 'kenyang', 'tidak']</t>
  </si>
  <si>
    <t>['jujur', 'program', 'makan', 'siang', 'gratis', 'aku', 'tuju', 'sekali', 'anak', 'sd', 'butuh', 'makan', 'sehat', 'gizi', 'karena', 'anak', 'dibekelin', 'makan', 'banyak', 'kasih', 'uang', 'saku', 'pas', 'istirahat', 'beli', 'jajan', 'jangan', 'sehat', 'kenyang', 'tidak']</t>
  </si>
  <si>
    <t>rosiade program konyol makan siang gratis untuk mendapatkan proyek investasi apaan kek gitu kalau memang punya gagasan cukup menstabilkan harga pokok semua warga bisa membeli makan yg sehat menciptakan lapangan kerja semua org mendapatkan uang buat mmbeli kebutuhan yg bergizi</t>
  </si>
  <si>
    <t>['rosiade', 'program', 'konyol', 'makan', 'siang', 'gratis', 'untuk', 'mendapatkan', 'proyek', 'investasi', 'apaan', 'kek', 'gitu', 'kalau', 'memang', 'punya', 'gagasan', 'cukup', 'menstabilkan', 'harga', 'pokok', 'semua', 'warga', 'bisa', 'membeli', 'makan', 'yg', 'sehat', 'menciptakan', 'lapangan', 'kerja', 'semua', 'org', 'mendapatkan', 'uang', 'buat', 'mmbeli', 'kebutuhan', 'yg', 'bergizi']</t>
  </si>
  <si>
    <t>&lt;FreqDist with 36 samples and 40 outcomes&gt;</t>
  </si>
  <si>
    <t>['rosiade', 'program', 'konyol', 'makan', 'siang', 'gratis', 'proyek', 'investasi', 'kek', 'gitu', 'gagasan', 'menstabilkan', 'harga', 'pokok', 'warga', 'membeli', 'makan', 'sehat', 'menciptakan', 'lapangan', 'kerja', 'org', 'uang', 'mmbeli', 'kebutuhan', 'bergizi']</t>
  </si>
  <si>
    <t>['rosiade', 'program', 'konyol', 'makan', 'siang', 'gratis', 'proyek', 'investasi', 'seperti', 'gitu', 'gagasan', 'menstabilkan', 'harga', 'pokok', 'warga', 'membeli', 'makan', 'sehat', 'menciptakan', 'lapangan', 'kerja', 'orang', 'uang', 'mmbeli', 'kebutuhan', 'bergizi']</t>
  </si>
  <si>
    <t>['rosiade', 'program', 'konyol', 'makan', 'siang', 'gratis', 'proyek', 'investasi', 'seperti', 'gitu', 'gagas', 'stabil', 'harga', 'pokok', 'warga', 'beli', 'makan', 'sehat', 'cipta', 'lapang', 'kerja', 'orang', 'uang', 'mmbeli', 'butuh', 'gizi']</t>
  </si>
  <si>
    <t>baru sadar tujuan paslon buat program makan siang gratis yang bergizi untuk anak sekolah itu guna mempersiapkan anak bangsa biar gedenya ga tolol kaya razak ya guys</t>
  </si>
  <si>
    <t>['baru', 'sadar', 'tujuan', 'paslon', 'buat', 'program', 'makan', 'siang', 'gratis', 'yang', 'bergizi', 'untuk', 'anak', 'sekolah', 'itu', 'guna', 'mempersiapkan', 'anak', 'bangsa', 'biar', 'gedenya', 'ga', 'tolol', 'kaya', 'razak', 'ya', 'guys']</t>
  </si>
  <si>
    <t>&lt;FreqDist with 26 samples and 27 outcomes&gt;</t>
  </si>
  <si>
    <t>['sadar', 'tujuan', 'paslon', 'program', 'makan', 'siang', 'gratis', 'bergizi', 'anak', 'sekolah', 'anak', 'bangsa', 'gedenya', 'tolol', 'kaya', 'razak', 'guys']</t>
  </si>
  <si>
    <t>['sadar', 'tujuan', 'paslon', 'program', 'makan', 'siang', 'gratis', 'bergizi', 'anak', 'sekolah', 'anak', 'bangsa', 'gedenya', 'bodoh', 'seperti', 'razak', 'teman']</t>
  </si>
  <si>
    <t>['sadar', 'tuju', 'paslon', 'program', 'makan', 'siang', 'gratis', 'gizi', 'anak', 'sekolah', 'anak', 'bangsa', 'gede', 'bodoh', 'seperti', 'razak', 'teman']</t>
  </si>
  <si>
    <t>mereka yang nyaris tidak pernah lapar akan sulit bayangkan dan rasakan kalau seseorang lagi lapar betulan rakyat miskin tentu setuju program makan siang gratis anak sekolah karena negara harus jamin rakyat nya tidak lapar minimal dalam hari ada makan yang bergizi</t>
  </si>
  <si>
    <t>['mereka', 'yang', 'nyaris', 'tidak', 'pernah', 'lapar', 'akan', 'sulit', 'bayangkan', 'dan', 'rasakan', 'kalau', 'seseorang', 'lagi', 'lapar', 'betulan', 'rakyat', 'miskin', 'tentu', 'setuju', 'program', 'makan', 'siang', 'gratis', 'anak', 'sekolah', 'karena', 'negara', 'harus', 'jamin', 'rakyat', 'nya', 'tidak', 'lapar', 'minimal', 'dalam', 'hari', 'ada', 'makan', 'yang', 'bergizi']</t>
  </si>
  <si>
    <t>&lt;FreqDist with 35 samples and 41 outcomes&gt;</t>
  </si>
  <si>
    <t>['lapar', 'sulit', 'bayangkan', 'rasakan', 'lapar', 'betulan', 'rakyat', 'miskin', 'setuju', 'program', 'makan', 'siang', 'gratis', 'anak', 'sekolah', 'negara', 'jamin', 'rakyat', 'lapar', 'minimal', 'makan', 'bergizi']</t>
  </si>
  <si>
    <t>['lapar', 'sulit', 'bayang', 'rasa', 'lapar', 'betul', 'rakyat', 'miskin', 'tuju', 'program', 'makan', 'siang', 'gratis', 'anak', 'sekolah', 'negara', 'jamin', 'rakyat', 'lapar', 'minimal', 'makan', 'gizi']</t>
  </si>
  <si>
    <t>dumdum agak dongo sih klo pilih yg hanya program demi makan gratis doang klo di teliti program itu bisa jd penghasilan yg uangnya dipakai beli makan siang yg lebih bergizi jd patut di retweet nih</t>
  </si>
  <si>
    <t>['dumdum', 'agak', 'dongo', 'sih', 'klo', 'pilih', 'yg', 'hanya', 'program', 'demi', 'makan', 'gratis', 'doang', 'klo', 'di', 'teliti', 'program', 'itu', 'bisa', 'jd', 'penghasilan', 'yg', 'uangnya', 'dipakai', 'beli', 'makan', 'siang', 'yg', 'lebih', 'bergizi', 'jd', 'patut', 'di', 'retweet', 'nih']</t>
  </si>
  <si>
    <t>&lt;FreqDist with 28 samples and 35 outcomes&gt;</t>
  </si>
  <si>
    <t>['dumdum', 'dongo', 'pilih', 'program', 'makan', 'gratis', 'doang', 'teliti', 'program', 'penghasilan', 'uangnya', 'dipakai', 'beli', 'makan', 'siang', 'bergizi', 'patut', 'retweet']</t>
  </si>
  <si>
    <t>['dumdum', 'dongo', 'pilih', 'program', 'makan', 'gratis', 'doang', 'teliti', 'program', 'hasil', 'uang', 'pakai', 'beli', 'makan', 'siang', 'gizi', 'patut', 'retweet']</t>
  </si>
  <si>
    <t>program makan amp susu gratis yang konon untuk mengatasi gizi buruk ini program pembodohan secara terstruktural untuk mengatasi gizi buruk buka seluasluasnya akses pekerjaan sehingga semua keluarga ada penghasilan yg cukup untuk ngasi makan yg bergizi keluarganya</t>
  </si>
  <si>
    <t>['program', 'makan', 'amp', 'susu', 'gratis', 'yang', 'konon', 'untuk', 'mengatasi', 'gizi', 'buruk', 'ini', 'program', 'pembodohan', 'secara', 'terstruktural', 'untuk', 'mengatasi', 'gizi', 'buruk', 'buka', 'seluasluasnya', 'akses', 'pekerjaan', 'sehingga', 'semua', 'keluarga', 'ada', 'penghasilan', 'yg', 'cukup', 'untuk', 'ngasi', 'makan', 'yg', 'bergizi', 'keluarganya']</t>
  </si>
  <si>
    <t>&lt;FreqDist with 29 samples and 37 outcomes&gt;</t>
  </si>
  <si>
    <t>['program', 'makan', 'susu', 'gratis', 'konon', 'mengatasi', 'gizi', 'buruk', 'program', 'pembodohan', 'terstruktural', 'mengatasi', 'gizi', 'buruk', 'buka', 'seluasluasnya', 'akses', 'pekerjaan', 'keluarga', 'penghasilan', 'ngasi', 'makan', 'bergizi', 'keluarganya']</t>
  </si>
  <si>
    <t>['program', 'makan', 'susu', 'gratis', 'konon', 'atas', 'gizi', 'buruk', 'program', 'bodoh', 'struktural', 'atas', 'gizi', 'buruk', 'buka', 'seluasluasnya', 'akses', 'kerja', 'keluarga', 'hasil', 'ngasi', 'makan', 'gizi', 'keluarga']</t>
  </si>
  <si>
    <t>makanya program makan siang bergizi gratis buat anak sekolah itu bagus biar otak juga ternutrisi dan tidak somplak seperti pendukung wan kentut</t>
  </si>
  <si>
    <t>['makanya', 'program', 'makan', 'siang', 'bergizi', 'gratis', 'buat', 'anak', 'sekolah', 'itu', 'bagus', 'biar', 'otak', 'juga', 'ternutrisi', 'dan', 'tidak', 'somplak', 'seperti', 'pendukung', 'wan', 'kentut']</t>
  </si>
  <si>
    <t>&lt;FreqDist with 22 samples and 22 outcomes&gt;</t>
  </si>
  <si>
    <t>['program', 'makan', 'siang', 'bergizi', 'gratis', 'anak', 'sekolah', 'bagus', 'otak', 'ternutrisi', 'somplak', 'pendukung', 'wan', 'kentut']</t>
  </si>
  <si>
    <t>['program', 'makan', 'siang', 'gizi', 'gratis', 'anak', 'sekolah', 'bagus', 'otak', 'nutrisi', 'somplak', 'dukung', 'wan', 'kentut']</t>
  </si>
  <si>
    <t>program makan bergizi gratis uji coba anggaran rp ribu per porsi ditetapkan</t>
  </si>
  <si>
    <t>['program', 'makan', 'bergizi', 'gratis', 'uji', 'coba', 'anggaran', 'rp', 'ribu', 'per', 'porsi', 'ditetapkan']</t>
  </si>
  <si>
    <t>['program', 'makan', 'bergizi', 'gratis', 'uji', 'coba', 'anggaran', 'rp', 'ribu', 'porsi', 'ditetapkan']</t>
  </si>
  <si>
    <t>['program', 'makan', 'gizi', 'gratis', 'uji', 'coba', 'anggar', 'rp', 'ribu', 'porsi', 'tetap']</t>
  </si>
  <si>
    <t>pemerintah memutuskan memangkas anggaran untuk program makan bergizi gratis anak dan ibu hamil dari rp menjadi rp per orang hal itu menurut ekonom tidak akan berdampak signifikan pada perekonomian asumsinya dengan anggaran rp ribu per orang keluarga yang</t>
  </si>
  <si>
    <t>['pemerintah', 'memutuskan', 'memangkas', 'anggaran', 'untuk', 'program', 'makan', 'bergizi', 'gratis', 'anak', 'dan', 'ibu', 'hamil', 'dari', 'rp', 'menjadi', 'rp', 'per', 'orang', 'hal', 'itu', 'menurut', 'ekonom', 'tidak', 'akan', 'berdampak', 'signifikan', 'pada', 'perekonomian', 'asumsinya', 'dengan', 'anggaran', 'rp', 'ribu', 'per', 'orang', 'keluarga', 'yang']</t>
  </si>
  <si>
    <t>&lt;FreqDist with 33 samples and 38 outcomes&gt;</t>
  </si>
  <si>
    <t>['pemerintah', 'memutuskan', 'memangkas', 'anggaran', 'program', 'makan', 'bergizi', 'gratis', 'anak', 'hamil', 'rp', 'rp', 'orang', 'ekonom', 'berdampak', 'signifikan', 'perekonomian', 'asumsinya', 'anggaran', 'rp', 'ribu', 'orang', 'keluarga']</t>
  </si>
  <si>
    <t>['perintah', 'putus', 'mangkas', 'anggar', 'program', 'makan', 'gizi', 'gratis', 'anak', 'hamil', 'rp', 'rp', 'orang', 'ekonom', 'dampak', 'signifikan', 'ekonomi', 'asumsi', 'anggar', 'rp', 'ribu', 'orang', 'keluarga']</t>
  </si>
  <si>
    <t>hasan nasbi tekankan program makan bergizi gratis anggaran rp per porsi itu cukup lewat news</t>
  </si>
  <si>
    <t>['hasan', 'nasbi', 'tekankan', 'program', 'makan', 'bergizi', 'gratis', 'anggaran', 'rp', 'per', 'porsi', 'itu', 'cukup', 'lewat', 'news']</t>
  </si>
  <si>
    <t>&lt;FreqDist with 15 samples and 15 outcomes&gt;</t>
  </si>
  <si>
    <t>['hasan', 'nasbi', 'tekankan', 'program', 'makan', 'bergizi', 'gratis', 'anggaran', 'rp', 'porsi', 'news']</t>
  </si>
  <si>
    <t>['hasan', 'nasbi', 'tekan', 'program', 'makan', 'gizi', 'gratis', 'anggar', 'rp', 'porsi', 'news']</t>
  </si>
  <si>
    <t>melibatkan ibu adalah kunci keberhasilan program makan bergizi gratis</t>
  </si>
  <si>
    <t>['melibatkan', 'ibu', 'adalah', 'kunci', 'keberhasilan', 'program', 'makan', 'bergizi', 'gratis']</t>
  </si>
  <si>
    <t>&lt;FreqDist with 9 samples and 9 outcomes&gt;</t>
  </si>
  <si>
    <t>['melibatkan', 'kunci', 'keberhasilan', 'program', 'makan', 'bergizi', 'gratis']</t>
  </si>
  <si>
    <t>['libat', 'kunci', 'hasil', 'program', 'makan', 'gizi', 'gratis']</t>
  </si>
  <si>
    <t>belajar dari brasil dalam program makan bergizi gratis</t>
  </si>
  <si>
    <t>['belajar', 'dari', 'brasil', 'dalam', 'program', 'makan', 'bergizi', 'gratis']</t>
  </si>
  <si>
    <t>&lt;FreqDist with 8 samples and 8 outcomes&gt;</t>
  </si>
  <si>
    <t>['belajar', 'brasil', 'program', 'makan', 'bergizi', 'gratis']</t>
  </si>
  <si>
    <t>['ajar', 'brasil', 'program', 'makan', 'gizi', 'gratis']</t>
  </si>
  <si>
    <t>kali ini program makan siang bergizi gratis digelar di sdn gintungkerta kecamatan klari</t>
  </si>
  <si>
    <t>['kali', 'ini', 'program', 'makan', 'siang', 'bergizi', 'gratis', 'digelar', 'di', 'sdn', 'gintungkerta', 'kecamatan', 'klari']</t>
  </si>
  <si>
    <t>['kali', 'program', 'makan', 'siang', 'bergizi', 'gratis', 'digelar', 'sdn', 'gintungkerta', 'kecamatan', 'klari']</t>
  </si>
  <si>
    <t>['kali', 'program', 'makan', 'siang', 'gizi', 'gratis', 'gelar', 'sdn', 'gintungkerta', 'camat', 'klari']</t>
  </si>
  <si>
    <t>dalam rangka memberikan perlidungan dan jaminan sosial kepada penyandang disabilitas kementerian sosial pada tahun telah merencanakan empat program bagi penyandang disabilitas salah satunya program makan bergizi gratis dua kali sehari kepada ribu orang penyandang</t>
  </si>
  <si>
    <t>['dalam', 'rangka', 'memberikan', 'perlidungan', 'dan', 'jaminan', 'sosial', 'kepada', 'penyandang', 'disabilitas', 'kementerian', 'sosial', 'pada', 'tahun', 'telah', 'merencanakan', 'empat', 'program', 'bagi', 'penyandang', 'disabilitas', 'salah', 'satunya', 'program', 'makan', 'bergizi', 'gratis', 'dua', 'kali', 'sehari', 'kepada', 'ribu', 'orang', 'penyandang']</t>
  </si>
  <si>
    <t>&lt;FreqDist with 28 samples and 34 outcomes&gt;</t>
  </si>
  <si>
    <t>['rangka', 'perlidungan', 'jaminan', 'sosial', 'penyandang', 'disabilitas', 'kementerian', 'sosial', 'merencanakan', 'program', 'penyandang', 'disabilitas', 'salah', 'satunya', 'program', 'makan', 'bergizi', 'gratis', 'kali', 'sehari', 'ribu', 'orang', 'penyandang']</t>
  </si>
  <si>
    <t>['rangka', 'perlidungan', 'jamin', 'sosial', 'sandang', 'disabilitas', 'menteri', 'sosial', 'rencana', 'program', 'sandang', 'disabilitas', 'salah', 'satu', 'program', 'makan', 'gizi', 'gratis', 'kali', 'hari', 'ribu', 'orang', 'sandang']</t>
  </si>
  <si>
    <t>makan bergizi gratis bukan sekadar program prabowogibran tahu makan bergizi adalah langkah awal melawan stunting tapi gimana caranya agar program ini tepat sasaran yuk bersamasama</t>
  </si>
  <si>
    <t>['makan', 'bergizi', 'gratis', 'bukan', 'sekadar', 'program', 'prabowogibran', 'tahu', 'makan', 'bergizi', 'adalah', 'langkah', 'awal', 'melawan', 'stunting', 'tapi', 'gimana', 'caranya', 'agar', 'program', 'ini', 'tepat', 'sasaran', 'yuk', 'bersamasama']</t>
  </si>
  <si>
    <t>&lt;FreqDist with 22 samples and 25 outcomes&gt;</t>
  </si>
  <si>
    <t>['makan', 'bergizi', 'gratis', 'program', 'prabowogibran', 'makan', 'bergizi', 'langkah', 'melawan', 'stunting', 'gimana', 'program', 'sasaran', 'yuk', 'bersamasama']</t>
  </si>
  <si>
    <t>['makan', 'bergizi', 'gratis', 'program', 'prabowogibran', 'makan', 'bergizi', 'langkah', 'melawan', 'stunting', 'gimana', 'program', 'sasaran', 'ayo', 'bersamasama']</t>
  </si>
  <si>
    <t>['makan', 'gizi', 'gratis', 'program', 'prabowogibran', 'makan', 'gizi', 'langkah', 'lawan', 'stunting', 'gimana', 'program', 'sasar', 'ayo', 'bersamasama']</t>
  </si>
  <si>
    <t>hari ini kami simulasi program makan bergizi gratis di sdn anggadita  kali ini kami menyiapkan paket makanan untuk dibagikan</t>
  </si>
  <si>
    <t>['hari', 'ini', 'kami', 'simulasi', 'program', 'makan', 'bergizi', 'gratis', 'di', 'sdn', 'anggadita', 'kali', 'ini', 'kami', 'menyiapkan', 'paket', 'makanan', 'untuk', 'dibagikan']</t>
  </si>
  <si>
    <t>&lt;FreqDist with 17 samples and 19 outcomes&gt;</t>
  </si>
  <si>
    <t>['simulasi', 'program', 'makan', 'bergizi', 'gratis', 'sdn', 'anggadita', 'kali', 'paket', 'makanan', 'dibagikan']</t>
  </si>
  <si>
    <t>['simulasi', 'program', 'makan', 'gizi', 'gratis', 'sdn', 'anggadita', 'kali', 'paket', 'makan', 'bagi']</t>
  </si>
  <si>
    <t>sambut prabowo di ntt warga kupang optimistis dengan program makan bergizi gratis kupang para masyarakat nusa tenggara timur ntt menyambut antusias kedatangan presiden ri prabowo subianto di kupang salah satu dari mereka pun mengaku optimistis dengan program makan bergizi</t>
  </si>
  <si>
    <t>['sambut', 'prabowo', 'di', 'ntt', 'warga', 'kupang', 'optimistis', 'dengan', 'program', 'makan', 'bergizi', 'gratis', 'kupang', 'para', 'masyarakat', 'nusa', 'tenggara', 'timur', 'ntt', 'menyambut', 'antusias', 'kedatangan', 'presiden', 'ri', 'prabowo', 'subianto', 'di', 'kupang', 'salah', 'satu', 'dari', 'mereka', 'pun', 'mengaku', 'optimistis', 'dengan', 'program', 'makan', 'bergizi']</t>
  </si>
  <si>
    <t>&lt;FreqDist with 29 samples and 39 outcomes&gt;</t>
  </si>
  <si>
    <t>['sambut', 'prabowo', 'ntt', 'warga', 'kupang', 'optimistis', 'program', 'makan', 'bergizi', 'gratis', 'kupang', 'masyarakat', 'nusa', 'tenggara', 'timur', 'ntt', 'menyambut', 'antusias', 'kedatangan', 'presiden', 'ri', 'prabowo', 'subianto', 'kupang', 'salah', 'mengaku', 'optimistis', 'program', 'makan', 'bergizi']</t>
  </si>
  <si>
    <t>['sambut', 'prabowo', 'ntt', 'warga', 'kupang', 'optimistis', 'program', 'makan', 'gizi', 'gratis', 'kupang', 'masyarakat', 'nusa', 'tenggara', 'timur', 'ntt', 'sambut', 'antusias', 'datang', 'presiden', 'ri', 'prabowo', 'subianto', 'kupang', 'salah', 'aku', 'optimistis', 'program', 'makan', 'gizi']</t>
  </si>
  <si>
    <t>sejumlah perwakilan masyarakat yang menyambut antusias kedatangan presiden prabowo subianto di kupang selasa malam menyampaikan harapan besar terhadap program makan bergizi gratis mbg yang digagas presiden prabowo subianto untuk bisa segera dirasakan manfaatnya</t>
  </si>
  <si>
    <t>['sejumlah', 'perwakilan', 'masyarakat', 'yang', 'menyambut', 'antusias', 'kedatangan', 'presiden', 'prabowo', 'subianto', 'di', 'kupang', 'selasa', 'malam', 'menyampaikan', 'harapan', 'besar', 'terhadap', 'program', 'makan', 'bergizi', 'gratis', 'mbg', 'yang', 'digagas', 'presiden', 'prabowo', 'subianto', 'untuk', 'bisa', 'segera', 'dirasakan', 'manfaatnya']</t>
  </si>
  <si>
    <t>&lt;FreqDist with 29 samples and 33 outcomes&gt;</t>
  </si>
  <si>
    <t>['perwakilan', 'masyarakat', 'menyambut', 'antusias', 'kedatangan', 'presiden', 'prabowo', 'subianto', 'kupang', 'selasa', 'malam', 'harapan', 'program', 'makan', 'bergizi', 'gratis', 'mbg', 'digagas', 'presiden', 'prabowo', 'subianto', 'dirasakan', 'manfaatnya']</t>
  </si>
  <si>
    <t>['wakil', 'masyarakat', 'sambut', 'antusias', 'datang', 'presiden', 'prabowo', 'subianto', 'kupang', 'selasa', 'malam', 'harap', 'program', 'makan', 'gizi', 'gratis', 'mbg', 'gagas', 'presiden', 'prabowo', 'subianto', 'rasa', 'manfaat']</t>
  </si>
  <si>
    <t>warga kupang optimistis dengan program makan bergizi gratis yang digencarkan prabowo</t>
  </si>
  <si>
    <t>['warga', 'kupang', 'optimistis', 'dengan', 'program', 'makan', 'bergizi', 'gratis', 'yang', 'digencarkan', 'prabowo']</t>
  </si>
  <si>
    <t>&lt;FreqDist with 11 samples and 11 outcomes&gt;</t>
  </si>
  <si>
    <t>['warga', 'kupang', 'optimistis', 'program', 'makan', 'bergizi', 'gratis', 'digencarkan', 'prabowo']</t>
  </si>
  <si>
    <t>['warga', 'kupang', 'optimistis', 'program', 'makan', 'gizi', 'gratis', 'gencar', 'prabowo']</t>
  </si>
  <si>
    <t>karangasem belum anggarkan program makan bergizi gratis untuk siswa</t>
  </si>
  <si>
    <t>['karangasem', 'belum', 'anggarkan', 'program', 'makan', 'bergizi', 'gratis', 'untuk', 'siswa']</t>
  </si>
  <si>
    <t>['karangasem', 'anggarkan', 'program', 'makan', 'bergizi', 'gratis', 'siswa']</t>
  </si>
  <si>
    <t>['karangasem', 'anggar', 'program', 'makan', 'gizi', 'gratis', 'siswa']</t>
  </si>
  <si>
    <t>kementerian sosial kemensos telah merencanakan empat program bagi penyandang disabilitas di dalam rangka memberikan perlindungan dan jaminan sosial kepada para difabel keempat program itu meliputi program makan bergizi gratis program keluarga harapan bantuan pangan non</t>
  </si>
  <si>
    <t>['kementerian', 'sosial', 'kemensos', 'telah', 'merencanakan', 'empat', 'program', 'bagi', 'penyandang', 'disabilitas', 'di', 'dalam', 'rangka', 'memberikan', 'perlindungan', 'dan', 'jaminan', 'sosial', 'kepada', 'para', 'difabel', 'keempat', 'program', 'itu', 'meliputi', 'program', 'makan', 'bergizi', 'gratis', 'program', 'keluarga', 'harapan', 'bantuan', 'pangan', 'non']</t>
  </si>
  <si>
    <t>&lt;FreqDist with 31 samples and 35 outcomes&gt;</t>
  </si>
  <si>
    <t>['kementerian', 'sosial', 'kemensos', 'merencanakan', 'program', 'penyandang', 'disabilitas', 'rangka', 'perlindungan', 'jaminan', 'sosial', 'difabel', 'keempat', 'program', 'meliputi', 'program', 'makan', 'bergizi', 'gratis', 'program', 'keluarga', 'harapan', 'bantuan', 'pangan', 'non']</t>
  </si>
  <si>
    <t>['menteri', 'sosial', 'kemensos', 'rencana', 'program', 'sandang', 'disabilitas', 'rangka', 'lindung', 'jamin', 'sosial', 'difabel', 'empat', 'program', 'liput', 'program', 'makan', 'gizi', 'gratis', 'program', 'keluarga', 'harap', 'bantu', 'pangan', 'non']</t>
  </si>
  <si>
    <t>kemenkop dorong penguatan peran koperasi dalam program makan bergizi gratis</t>
  </si>
  <si>
    <t>['kemenkop', 'dorong', 'penguatan', 'peran', 'koperasi', 'dalam', 'program', 'makan', 'bergizi', 'gratis']</t>
  </si>
  <si>
    <t>['kemenkop', 'dorong', 'penguatan', 'peran', 'koperasi', 'program', 'makan', 'bergizi', 'gratis']</t>
  </si>
  <si>
    <t>['kemenkop', 'dorong', 'kuat', 'peran', 'koperasi', 'program', 'makan', 'gizi', 'gratis']</t>
  </si>
  <si>
    <t>prabowo tak ambil pusing harga index saham turun dengan program makan bergizi gratis</t>
  </si>
  <si>
    <t>['prabowo', 'tak', 'ambil', 'pusing', 'harga', 'index', 'saham', 'turun', 'dengan', 'program', 'makan', 'bergizi', 'gratis']</t>
  </si>
  <si>
    <t>['prabowo', 'ambil', 'pusing', 'harga', 'index', 'saham', 'turun', 'program', 'makan', 'bergizi', 'gratis']</t>
  </si>
  <si>
    <t>['prabowo', 'ambil', 'pusing', 'harga', 'index', 'saham', 'turun', 'program', 'makan', 'gizi', 'gratis']</t>
  </si>
  <si>
    <t>warga harap program makan bergizi gratis prabowo bisa bantu anakanak di ntt</t>
  </si>
  <si>
    <t>['warga', 'harap', 'program', 'makan', 'bergizi', 'gratis', 'prabowo', 'bisa', 'bantu', 'anakanak', 'di', 'ntt']</t>
  </si>
  <si>
    <t>['warga', 'harap', 'program', 'makan', 'bergizi', 'gratis', 'prabowo', 'bantu', 'anakanak', 'ntt']</t>
  </si>
  <si>
    <t>['warga', 'harap', 'program', 'makan', 'gizi', 'gratis', 'prabowo', 'bantu', 'anakanak', 'ntt']</t>
  </si>
  <si>
    <t>ketika tni au turun ikut sukseskan program makan bergizi gratis</t>
  </si>
  <si>
    <t>['ketika', 'tni', 'au', 'turun', 'ikut', 'sukseskan', 'program', 'makan', 'bergizi', 'gratis']</t>
  </si>
  <si>
    <t>['tni', 'au', 'turun', 'sukseskan', 'program', 'makan', 'bergizi', 'gratis']</t>
  </si>
  <si>
    <t>['tni', 'tahu', 'turun', 'sukseskan', 'program', 'makan', 'bergizi', 'gratis']</t>
  </si>
  <si>
    <t>['tni', 'tahu', 'turun', 'sukses', 'program', 'makan', 'gizi', 'gratis']</t>
  </si>
  <si>
    <t>prabowo diancamancam jalankan program rakyat termasuk makan bergizi gratis</t>
  </si>
  <si>
    <t>['prabowo', 'diancamancam', 'jalankan', 'program', 'rakyat', 'termasuk', 'makan', 'bergizi', 'gratis']</t>
  </si>
  <si>
    <t>['prabowo', 'diancamancam', 'jalankan', 'program', 'rakyat', 'makan', 'bergizi', 'gratis']</t>
  </si>
  <si>
    <t>['prabowo', 'diancamancam', 'jalan', 'program', 'rakyat', 'makan', 'gizi', 'gratis']</t>
  </si>
  <si>
    <t>badan pangan nasional bapanas melaksanakan kajian untuk menentukan menu program makan bergizi gratis mbg sesuai dengan potensi bahan pangan yang diproduksi di setiap daerah di indonesia berikut daftar menu makan bergizi gratis di berbagai daerah</t>
  </si>
  <si>
    <t>['badan', 'pangan', 'nasional', 'bapanas', 'melaksanakan', 'kajian', 'untuk', 'menentukan', 'menu', 'program', 'makan', 'bergizi', 'gratis', 'mbg', 'sesuai', 'dengan', 'potensi', 'bahan', 'pangan', 'yang', 'diproduksi', 'di', 'setiap', 'daerah', 'di', 'indonesia', 'berikut', 'daftar', 'menu', 'makan', 'bergizi', 'gratis', 'di', 'berbagai', 'daerah']</t>
  </si>
  <si>
    <t>&lt;FreqDist with 27 samples and 35 outcomes&gt;</t>
  </si>
  <si>
    <t>['badan', 'pangan', 'nasional', 'bapanas', 'melaksanakan', 'kajian', 'menentukan', 'menu', 'program', 'makan', 'bergizi', 'gratis', 'mbg', 'sesuai', 'potensi', 'bahan', 'pangan', 'diproduksi', 'daerah', 'indonesia', 'daftar', 'menu', 'makan', 'bergizi', 'gratis', 'daerah']</t>
  </si>
  <si>
    <t>['badan', 'pangan', 'nasional', 'bapanas', 'laksana', 'kaji', 'tentu', 'menu', 'program', 'makan', 'gizi', 'gratis', 'mbg', 'sesuai', 'potensi', 'bahan', 'pangan', 'produksi', 'daerah', 'indonesia', 'daftar', 'menu', 'makan', 'gizi', 'gratis', 'daerah']</t>
  </si>
  <si>
    <t>polda kepri bersinergi laksanakan rapat koordinasi sukseskan program makan bergizi gratis polisi indonesia polisi</t>
  </si>
  <si>
    <t>['polda', 'kepri', 'bersinergi', 'laksanakan', 'rapat', 'koordinasi', 'sukseskan', 'program', 'makan', 'bergizi', 'gratis', 'polisi', 'indonesia', 'polisi']</t>
  </si>
  <si>
    <t>&lt;FreqDist with 13 samples and 14 outcomes&gt;</t>
  </si>
  <si>
    <t>['polda', 'kepri', 'sinergi', 'laksana', 'rapat', 'koordinasi', 'sukses', 'program', 'makan', 'gizi', 'gratis', 'polisi', 'indonesia', 'polisi']</t>
  </si>
  <si>
    <t>pgn dukung program makan bergizi gratis negara</t>
  </si>
  <si>
    <t>['pgn', 'dukung', 'program', 'makan', 'bergizi', 'gratis', 'negara']</t>
  </si>
  <si>
    <t>&lt;FreqDist with 7 samples and 7 outcomes&gt;</t>
  </si>
  <si>
    <t>['ingin', 'dukung', 'program', 'makan', 'bergizi', 'gratis', 'negara']</t>
  </si>
  <si>
    <t>['ingin', 'dukung', 'program', 'makan', 'gizi', 'gratis', 'negara']</t>
  </si>
  <si>
    <t>pulang dari luar negeri setelah lawatan sejak november presiden prabowo subianto membawa komitmen sejumlah negara untuk mewujudkan program makan bergizi gratis</t>
  </si>
  <si>
    <t>['pulang', 'dari', 'luar', 'negeri', 'setelah', 'lawatan', 'sejak', 'november', 'presiden', 'prabowo', 'subianto', 'membawa', 'komitmen', 'sejumlah', 'negara', 'untuk', 'mewujudkan', 'program', 'makan', 'bergizi', 'gratis']</t>
  </si>
  <si>
    <t>&lt;FreqDist with 21 samples and 21 outcomes&gt;</t>
  </si>
  <si>
    <t>['pulang', 'negeri', 'lawatan', 'november', 'presiden', 'prabowo', 'subianto', 'membawa', 'komitmen', 'negara', 'mewujudkan', 'program', 'makan', 'bergizi', 'gratis']</t>
  </si>
  <si>
    <t>['pulang', 'negeri', 'lawat', 'november', 'presiden', 'prabowo', 'subianto', 'bawa', 'komitmen', 'negara', 'wujud', 'program', 'makan', 'gizi', 'gratis']</t>
  </si>
  <si>
    <t>pemprov lampung harap program makan bergizi gratis tingkatkan ekonomi lokal</t>
  </si>
  <si>
    <t>['pemprov', 'lampung', 'harap', 'program', 'makan', 'bergizi', 'gratis', 'tingkatkan', 'ekonomi', 'lokal']</t>
  </si>
  <si>
    <t>['pemprov', 'lampung', 'harap', 'program', 'makan', 'gizi', 'gratis', 'tingkat', 'ekonomi', 'lokal']</t>
  </si>
  <si>
    <t>fpks dukung one day one fish untuk program makan bergizi gratis riyono anggota komisi iv dpr ri dari fpks</t>
  </si>
  <si>
    <t>['fpks', 'dukung', 'one', 'day', 'one', 'fish', 'untuk', 'program', 'makan', 'bergizi', 'gratis', 'riyono', 'anggota', 'komisi', 'iv', 'dpr', 'ri', 'dari', 'fpks']</t>
  </si>
  <si>
    <t>['fpks', 'dukung', 'one', 'day', 'one', 'fish', 'program', 'makan', 'bergizi', 'gratis', 'riyono', 'anggota', 'komisi', 'iv', 'dpr', 'ri', 'fpks']</t>
  </si>
  <si>
    <t>['fpks', 'dukung', 'satu', 'hari', 'satu', 'fish', 'program', 'makan', 'bergizi', 'gratis', 'riyono', 'anggota', 'komisi', 'iv', 'dpr', 'ri', 'fpks']</t>
  </si>
  <si>
    <t>['fpks', 'dukung', 'satu', 'hari', 'satu', 'fish', 'program', 'makan', 'gizi', 'gratis', 'riyono', 'anggota', 'komisi', 'iv', 'dpr', 'ri', 'fpks']</t>
  </si>
  <si>
    <t>tvrinews yogyakarta pemerintah kabupaten pemkab kulonprogo mengalokasikan anggaran sebesar miliar rupiah untuk program makan bergizi gratis pada tahun mendatang alokasi ini diambil dari pendapatan asli daerah termasuk menotong sejumlah anggaran untuk berbagai</t>
  </si>
  <si>
    <t>['tvrinews', 'yogyakarta', 'pemerintah', 'kabupaten', 'pemkab', 'kulonprogo', 'mengalokasikan', 'anggaran', 'sebesar', 'miliar', 'rupiah', 'untuk', 'program', 'makan', 'bergizi', 'gratis', 'pada', 'tahun', 'mendatang', 'alokasi', 'ini', 'diambil', 'dari', 'pendapatan', 'asli', 'daerah', 'termasuk', 'menotong', 'sejumlah', 'anggaran', 'untuk', 'berbagai']</t>
  </si>
  <si>
    <t>&lt;FreqDist with 30 samples and 32 outcomes&gt;</t>
  </si>
  <si>
    <t>['tvrinews', 'yogyakarta', 'pemerintah', 'kabupaten', 'pemkab', 'kulonprogo', 'mengalokasikan', 'anggaran', 'miliar', 'rupiah', 'program', 'makan', 'bergizi', 'gratis', 'alokasi', 'diambil', 'pendapatan', 'asli', 'daerah', 'menotong', 'anggaran']</t>
  </si>
  <si>
    <t>['tvrinews', 'yogyakarta', 'perintah', 'kabupaten', 'pemkab', 'kulonprogo', 'alokasi', 'anggar', 'miliar', 'rupiah', 'program', 'makan', 'gizi', 'gratis', 'alokasi', 'ambil', 'dapat', 'asli', 'daerah', 'menotong', 'anggar']</t>
  </si>
  <si>
    <t>ipolid bank mandiri terus konsisten menjalankan peran sebagai mitra strategis pemerintah lewat dukungan program makan bergizi gratis lewat penyaluran kredit ke sektorsektor yang menjadi pendukung utama ekosistem pangan</t>
  </si>
  <si>
    <t>['ipolid', 'bank', 'mandiri', 'terus', 'konsisten', 'menjalankan', 'peran', 'sebagai', 'mitra', 'strategis', 'pemerintah', 'lewat', 'dukungan', 'program', 'makan', 'bergizi', 'gratis', 'lewat', 'penyaluran', 'kredit', 'ke', 'sektorsektor', 'yang', 'menjadi', 'pendukung', 'utama', 'ekosistem', 'pangan']</t>
  </si>
  <si>
    <t>['ipolid', 'bank', 'mandiri', 'konsisten', 'menjalankan', 'peran', 'mitra', 'strategis', 'pemerintah', 'dukungan', 'program', 'makan', 'bergizi', 'gratis', 'penyaluran', 'kredit', 'sektorsektor', 'pendukung', 'utama', 'ekosistem', 'pangan']</t>
  </si>
  <si>
    <t>['ipolid', 'bank', 'mandiri', 'konsisten', 'jalan', 'peran', 'mitra', 'strategis', 'perintah', 'dukung', 'program', 'makan', 'gizi', 'gratis', 'salur', 'kredit', 'sektorsektor', 'dukung', 'utama', 'ekosistem', 'pangan']</t>
  </si>
  <si>
    <t>bank mandiri dukung ekonomi kerakyatan lewat program makan bergizi gratis dorong pertumbuhan ekonomi kerakyatan yang berkelanjutan lombok insider</t>
  </si>
  <si>
    <t>['bank', 'mandiri', 'dukung', 'ekonomi', 'kerakyatan', 'lewat', 'program', 'makan', 'bergizi', 'gratis', 'dorong', 'pertumbuhan', 'ekonomi', 'kerakyatan', 'yang', 'berkelanjutan', 'lombok', 'insider']</t>
  </si>
  <si>
    <t>&lt;FreqDist with 16 samples and 18 outcomes&gt;</t>
  </si>
  <si>
    <t>['bank', 'mandiri', 'dukung', 'ekonomi', 'kerakyatan', 'program', 'makan', 'bergizi', 'gratis', 'dorong', 'pertumbuhan', 'ekonomi', 'kerakyatan', 'berkelanjutan', 'lombok', 'insider']</t>
  </si>
  <si>
    <t>['bank', 'mandiri', 'dukung', 'ekonomi', 'rakyat', 'program', 'makan', 'gizi', 'gratis', 'dorong', 'tumbuh', 'ekonomi', 'rakyat', 'lanjut', 'lombok', 'insider']</t>
  </si>
  <si>
    <t>badan gizi nasional bgn dan seluruh mitra kerja termasuk peknas penguatan ekonomi kerakyatan nasional dpppeknas fokus terhadap program mbg makan bergizi gratis agar berjalan baik dan lancar</t>
  </si>
  <si>
    <t>['badan', 'gizi', 'nasional', 'bgn', 'dan', 'seluruh', 'mitra', 'kerja', 'termasuk', 'peknas', 'penguatan', 'ekonomi', 'kerakyatan', 'nasional', 'dpppeknas', 'fokus', 'terhadap', 'program', 'mbg', 'makan', 'bergizi', 'gratis', 'agar', 'berjalan', 'baik', 'dan', 'lancar']</t>
  </si>
  <si>
    <t>&lt;FreqDist with 25 samples and 27 outcomes&gt;</t>
  </si>
  <si>
    <t>['badan', 'gizi', 'nasional', 'bgn', 'mitra', 'kerja', 'peknas', 'penguatan', 'ekonomi', 'kerakyatan', 'nasional', 'dpppeknas', 'fokus', 'program', 'mbg', 'makan', 'bergizi', 'gratis', 'berjalan', 'lancar']</t>
  </si>
  <si>
    <t>['badan', 'gizi', 'nasional', 'bgn', 'mitra', 'kerja', 'peknas', 'kuat', 'ekonomi', 'rakyat', 'nasional', 'dpppeknas', 'fokus', 'program', 'mbg', 'makan', 'gizi', 'gratis', 'jalan', 'lancar']</t>
  </si>
  <si>
    <t>bank mandiri terus konsisten menjalankan peran sebagai mitra strategis pemerintah lewat dukungan program makan bergizi gratis lewat penyaluran kredit ke sektorsektor yang menjadi pendukung utama ekosistem pangan baca selengkapnya</t>
  </si>
  <si>
    <t>['bank', 'mandiri', 'terus', 'konsisten', 'menjalankan', 'peran', 'sebagai', 'mitra', 'strategis', 'pemerintah', 'lewat', 'dukungan', 'program', 'makan', 'bergizi', 'gratis', 'lewat', 'penyaluran', 'kredit', 'ke', 'sektorsektor', 'yang', 'menjadi', 'pendukung', 'utama', 'ekosistem', 'pangan', 'baca', 'selengkapnya']</t>
  </si>
  <si>
    <t>['bank', 'mandiri', 'konsisten', 'menjalankan', 'peran', 'mitra', 'strategis', 'pemerintah', 'dukungan', 'program', 'makan', 'bergizi', 'gratis', 'penyaluran', 'kredit', 'sektorsektor', 'pendukung', 'utama', 'ekosistem', 'pangan', 'baca', 'selengkapnya']</t>
  </si>
  <si>
    <t>['bank', 'mandiri', 'konsisten', 'jalan', 'peran', 'mitra', 'strategis', 'perintah', 'dukung', 'program', 'makan', 'gizi', 'gratis', 'salur', 'kredit', 'sektorsektor', 'dukung', 'utama', 'ekosistem', 'pangan', 'baca', 'lengkap']</t>
  </si>
  <si>
    <t>polres bireuen gelar program makan bergizi gratis seorang murid bawa pulang untuk adiknya via</t>
  </si>
  <si>
    <t>['polres', 'bireuen', 'gelar', 'program', 'makan', 'bergizi', 'gratis', 'seorang', 'murid', 'bawa', 'pulang', 'untuk', 'adiknya', 'via']</t>
  </si>
  <si>
    <t>&lt;FreqDist with 14 samples and 14 outcomes&gt;</t>
  </si>
  <si>
    <t>['polres', 'bireuen', 'gelar', 'program', 'makan', 'bergizi', 'gratis', 'murid', 'bawa', 'pulang', 'adiknya', 'via']</t>
  </si>
  <si>
    <t>['polres', 'bireuen', 'gelar', 'program', 'makan', 'bergizi', 'gratis', 'siswa', 'bawa', 'pulang', 'adiknya', 'via']</t>
  </si>
  <si>
    <t>['polres', 'bireuen', 'gelar', 'program', 'makan', 'gizi', 'gratis', 'siswa', 'bawa', 'pulang', 'adik', 'via']</t>
  </si>
  <si>
    <t>menkop apresiasi dukungan muslimat nu dalam program makan bergizi gratis</t>
  </si>
  <si>
    <t>['menkop', 'apresiasi', 'dukungan', 'muslimat', 'nu', 'dalam', 'program', 'makan', 'bergizi', 'gratis']</t>
  </si>
  <si>
    <t>['menkop', 'apresiasi', 'dukungan', 'muslimat', 'nu', 'program', 'makan', 'bergizi', 'gratis']</t>
  </si>
  <si>
    <t>['menkop', 'apresiasi', 'dukung', 'muslimat', 'nu', 'program', 'makan', 'gizi', 'gratis']</t>
  </si>
  <si>
    <t>dukung program makan bergizi gratis induk kud siapkan pengamanan pasokan</t>
  </si>
  <si>
    <t>['dukung', 'program', 'makan', 'bergizi', 'gratis', 'induk', 'kud', 'siapkan', 'pengamanan', 'pasokan']</t>
  </si>
  <si>
    <t>['dukung', 'program', 'makan', 'gizi', 'gratis', 'induk', 'kud', 'siap', 'aman', 'pasok']</t>
  </si>
  <si>
    <t>bank mandiri dukung program makan bergizi gratis dorong pertumbuhan ekonomi kerakyatan yang berkelanjutan</t>
  </si>
  <si>
    <t>['bank', 'mandiri', 'dukung', 'program', 'makan', 'bergizi', 'gratis', 'dorong', 'pertumbuhan', 'ekonomi', 'kerakyatan', 'yang', 'berkelanjutan']</t>
  </si>
  <si>
    <t>['bank', 'mandiri', 'dukung', 'program', 'makan', 'bergizi', 'gratis', 'dorong', 'pertumbuhan', 'ekonomi', 'kerakyatan', 'berkelanjutan']</t>
  </si>
  <si>
    <t>['bank', 'mandiri', 'dukung', 'program', 'makan', 'gizi', 'gratis', 'dorong', 'tumbuh', 'ekonomi', 'rakyat', 'lanjut']</t>
  </si>
  <si>
    <t>menteri pendidikan dasar dan menengah mendikdasmen abdul muti menyebut program makan bergizi gratis bisa mengajarkan anakanak agar tidak hidup boros makan siang gratis ini sebagai bagian dari penanaman dan pembiasaan pendidikan karakter bagi anakanak kata abdul muti di</t>
  </si>
  <si>
    <t>['menteri', 'pendidikan', 'dasar', 'dan', 'menengah', 'mendikdasmen', 'abdul', 'muti', 'menyebut', 'program', 'makan', 'bergizi', 'gratis', 'bisa', 'mengajarkan', 'anakanak', 'agar', 'tidak', 'hidup', 'boros', 'makan', 'siang', 'gratis', 'ini', 'sebagai', 'bagian', 'dari', 'penanaman', 'dan', 'pembiasaan', 'pendidikan', 'karakter', 'bagi', 'anakanak', 'kata', 'abdul', 'muti', 'di']</t>
  </si>
  <si>
    <t>&lt;FreqDist with 31 samples and 38 outcomes&gt;</t>
  </si>
  <si>
    <t>['menteri', 'pendidikan', 'dasar', 'menengah', 'mendikdasmen', 'abdul', 'muti', 'menyebut', 'program', 'makan', 'bergizi', 'gratis', 'mengajarkan', 'anakanak', 'hidup', 'boros', 'makan', 'siang', 'gratis', 'penanaman', 'pembiasaan', 'pendidikan', 'karakter', 'anakanak', 'abdul', 'muti']</t>
  </si>
  <si>
    <t>['menteri', 'didik', 'dasar', 'tengah', 'mendikdasmen', 'abdul', 'muti', 'sebut', 'program', 'makan', 'gizi', 'gratis', 'ajar', 'anakanak', 'hidup', 'boros', 'makan', 'siang', 'gratis', 'tanam', 'biasa', 'didik', 'karakter', 'anakanak', 'abdul', 'muti']</t>
  </si>
  <si>
    <t>pemerintah kota pemkot tangerang selatan sudah mulai melakukan uji coba program makan bergizi gratis mbg yang merupakan salah satu program unggulan presiden prabowo subianto sekolah pertama yang dilakukan uji coba makan bergizi gratis yaitu tk negeri pembina di ciputat</t>
  </si>
  <si>
    <t>['pemerintah', 'kota', 'pemkot', 'tangerang', 'selatan', 'sudah', 'mulai', 'melakukan', 'uji', 'coba', 'program', 'makan', 'bergizi', 'gratis', 'mbg', 'yang', 'merupakan', 'salah', 'satu', 'program', 'unggulan', 'presiden', 'prabowo', 'subianto', 'sekolah', 'pertama', 'yang', 'dilakukan', 'uji', 'coba', 'makan', 'bergizi', 'gratis', 'yaitu', 'tk', 'negeri', 'pembina', 'di', 'ciputat']</t>
  </si>
  <si>
    <t>&lt;FreqDist with 32 samples and 39 outcomes&gt;</t>
  </si>
  <si>
    <t>['pemerintah', 'kota', 'pemkot', 'tangerang', 'selatan', 'uji', 'coba', 'program', 'makan', 'bergizi', 'gratis', 'mbg', 'salah', 'program', 'unggulan', 'presiden', 'prabowo', 'subianto', 'sekolah', 'uji', 'coba', 'makan', 'bergizi', 'gratis', 'tk', 'negeri', 'pembina', 'ciputat']</t>
  </si>
  <si>
    <t>['perintah', 'kota', 'pemkot', 'tangerang', 'selatan', 'uji', 'coba', 'program', 'makan', 'gizi', 'gratis', 'mbg', 'salah', 'program', 'unggul', 'presiden', 'prabowo', 'subianto', 'sekolah', 'uji', 'coba', 'makan', 'gizi', 'gratis', 'tk', 'negeri', 'bina', 'ciputat']</t>
  </si>
  <si>
    <t>kampung sayur di yogya bakal supply bahan untuk program makan bergizi gratis</t>
  </si>
  <si>
    <t>['kampung', 'sayur', 'di', 'yogya', 'bakal', 'supply', 'bahan', 'untuk', 'program', 'makan', 'bergizi', 'gratis']</t>
  </si>
  <si>
    <t>['kampung', 'sayur', 'yogya', 'supply', 'bahan', 'program', 'makan', 'bergizi', 'gratis']</t>
  </si>
  <si>
    <t>['kampung', 'sayur', 'yogya', 'supply', 'bahan', 'program', 'makan', 'gizi', 'gratis']</t>
  </si>
  <si>
    <t>program makan bergizi gratis akan mulai dilaksanakan pakar ini menyebut pemerintah harus memperhatikan kesesuaian menu dengan keperluan tiap siswa via edu</t>
  </si>
  <si>
    <t>['program', 'makan', 'bergizi', 'gratis', 'akan', 'mulai', 'dilaksanakan', 'pakar', 'ini', 'menyebut', 'pemerintah', 'harus', 'memperhatikan', 'kesesuaian', 'menu', 'dengan', 'keperluan', 'tiap', 'siswa', 'via', 'edu']</t>
  </si>
  <si>
    <t>['program', 'makan', 'bergizi', 'gratis', 'dilaksanakan', 'pakar', 'menyebut', 'pemerintah', 'memperhatikan', 'kesesuaian', 'menu', 'keperluan', 'siswa', 'via', 'edu']</t>
  </si>
  <si>
    <t>['program', 'makan', 'gizi', 'gratis', 'laksana', 'pakar', 'sebut', 'perintah', 'perhati', 'sesuai', 'menu', 'perlu', 'siswa', 'via', 'edu']</t>
  </si>
  <si>
    <t>istana meninjau kesiapan program makan bergizi gratis di tanah sareal bogor program makan bergizi gratis ini akan diberikan ke siswa di sekolah</t>
  </si>
  <si>
    <t>['istana', 'meninjau', 'kesiapan', 'program', 'makan', 'bergizi', 'gratis', 'di', 'tanah', 'sareal', 'bogor', 'program', 'makan', 'bergizi', 'gratis', 'ini', 'akan', 'diberikan', 'ke', 'siswa', 'di', 'sekolah']</t>
  </si>
  <si>
    <t>&lt;FreqDist with 17 samples and 22 outcomes&gt;</t>
  </si>
  <si>
    <t>['istana', 'meninjau', 'kesiapan', 'program', 'makan', 'bergizi', 'gratis', 'tanah', 'sareal', 'bogor', 'program', 'makan', 'bergizi', 'gratis', 'siswa', 'sekolah']</t>
  </si>
  <si>
    <t>['istana', 'tinjau', 'kesiap', 'program', 'makan', 'gizi', 'gratis', 'tanah', 'sareal', 'bogor', 'program', 'makan', 'gizi', 'gratis', 'siswa', 'sekolah']</t>
  </si>
  <si>
    <t>bpom ri akan terlibat dalam program makan bergizi gratis yang diprioritaskan presiden prabowo mulai dari rumah produksi hingga distribusi begini perannya</t>
  </si>
  <si>
    <t>['bpom', 'ri', 'akan', 'terlibat', 'dalam', 'program', 'makan', 'bergizi', 'gratis', 'yang', 'diprioritaskan', 'presiden', 'prabowo', 'mulai', 'dari', 'rumah', 'produksi', 'hingga', 'distribusi', 'begini', 'perannya']</t>
  </si>
  <si>
    <t>['bpom', 'ri', 'terlibat', 'program', 'makan', 'bergizi', 'gratis', 'diprioritaskan', 'presiden', 'prabowo', 'rumah', 'produksi', 'distribusi', 'perannya']</t>
  </si>
  <si>
    <t>['bpom', 'ri', 'libat', 'program', 'makan', 'gizi', 'gratis', 'prioritas', 'presiden', 'prabowo', 'rumah', 'produksi', 'distribusi', 'peran']</t>
  </si>
  <si>
    <t>presidential communication office pco meninjau uji coba program makan bergizi gratis mbg di sekolah di bogor senin uji coba dilaksanakan di satuan pelayanan pemenuhan gizi sppg tanah sareal</t>
  </si>
  <si>
    <t>['presidential', 'communication', 'office', 'pco', 'meninjau', 'uji', 'coba', 'program', 'makan', 'bergizi', 'gratis', 'mbg', 'di', 'sekolah', 'di', 'bogor', 'senin', 'uji', 'coba', 'dilaksanakan', 'di', 'satuan', 'pelayanan', 'pemenuhan', 'gizi', 'sppg', 'tanah', 'sareal']</t>
  </si>
  <si>
    <t>&lt;FreqDist with 24 samples and 28 outcomes&gt;</t>
  </si>
  <si>
    <t>['presidential', 'communication', 'office', 'pco', 'meninjau', 'uji', 'coba', 'program', 'makan', 'bergizi', 'gratis', 'mbg', 'sekolah', 'bogor', 'senin', 'uji', 'coba', 'dilaksanakan', 'satuan', 'pelayanan', 'pemenuhan', 'gizi', 'sppg', 'tanah', 'sareal']</t>
  </si>
  <si>
    <t>['presidential', 'communication', 'office', 'pco', 'tinjau', 'uji', 'coba', 'program', 'makan', 'gizi', 'gratis', 'mbg', 'sekolah', 'bogor', 'senin', 'uji', 'coba', 'laksana', 'satu', 'layan', 'penuh', 'gizi', 'sppg', 'tanah', 'sareal']</t>
  </si>
  <si>
    <t>wamendes pdt riza patria menginstruksikan jajarannya untuk memastikan pasokan bahan baku terpenuhi untuk program makan bergizi gratis di desa</t>
  </si>
  <si>
    <t>['wamendes', 'pdt', 'riza', 'patria', 'menginstruksikan', 'jajarannya', 'untuk', 'memastikan', 'pasokan', 'bahan', 'baku', 'terpenuhi', 'untuk', 'program', 'makan', 'bergizi', 'gratis', 'di', 'desa']</t>
  </si>
  <si>
    <t>['wamendes', 'pdt', 'riza', 'patria', 'menginstruksikan', 'jajarannya', 'pasokan', 'bahan', 'baku', 'terpenuhi', 'program', 'makan', 'bergizi', 'gratis', 'desa']</t>
  </si>
  <si>
    <t>['wamendes', 'pdt', 'riza', 'patria', 'instruksi', 'jajar', 'pasok', 'bahan', 'baku', 'penuh', 'program', 'makan', 'gizi', 'gratis', 'desa']</t>
  </si>
  <si>
    <t>simulasi program makan bergizi gratis tak berjalan mulus kualitas menu dipertanyakan banyak pihak</t>
  </si>
  <si>
    <t>['simulasi', 'program', 'makan', 'bergizi', 'gratis', 'tak', 'berjalan', 'mulus', 'kualitas', 'menu', 'dipertanyakan', 'banyak', 'pihak']</t>
  </si>
  <si>
    <t>['simulasi', 'program', 'makan', 'bergizi', 'gratis', 'berjalan', 'mulus', 'kualitas', 'menu']</t>
  </si>
  <si>
    <t>['simulasi', 'program', 'makan', 'gizi', 'gratis', 'jalan', 'mulus', 'kualitas', 'menu']</t>
  </si>
  <si>
    <t>teknologi program makan bergizi gratis monitoring realtime dan ai</t>
  </si>
  <si>
    <t>['teknologi', 'program', 'makan', 'bergizi', 'gratis', 'monitoring', 'realtime', 'dan', 'ai']</t>
  </si>
  <si>
    <t>['teknologi', 'program', 'makan', 'bergizi', 'gratis', 'monitoring', 'realtime', 'ai']</t>
  </si>
  <si>
    <t>['teknologi', 'program', 'makan', 'gizi', 'gratis', 'monitoring', 'realtime', 'ai']</t>
  </si>
  <si>
    <t>menteri kelautan dan perikanan sakti wahyu trenggono mengungkapkan susu ikan menjadi salah satu alternatif dalam program makan bergizi gratis mbg</t>
  </si>
  <si>
    <t>['menteri', 'kelautan', 'dan', 'perikanan', 'sakti', 'wahyu', 'trenggono', 'mengungkapkan', 'susu', 'ikan', 'menjadi', 'salah', 'satu', 'alternatif', 'dalam', 'program', 'makan', 'bergizi', 'gratis', 'mbg']</t>
  </si>
  <si>
    <t>&lt;FreqDist with 20 samples and 20 outcomes&gt;</t>
  </si>
  <si>
    <t>['menteri', 'kelautan', 'perikanan', 'sakti', 'wahyu', 'trenggono', 'susu', 'ikan', 'salah', 'alternatif', 'program', 'makan', 'bergizi', 'gratis', 'mbg']</t>
  </si>
  <si>
    <t>['menteri', 'laut', 'ikan', 'sakti', 'wahyu', 'trenggono', 'susu', 'ikan', 'salah', 'alternatif', 'program', 'makan', 'gizi', 'gratis', 'mbg']</t>
  </si>
  <si>
    <t>dana judol di bank dan ewallet capai rp triliun legislator desak sita untuk bantu program makan bergizi gratis</t>
  </si>
  <si>
    <t>['dana', 'judol', 'di', 'bank', 'dan', 'ewallet', 'capai', 'rp', 'triliun', 'legislator', 'desak', 'sita', 'untuk', 'bantu', 'program', 'makan', 'bergizi', 'gratis']</t>
  </si>
  <si>
    <t>['dana', 'judol', 'bank', 'ewallet', 'capai', 'rp', 'triliun', 'legislator', 'desak', 'sita', 'bantu', 'program', 'makan', 'bergizi', 'gratis']</t>
  </si>
  <si>
    <t>['dana', 'judol', 'bank', 'ewallet', 'capai', 'rp', 'triliun', 'legislator', 'desak', 'sita', 'bantu', 'program', 'makan', 'gizi', 'gratis']</t>
  </si>
  <si>
    <t>ketua dpd ri sultan  najamudin meminta pemerintah untuk memastikan suplay bahan pangan terpenuhi secara simultan dan murah sebelum memulai program makan bergizi gratis mbg</t>
  </si>
  <si>
    <t>['ketua', 'dpd', 'ri', 'sultan', 'najamudin', 'meminta', 'pemerintah', 'untuk', 'memastikan', 'suplay', 'bahan', 'pangan', 'terpenuhi', 'secara', 'simultan', 'dan', 'murah', 'sebelum', 'memulai', 'program', 'makan', 'bergizi', 'gratis', 'mbg']</t>
  </si>
  <si>
    <t>&lt;FreqDist with 24 samples and 24 outcomes&gt;</t>
  </si>
  <si>
    <t>['ketua', 'dpd', 'ri', 'sultan', 'najamudin', 'pemerintah', 'suplay', 'bahan', 'pangan', 'terpenuhi', 'simultan', 'murah', 'program', 'makan', 'bergizi', 'gratis', 'mbg']</t>
  </si>
  <si>
    <t>['ketua', 'dpd', 'ri', 'sultan', 'najamudin', 'perintah', 'suplay', 'bahan', 'pangan', 'penuh', 'simultan', 'murah', 'program', 'makan', 'gizi', 'gratis', 'mbg']</t>
  </si>
  <si>
    <t>bank mandiri genjot kur untuk sektor pangan dukung ekonomi kerakyatan dan program makan bergizi gratis link artikel</t>
  </si>
  <si>
    <t>['bank', 'mandiri', 'genjot', 'kur', 'untuk', 'sektor', 'pangan', 'dukung', 'ekonomi', 'kerakyatan', 'dan', 'program', 'makan', 'bergizi', 'gratis', 'link', 'artikel']</t>
  </si>
  <si>
    <t>['bank', 'mandiri', 'genjot', 'kur', 'sektor', 'pangan', 'dukung', 'ekonomi', 'kerakyatan', 'program', 'makan', 'bergizi', 'gratis', 'link', 'artikel']</t>
  </si>
  <si>
    <t>['bank', 'mandiri', 'genjot', 'kur', 'sektor', 'pangan', 'dukung', 'ekonomi', 'rakyat', 'program', 'makan', 'gizi', 'gratis', 'link', 'artikel']</t>
  </si>
  <si>
    <t>rakor dan bimtek peknas pada tanggal desember di jakarta terkait program makan bergizi gratis mbg acara dihadiri oleh para pengurus dpp dpw dan dpc peknas seluruh indonesia serta badan gizi nasional bgn para vendor dan investor mbg</t>
  </si>
  <si>
    <t>['rakor', 'dan', 'bimtek', 'peknas', 'pada', 'tanggal', 'desember', 'di', 'jakarta', 'terkait', 'program', 'makan', 'bergizi', 'gratis', 'mbg', 'acara', 'dihadiri', 'oleh', 'para', 'pengurus', 'dpp', 'dpw', 'dan', 'dpc', 'peknas', 'seluruh', 'indonesia', 'serta', 'badan', 'gizi', 'nasional', 'bgn', 'para', 'vendor', 'dan', 'investor', 'mbg']</t>
  </si>
  <si>
    <t>&lt;FreqDist with 32 samples and 37 outcomes&gt;</t>
  </si>
  <si>
    <t>['rakor', 'bimtek', 'peknas', 'tanggal', 'desember', 'jakarta', 'terkait', 'program', 'makan', 'bergizi', 'gratis', 'mbg', 'acara', 'dihadiri', 'pengurus', 'dpp', 'dpw', 'dpc', 'peknas', 'indonesia', 'badan', 'gizi', 'nasional', 'bgn', 'vendor', 'investor', 'mbg']</t>
  </si>
  <si>
    <t>['rakor', 'bimtek', 'peknas', 'tanggal', 'desember', 'jakarta', 'kait', 'program', 'makan', 'gizi', 'gratis', 'mbg', 'acara', 'hadir', 'urus', 'dpp', 'dpw', 'dpc', 'peknas', 'indonesia', 'badan', 'gizi', 'nasional', 'bgn', 'vendor', 'investor', 'mbg']</t>
  </si>
  <si>
    <t>program makan siang bergizi gratis masih menjadi highlight dari pembicaraan warga indonesia yuk simak pembahasan selengkapnya di</t>
  </si>
  <si>
    <t>['program', 'makan', 'siang', 'bergizi', 'gratis', 'masih', 'menjadi', 'highlight', 'dari', 'pembicaraan', 'warga', 'indonesia', 'yuk', 'simak', 'pembahasan', 'selengkapnya', 'di']</t>
  </si>
  <si>
    <t>['program', 'makan', 'siang', 'bergizi', 'gratis', 'highlight', 'pembicaraan', 'warga', 'indonesia', 'yuk', 'simak', 'pembahasan', 'selengkapnya']</t>
  </si>
  <si>
    <t>['program', 'makan', 'siang', 'bergizi', 'gratis', 'highlight', 'pembicaraan', 'warga', 'indonesia', 'ayo', 'simak', 'pembahasan', 'selengkapnya']</t>
  </si>
  <si>
    <t>['program', 'makan', 'siang', 'gizi', 'gratis', 'highlight', 'bicara', 'warga', 'indonesia', 'ayo', 'simak', 'bahas', 'lengkap']</t>
  </si>
  <si>
    <t>prabowo sebut program makan bergizi gratis bisa putar roda ekonomi desa</t>
  </si>
  <si>
    <t>['prabowo', 'sebut', 'program', 'makan', 'bergizi', 'gratis', 'bisa', 'putar', 'roda', 'ekonomi', 'desa']</t>
  </si>
  <si>
    <t>['prabowo', 'program', 'makan', 'bergizi', 'gratis', 'putar', 'roda', 'ekonomi', 'desa']</t>
  </si>
  <si>
    <t>['prabowo', 'program', 'makan', 'gizi', 'gratis', 'putar', 'roda', 'ekonomi', 'desa']</t>
  </si>
  <si>
    <t>edan program makan bergizi gratis mbg ini lama tak hanya anggaran perporsinya makin mengecil tapi alokasi anggarannya yg rp triliun pun akan hilang lenyap tdk jelas sebagian besar hati lho pak pres ini anak buah bapak yg tak pinter math atau sedang mbujuk</t>
  </si>
  <si>
    <t>['edan', 'program', 'makan', 'bergizi', 'gratis', 'mbg', 'ini', 'lama', 'tak', 'hanya', 'anggaran', 'perporsinya', 'makin', 'mengecil', 'tapi', 'alokasi', 'anggarannya', 'yg', 'rp', 'triliun', 'pun', 'akan', 'hilang', 'lenyap', 'tdk', 'jelas', 'sebagian', 'besar', 'hati', 'lho', 'pak', 'pres', 'ini', 'anak', 'buah', 'bapak', 'yg', 'tak', 'pinter', 'math', 'atau', 'sedang', 'mbujuk']</t>
  </si>
  <si>
    <t>&lt;FreqDist with 40 samples and 43 outcomes&gt;</t>
  </si>
  <si>
    <t>['edan', 'program', 'makan', 'bergizi', 'gratis', 'mbg', 'anggaran', 'perporsinya', 'mengecil', 'alokasi', 'anggarannya', 'rp', 'triliun', 'hilang', 'lenyap', 'hati', 'lho', 'pres', 'anak', 'buah', 'pinter', 'math', 'mbujuk']</t>
  </si>
  <si>
    <t>['edan', 'program', 'makan', 'bergizi', 'gratis', 'mbg', 'anggaran', 'perporsinya', 'mengecil', 'alokasi', 'anggarannya', 'rp', 'triliun', 'hilang', 'lenyap', 'hati', 'lho', 'pres', 'anak', 'buah', 'pintar', 'matematika', 'mbujuk']</t>
  </si>
  <si>
    <t>['edan', 'program', 'makan', 'gizi', 'gratis', 'mbg', 'anggar', 'porsi', 'kecil', 'alokasi', 'anggar', 'rp', 'triliun', 'hilang', 'lenyap', 'hati', 'lho', 'pres', 'anak', 'buah', 'pintar', 'matematika', 'mbujuk']</t>
  </si>
  <si>
    <t>prabowo janji program makan bergizi gratis akan berdayakan ekonomi pedesaan</t>
  </si>
  <si>
    <t>['prabowo', 'janji', 'program', 'makan', 'bergizi', 'gratis', 'akan', 'berdayakan', 'ekonomi', 'pedesaan']</t>
  </si>
  <si>
    <t>['prabowo', 'janji', 'program', 'makan', 'bergizi', 'gratis', 'berdayakan', 'ekonomi', 'pedesaan']</t>
  </si>
  <si>
    <t>['prabowo', 'janji', 'program', 'makan', 'gizi', 'gratis', 'daya', 'ekonomi', 'desa']</t>
  </si>
  <si>
    <t>menteri keuangan mengatakan alokasi pada tahun sebesar rp triliun akan dialokasikan untuk mendukung program prioritas pembangunan yaitu swasembada pangan pendidikan dan kesehatan hingga program makan siang bergizi gratis</t>
  </si>
  <si>
    <t>['menteri', 'keuangan', 'mengatakan', 'alokasi', 'pada', 'tahun', 'sebesar', 'rp', 'triliun', 'akan', 'dialokasikan', 'untuk', 'mendukung', 'program', 'prioritas', 'pembangunan', 'yaitu', 'swasembada', 'pangan', 'pendidikan', 'dan', 'kesehatan', 'hingga', 'program', 'makan', 'siang', 'bergizi', 'gratis']</t>
  </si>
  <si>
    <t>['menteri', 'keuangan', 'alokasi', 'rp', 'triliun', 'dialokasikan', 'mendukung', 'program', 'prioritas', 'pembangunan', 'swasembada', 'pangan', 'pendidikan', 'kesehatan', 'program', 'makan', 'siang', 'bergizi', 'gratis']</t>
  </si>
  <si>
    <t>['menteri', 'uang', 'alokasi', 'rp', 'triliun', 'alokasi', 'dukung', 'program', 'prioritas', 'bangun', 'swasembada', 'pangan', 'didik', 'sehat', 'program', 'makan', 'siang', 'gizi', 'gratis']</t>
  </si>
  <si>
    <t>presiden prabowo sebut program makan bergizi gratis perkuat ekonomi desa presiden prabowo subianto menegaskan komitmen pemerintah untuk memperkuat ekonomi pedesaan melalui implementasi program makan bergizi gratis mbg pernyataan ini disampaikan prabowo dalam acara penyerahan</t>
  </si>
  <si>
    <t>['presiden', 'prabowo', 'sebut', 'program', 'makan', 'bergizi', 'gratis', 'perkuat', 'ekonomi', 'desa', 'presiden', 'prabowo', 'subianto', 'menegaskan', 'komitmen', 'pemerintah', 'untuk', 'memperkuat', 'ekonomi', 'pedesaan', 'melalui', 'implementasi', 'program', 'makan', 'bergizi', 'gratis', 'mbg', 'pernyataan', 'ini', 'disampaikan', 'prabowo', 'dalam', 'acara', 'penyerahan']</t>
  </si>
  <si>
    <t>&lt;FreqDist with 26 samples and 34 outcomes&gt;</t>
  </si>
  <si>
    <t>['presiden', 'prabowo', 'program', 'makan', 'bergizi', 'gratis', 'perkuat', 'ekonomi', 'desa', 'presiden', 'prabowo', 'subianto', 'komitmen', 'pemerintah', 'memperkuat', 'ekonomi', 'pedesaan', 'implementasi', 'program', 'makan', 'bergizi', 'gratis', 'mbg', 'pernyataan', 'prabowo', 'acara', 'penyerahan']</t>
  </si>
  <si>
    <t>['presiden', 'prabowo', 'program', 'makan', 'gizi', 'gratis', 'kuat', 'ekonomi', 'desa', 'presiden', 'prabowo', 'subianto', 'komitmen', 'perintah', 'kuat', 'ekonomi', 'desa', 'implementasi', 'program', 'makan', 'gizi', 'gratis', 'mbg', 'nyata', 'prabowo', 'acara', 'serah']</t>
  </si>
  <si>
    <t>banyak yang penasaran susu ikan bau amis gak sih dalam program makan gratis bergizi prabowo subianto susu ikan jadi sorotan utama yuk simak obrolan seru di big cheese bersama bapak menteri kelautan dan perikanan sakti wahyu trenggono</t>
  </si>
  <si>
    <t>['banyak', 'yang', 'penasaran', 'susu', 'ikan', 'bau', 'amis', 'gak', 'sih', 'dalam', 'program', 'makan', 'gratis', 'bergizi', 'prabowo', 'subianto', 'susu', 'ikan', 'jadi', 'sorotan', 'utama', 'yuk', 'simak', 'obrolan', 'seru', 'di', 'big', 'cheese', 'bersama', 'bapak', 'menteri', 'kelautan', 'dan', 'perikanan', 'sakti', 'wahyu', 'trenggono']</t>
  </si>
  <si>
    <t>&lt;FreqDist with 35 samples and 37 outcomes&gt;</t>
  </si>
  <si>
    <t>['penasaran', 'susu', 'ikan', 'bau', 'amis', 'program', 'makan', 'gratis', 'bergizi', 'prabowo', 'subianto', 'susu', 'ikan', 'sorotan', 'utama', 'yuk', 'simak', 'obrolan', 'seru', 'big', 'cheese', 'menteri', 'kelautan', 'perikanan', 'sakti', 'wahyu', 'trenggono']</t>
  </si>
  <si>
    <t>['penasaran', 'susu', 'ikan', 'bau', 'amis', 'program', 'makan', 'gratis', 'bergizi', 'prabowo', 'subianto', 'susu', 'ikan', 'sorotan', 'utama', 'ayo', 'simak', 'obrolan', 'seru', 'big', 'cheese', 'menteri', 'kelautan', 'perikanan', 'sakti', 'wahyu', 'trenggono']</t>
  </si>
  <si>
    <t>['penasaran', 'susu', 'ikan', 'bau', 'amis', 'program', 'makan', 'gratis', 'gizi', 'prabowo', 'subianto', 'susu', 'ikan', 'sorot', 'utama', 'ayo', 'simak', 'obrol', 'seru', 'big', 'cheese', 'menteri', 'laut', 'ikan', 'sakti', 'wahyu', 'trenggono']</t>
  </si>
  <si>
    <t>gibran meninjau program makan bergizi gratis di muhammadiyah boarding school bogor seperti apa momennya</t>
  </si>
  <si>
    <t>['gibran', 'meninjau', 'program', 'makan', 'bergizi', 'gratis', 'di', 'muhammadiyah', 'boarding', 'school', 'bogor', 'seperti', 'apa', 'momennya']</t>
  </si>
  <si>
    <t>['gibran', 'meninjau', 'program', 'makan', 'bergizi', 'gratis', 'muhammadiyah', 'boarding', 'school', 'bogor', 'momennya']</t>
  </si>
  <si>
    <t>['gibran', 'meninjau', 'program', 'makan', 'bergizi', 'gratis', 'muhammadiyah', 'boarding', 'sekolah', 'bogor', 'momennya']</t>
  </si>
  <si>
    <t>['gibran', 'tinjau', 'program', 'makan', 'gizi', 'gratis', 'muhammadiyah', 'boarding', 'sekolah', 'bogor', 'momen']</t>
  </si>
  <si>
    <t>pemerintah siap melaksanakan program makan bergizi gratis mbg mulai januari dalam proses uji coba selama beberapa bulan terakhir pemerintah semakin menemukan format ideal dalam proses pelaksanaan program dari mulai penyediaan bahan baku operasional unit pelayanan</t>
  </si>
  <si>
    <t>['pemerintah', 'siap', 'melaksanakan', 'program', 'makan', 'bergizi', 'gratis', 'mbg', 'mulai', 'januari', 'dalam', 'proses', 'uji', 'coba', 'selama', 'beberapa', 'bulan', 'terakhir', 'pemerintah', 'semakin', 'menemukan', 'format', 'ideal', 'dalam', 'proses', 'pelaksanaan', 'program', 'dari', 'mulai', 'penyediaan', 'bahan', 'baku', 'operasional', 'unit', 'pelayanan']</t>
  </si>
  <si>
    <t>&lt;FreqDist with 30 samples and 35 outcomes&gt;</t>
  </si>
  <si>
    <t>['pemerintah', 'melaksanakan', 'program', 'makan', 'bergizi', 'gratis', 'mbg', 'januari', 'proses', 'uji', 'coba', 'pemerintah', 'menemukan', 'format', 'ideal', 'proses', 'pelaksanaan', 'program', 'penyediaan', 'bahan', 'baku', 'operasional', 'unit', 'pelayanan']</t>
  </si>
  <si>
    <t>['perintah', 'laksana', 'program', 'makan', 'gizi', 'gratis', 'mbg', 'januari', 'proses', 'uji', 'coba', 'perintah', 'temu', 'format', 'ideal', 'proses', 'laksana', 'program', 'sedia', 'bahan', 'baku', 'operasional', 'unit', 'layan']</t>
  </si>
  <si>
    <t>presiden ri ke menyatakan bahwa setiap tahun akan beredar uang dalam jumlah besar di setiap desa melalui program makan bergizi gratis presiden juga berjanji untuk mendistribusikan perputaran uang yang selama ini terkonsentrasi di jakarta ke desadesa guna</t>
  </si>
  <si>
    <t>['presiden', 'ri', 'ke', 'menyatakan', 'bahwa', 'setiap', 'tahun', 'akan', 'beredar', 'uang', 'dalam', 'jumlah', 'besar', 'di', 'setiap', 'desa', 'melalui', 'program', 'makan', 'bergizi', 'gratis', 'presiden', 'juga', 'berjanji', 'untuk', 'mendistribusikan', 'perputaran', 'uang', 'yang', 'selama', 'ini', 'terkonsentrasi', 'di', 'jakarta', 'ke', 'desadesa', 'guna']</t>
  </si>
  <si>
    <t>['presiden', 'ri', 'beredar', 'uang', 'desa', 'program', 'makan', 'bergizi', 'gratis', 'presiden', 'berjanji', 'mendistribusikan', 'perputaran', 'uang', 'terkonsentrasi', 'jakarta', 'desadesa']</t>
  </si>
  <si>
    <t>['presiden', 'ri', 'edar', 'uang', 'desa', 'program', 'makan', 'gizi', 'gratis', 'presiden', 'janji', 'distribusi', 'putar', 'uang', 'konsentrasi', 'jakarta', 'desadesa']</t>
  </si>
  <si>
    <t>alokasi belanja pemerintah pusat rp triliun untuk program makan bergizi gratis hingga pendidikan</t>
  </si>
  <si>
    <t>['alokasi', 'belanja', 'pemerintah', 'pusat', 'rp', 'triliun', 'untuk', 'program', 'makan', 'bergizi', 'gratis', 'hingga', 'pendidikan']</t>
  </si>
  <si>
    <t>['alokasi', 'belanja', 'pemerintah', 'pusat', 'rp', 'triliun', 'program', 'makan', 'bergizi', 'gratis', 'pendidikan']</t>
  </si>
  <si>
    <t>['alokasi', 'belanja', 'perintah', 'pusat', 'rp', 'triliun', 'program', 'makan', 'gizi', 'gratis', 'didik']</t>
  </si>
  <si>
    <t>presiden prabowo subianto menyampaikan bahwa program unggulan makan bergizi gratis dapat meningkatkan peredaran uang di desadesa hingga mencapai rp miliar per desa per tahun hal ini disampaikan dalam gelaran penyerahan daftar isian pelaksanaan anggaran dipa dan transfer ke</t>
  </si>
  <si>
    <t>['presiden', 'prabowo', 'subianto', 'menyampaikan', 'bahwa', 'program', 'unggulan', 'makan', 'bergizi', 'gratis', 'dapat', 'meningkatkan', 'peredaran', 'uang', 'di', 'desadesa', 'hingga', 'mencapai', 'rp', 'miliar', 'per', 'desa', 'per', 'tahun', 'hal', 'ini', 'disampaikan', 'dalam', 'gelaran', 'penyerahan', 'daftar', 'isian', 'pelaksanaan', 'anggaran', 'dipa', 'dan', 'transfer', 'ke']</t>
  </si>
  <si>
    <t>['presiden', 'prabowo', 'subianto', 'program', 'unggulan', 'makan', 'bergizi', 'gratis', 'meningkatkan', 'peredaran', 'uang', 'desadesa', 'mencapai', 'rp', 'miliar', 'desa', 'gelaran', 'penyerahan', 'daftar', 'isian', 'pelaksanaan', 'anggaran', 'dipa', 'transfer']</t>
  </si>
  <si>
    <t>['presiden', 'prabowo', 'subianto', 'program', 'unggul', 'makan', 'gizi', 'gratis', 'tingkat', 'edar', 'uang', 'desadesa', 'capai', 'rp', 'miliar', 'desa', 'gelar', 'serah', 'daftar', 'isi', 'laksana', 'anggar', 'dipa', 'transfer']</t>
  </si>
  <si>
    <t>pt timah terus berkomitmen mendukung kesehatan anak bangsa melalui program makan bergizi gratis kali ini program menyentuh siswa sd dan tk di kabupaten bangka semangat menciptakan generasi emas dimulai dari piring mereka</t>
  </si>
  <si>
    <t>['pt', 'timah', 'terus', 'berkomitmen', 'mendukung', 'kesehatan', 'anak', 'bangsa', 'melalui', 'program', 'makan', 'bergizi', 'gratis', 'kali', 'ini', 'program', 'menyentuh', 'siswa', 'sd', 'dan', 'tk', 'di', 'kabupaten', 'bangka', 'semangat', 'menciptakan', 'generasi', 'emas', 'dimulai', 'dari', 'piring', 'mereka']</t>
  </si>
  <si>
    <t>&lt;FreqDist with 31 samples and 32 outcomes&gt;</t>
  </si>
  <si>
    <t>['pt', 'timah', 'berkomitmen', 'mendukung', 'kesehatan', 'anak', 'bangsa', 'program', 'makan', 'bergizi', 'gratis', 'kali', 'program', 'menyentuh', 'siswa', 'sd', 'tk', 'kabupaten', 'bangka', 'semangat', 'menciptakan', 'generasi', 'emas', 'piring']</t>
  </si>
  <si>
    <t>['pt', 'timah', 'komitmen', 'dukung', 'sehat', 'anak', 'bangsa', 'program', 'makan', 'gizi', 'gratis', 'kali', 'program', 'sentuh', 'siswa', 'sd', 'tk', 'kabupaten', 'bangka', 'semangat', 'cipta', 'generasi', 'emas', 'piring']</t>
  </si>
  <si>
    <t>wakil presiden ri gibran rakabuming raka memastikan program makan bergizi gratis tidak hanya diterapkan di sekolah dan ibu hamil namun juga akan diterapkan di pondok pesantren gibran menyatakan pentingnya kebutuhan gizi para santri terpenuhi khususnya karena mereka tak</t>
  </si>
  <si>
    <t>['wakil', 'presiden', 'ri', 'gibran', 'rakabuming', 'raka', 'memastikan', 'program', 'makan', 'bergizi', 'gratis', 'tidak', 'hanya', 'diterapkan', 'di', 'sekolah', 'dan', 'ibu', 'hamil', 'namun', 'juga', 'akan', 'diterapkan', 'di', 'pondok', 'pesantren', 'gibran', 'menyatakan', 'pentingnya', 'kebutuhan', 'gizi', 'para', 'santri', 'terpenuhi', 'khususnya', 'karena', 'mereka', 'tak']</t>
  </si>
  <si>
    <t>&lt;FreqDist with 35 samples and 38 outcomes&gt;</t>
  </si>
  <si>
    <t>['wakil', 'presiden', 'ri', 'gibran', 'rakabuming', 'raka', 'program', 'makan', 'bergizi', 'gratis', 'diterapkan', 'sekolah', 'hamil', 'diterapkan', 'pondok', 'pesantren', 'gibran', 'kebutuhan', 'gizi', 'santri', 'terpenuhi']</t>
  </si>
  <si>
    <t>['wakil', 'presiden', 'ri', 'gibran', 'rakabuming', 'raka', 'program', 'makan', 'gizi', 'gratis', 'terap', 'sekolah', 'hamil', 'terap', 'pondok', 'pesantren', 'gibran', 'butuh', 'gizi', 'santri', 'penuh']</t>
  </si>
  <si>
    <t>anggaran program makan bergizi gratis capai rp triliun</t>
  </si>
  <si>
    <t>['anggaran', 'program', 'makan', 'bergizi', 'gratis', 'capai', 'rp', 'triliun']</t>
  </si>
  <si>
    <t>['anggar', 'program', 'makan', 'gizi', 'gratis', 'capai', 'rp', 'triliun']</t>
  </si>
  <si>
    <t>pondok pesantren muhammadiyah boarding school mbs ki bagus hadikusumo sebagai lembaga pendidikan yang berkomitmen penuh terhadap kemajuan peradaban bangsa mengundang wakil presiden gibran rakabuming untuk meninjau simulasi program makan bergizi gratis mbg kegiatan ini</t>
  </si>
  <si>
    <t>['pondok', 'pesantren', 'muhammadiyah', 'boarding', 'school', 'mbs', 'ki', 'bagus', 'hadikusumo', 'sebagai', 'lembaga', 'pendidikan', 'yang', 'berkomitmen', 'penuh', 'terhadap', 'kemajuan', 'peradaban', 'bangsa', 'mengundang', 'wakil', 'presiden', 'gibran', 'rakabuming', 'untuk', 'meninjau', 'simulasi', 'program', 'makan', 'bergizi', 'gratis', 'mbg', 'kegiatan', 'ini']</t>
  </si>
  <si>
    <t>&lt;FreqDist with 34 samples and 34 outcomes&gt;</t>
  </si>
  <si>
    <t>['pondok', 'pesantren', 'muhammadiyah', 'boarding', 'school', 'mbs', 'ki', 'bagus', 'hadikusumo', 'lembaga', 'pendidikan', 'berkomitmen', 'penuh', 'kemajuan', 'peradaban', 'bangsa', 'mengundang', 'wakil', 'presiden', 'gibran', 'rakabuming', 'meninjau', 'simulasi', 'program', 'makan', 'bergizi', 'gratis', 'mbg', 'kegiatan']</t>
  </si>
  <si>
    <t>['pondok', 'pesantren', 'muhammadiyah', 'boarding', 'sekolah', 'mbs', 'ki', 'bagus', 'hadikusumo', 'lembaga', 'pendidikan', 'berkomitmen', 'penuh', 'kemajuan', 'peradaban', 'bangsa', 'mengundang', 'wakil', 'presiden', 'gibran', 'rakabuming', 'meninjau', 'simulasi', 'program', 'makan', 'bergizi', 'gratis', 'mbg', 'kegiatan']</t>
  </si>
  <si>
    <t>['pondok', 'pesantren', 'muhammadiyah', 'boarding', 'sekolah', 'mbs', 'ki', 'bagus', 'hadikusumo', 'lembaga', 'didik', 'komitmen', 'penuh', 'maju', 'adab', 'bangsa', 'undang', 'wakil', 'presiden', 'gibran', 'rakabuming', 'tinjau', 'simulasi', 'program', 'makan', 'gizi', 'gratis', 'mbg', 'giat']</t>
  </si>
  <si>
    <t>kabar baik program makan bergizi gratis bakal diterapkan di pesantren</t>
  </si>
  <si>
    <t>['kabar', 'baik', 'program', 'makan', 'bergizi', 'gratis', 'bakal', 'diterapkan', 'di', 'pesantren']</t>
  </si>
  <si>
    <t>['kabar', 'program', 'makan', 'bergizi', 'gratis', 'diterapkan', 'pesantren']</t>
  </si>
  <si>
    <t>['kabar', 'program', 'makan', 'gizi', 'gratis', 'terap', 'pesantren']</t>
  </si>
  <si>
    <t>presiden prabowo subianto mengatakan program makan bergizi gratis yang akan dilaksanakan pemerintah bisa meningkatkan peredaran uang hingga persen di daerah peningkatan itu jika diperbandingkan dengan program dana desa yang memberi rp miliartahun untuk desa</t>
  </si>
  <si>
    <t>['presiden', 'prabowo', 'subianto', 'mengatakan', 'program', 'makan', 'bergizi', 'gratis', 'yang', 'akan', 'dilaksanakan', 'pemerintah', 'bisa', 'meningkatkan', 'peredaran', 'uang', 'hingga', 'persen', 'di', 'daerah', 'peningkatan', 'itu', 'jika', 'diperbandingkan', 'dengan', 'program', 'dana', 'desa', 'yang', 'memberi', 'rp', 'miliartahun', 'untuk', 'desa']</t>
  </si>
  <si>
    <t>&lt;FreqDist with 31 samples and 34 outcomes&gt;</t>
  </si>
  <si>
    <t>['presiden', 'prabowo', 'subianto', 'program', 'makan', 'bergizi', 'gratis', 'dilaksanakan', 'pemerintah', 'meningkatkan', 'peredaran', 'uang', 'persen', 'daerah', 'peningkatan', 'diperbandingkan', 'program', 'dana', 'desa', 'rp', 'miliartahun', 'desa']</t>
  </si>
  <si>
    <t>['presiden', 'prabowo', 'subianto', 'program', 'makan', 'gizi', 'gratis', 'laksana', 'perintah', 'tingkat', 'edar', 'uang', 'persen', 'daerah', 'tingkat', 'banding', 'program', 'dana', 'desa', 'rp', 'miliartahun', 'desa']</t>
  </si>
  <si>
    <t>wapres gibran sosialisasikan program makan bergizi gratis di pondok pesantren muhammadiyah bogor</t>
  </si>
  <si>
    <t>['wapres', 'gibran', 'sosialisasikan', 'program', 'makan', 'bergizi', 'gratis', 'di', 'pondok', 'pesantren', 'muhammadiyah', 'bogor']</t>
  </si>
  <si>
    <t>['wapres', 'gibran', 'sosialisasikan', 'program', 'makan', 'bergizi', 'gratis', 'pondok', 'pesantren', 'muhammadiyah', 'bogor']</t>
  </si>
  <si>
    <t>['wapres', 'gibran', 'sosialisasi', 'program', 'makan', 'gizi', 'gratis', 'pondok', 'pesantren', 'muhammadiyah', 'bogor']</t>
  </si>
  <si>
    <t>presiden prabowo mengumumkan program makan bergizi gratis mbg akan meningkatkan alokasi anggaran ke desadesa sebagai upaya untuk memberdayakan ekonomi di tingkat pedesaan kecamatan hingga provinsi bahkan presiden mengatakan mbg dapat membuat peredaran uang di desa</t>
  </si>
  <si>
    <t>['presiden', 'prabowo', 'mengumumkan', 'program', 'makan', 'bergizi', 'gratis', 'mbg', 'akan', 'meningkatkan', 'alokasi', 'anggaran', 'ke', 'desadesa', 'sebagai', 'upaya', 'untuk', 'memberdayakan', 'ekonomi', 'di', 'tingkat', 'pedesaan', 'kecamatan', 'hingga', 'provinsi', 'bahkan', 'presiden', 'mengatakan', 'mbg', 'dapat', 'membuat', 'peredaran', 'uang', 'di', 'desa']</t>
  </si>
  <si>
    <t>['presiden', 'prabowo', 'mengumumkan', 'program', 'makan', 'bergizi', 'gratis', 'mbg', 'meningkatkan', 'alokasi', 'anggaran', 'desadesa', 'upaya', 'memberdayakan', 'ekonomi', 'tingkat', 'pedesaan', 'kecamatan', 'provinsi', 'presiden', 'mbg', 'peredaran', 'uang', 'desa']</t>
  </si>
  <si>
    <t>['presiden', 'prabowo', 'umum', 'program', 'makan', 'gizi', 'gratis', 'mbg', 'tingkat', 'alokasi', 'anggar', 'desadesa', 'upaya', 'daya', 'ekonomi', 'tingkat', 'desa', 'camat', 'provinsi', 'presiden', 'mbg', 'edar', 'uang', 'desa']</t>
  </si>
  <si>
    <t>padahal menurut prabowo penghematan anggaran itu bisa membangun bendungan irigasi sarana pendidikan serta mendanai program makan bergizi gratis</t>
  </si>
  <si>
    <t>['padahal', 'menurut', 'prabowo', 'penghematan', 'anggaran', 'itu', 'bisa', 'membangun', 'bendungan', 'irigasi', 'sarana', 'pendidikan', 'serta', 'mendanai', 'program', 'makan', 'bergizi', 'gratis']</t>
  </si>
  <si>
    <t>['prabowo', 'penghematan', 'anggaran', 'membangun', 'bendungan', 'irigasi', 'sarana', 'pendidikan', 'mendanai', 'program', 'makan', 'bergizi', 'gratis']</t>
  </si>
  <si>
    <t>['prabowo', 'hemat', 'anggar', 'bangun', 'bendung', 'irigasi', 'sarana', 'didik', 'dana', 'program', 'makan', 'gizi', 'gratis']</t>
  </si>
  <si>
    <t>presiden prabowo subianto mengumumkan bahwa program makan bergizi gratis akan meningkatkan alokasi anggaran ke desadesa hal ini sebagai upaya untuk memberdayakan ekonomi di tingkat pedesaan kecamatan hingga provinsi simak berita selengkapnya hanya di</t>
  </si>
  <si>
    <t>['presiden', 'prabowo', 'subianto', 'mengumumkan', 'bahwa', 'program', 'makan', 'bergizi', 'gratis', 'akan', 'meningkatkan', 'alokasi', 'anggaran', 'ke', 'desadesa', 'hal', 'ini', 'sebagai', 'upaya', 'untuk', 'memberdayakan', 'ekonomi', 'di', 'tingkat', 'pedesaan', 'kecamatan', 'hingga', 'provinsi', 'simak', 'berita', 'selengkapnya', 'hanya', 'di']</t>
  </si>
  <si>
    <t>&lt;FreqDist with 32 samples and 33 outcomes&gt;</t>
  </si>
  <si>
    <t>['presiden', 'prabowo', 'subianto', 'mengumumkan', 'program', 'makan', 'bergizi', 'gratis', 'meningkatkan', 'alokasi', 'anggaran', 'desadesa', 'upaya', 'memberdayakan', 'ekonomi', 'tingkat', 'pedesaan', 'kecamatan', 'provinsi', 'simak', 'berita', 'selengkapnya']</t>
  </si>
  <si>
    <t>['presiden', 'prabowo', 'subianto', 'umum', 'program', 'makan', 'gizi', 'gratis', 'tingkat', 'alokasi', 'anggar', 'desadesa', 'upaya', 'daya', 'ekonomi', 'tingkat', 'desa', 'camat', 'provinsi', 'simak', 'berita', 'lengkap']</t>
  </si>
  <si>
    <t>presiden prabowo subianto mengatakan program makan bergizi gratis mbg merupakan langkah strategis untuk memberdayakan ekonomi di pedesaan hal tersebut disampaikan prabowo saat acara penyerahan daftar isian pelaksanaan anggaran dipa dan buku daftar alokasi transfer ke</t>
  </si>
  <si>
    <t>['presiden', 'prabowo', 'subianto', 'mengatakan', 'program', 'makan', 'bergizi', 'gratis', 'mbg', 'merupakan', 'langkah', 'strategis', 'untuk', 'memberdayakan', 'ekonomi', 'di', 'pedesaan', 'hal', 'tersebut', 'disampaikan', 'prabowo', 'saat', 'acara', 'penyerahan', 'daftar', 'isian', 'pelaksanaan', 'anggaran', 'dipa', 'dan', 'buku', 'daftar', 'alokasi', 'transfer', 'ke']</t>
  </si>
  <si>
    <t>&lt;FreqDist with 33 samples and 35 outcomes&gt;</t>
  </si>
  <si>
    <t>['presiden', 'prabowo', 'subianto', 'program', 'makan', 'bergizi', 'gratis', 'mbg', 'langkah', 'strategis', 'memberdayakan', 'ekonomi', 'pedesaan', 'prabowo', 'acara', 'penyerahan', 'daftar', 'isian', 'pelaksanaan', 'anggaran', 'dipa', 'buku', 'daftar', 'alokasi', 'transfer']</t>
  </si>
  <si>
    <t>['presiden', 'prabowo', 'subianto', 'program', 'makan', 'gizi', 'gratis', 'mbg', 'langkah', 'strategis', 'daya', 'ekonomi', 'desa', 'prabowo', 'acara', 'serah', 'daftar', 'isi', 'laksana', 'anggar', 'dipa', 'buku', 'daftar', 'alokasi', 'transfer']</t>
  </si>
  <si>
    <t>kasat binmas polres lumajang melaksanakan kegiatan program makan bergizi gratis yang dilaksanakan di ma putri nurul masyithoh lumajang indonesia</t>
  </si>
  <si>
    <t>['kasat', 'binmas', 'polres', 'lumajang', 'melaksanakan', 'kegiatan', 'program', 'makan', 'bergizi', 'gratis', 'yang', 'dilaksanakan', 'di', 'ma', 'putri', 'nurul', 'masyithoh', 'lumajang', 'indonesia']</t>
  </si>
  <si>
    <t>['kasat', 'binmas', 'polres', 'lumajang', 'melaksanakan', 'kegiatan', 'program', 'makan', 'bergizi', 'gratis', 'dilaksanakan', 'ma', 'putri', 'nurul', 'masyithoh', 'lumajang', 'indonesia']</t>
  </si>
  <si>
    <t>['kasat', 'binmas', 'polres', 'lumajang', 'laksana', 'giat', 'program', 'makan', 'gizi', 'gratis', 'laksana', 'ma', 'putri', 'nurul', 'masyithoh', 'lumajang', 'indonesia']</t>
  </si>
  <si>
    <t>sri mulyani program makan bergizi gratis dapat menggerakan ekonomi daerah</t>
  </si>
  <si>
    <t>['sri', 'mulyani', 'program', 'makan', 'bergizi', 'gratis', 'dapat', 'menggerakan', 'ekonomi', 'daerah']</t>
  </si>
  <si>
    <t>['sri', 'mulyani', 'program', 'makan', 'bergizi', 'gratis', 'menggerakan', 'ekonomi', 'daerah']</t>
  </si>
  <si>
    <t>['sri', 'mulyani', 'program', 'makan', 'gizi', 'gratis', 'gera', 'ekonomi', 'daerah']</t>
  </si>
  <si>
    <t>prancis dukung program makan bergizi gratis prabowo</t>
  </si>
  <si>
    <t>['prancis', 'dukung', 'program', 'makan', 'bergizi', 'gratis', 'prabowo']</t>
  </si>
  <si>
    <t>['prancis', 'dukung', 'program', 'makan', 'gizi', 'gratis', 'prabowo']</t>
  </si>
  <si>
    <t>bpom kawal program makan bergizi gratis dapur hingga distribusi diawasi lewat com</t>
  </si>
  <si>
    <t>['bpom', 'kawal', 'program', 'makan', 'bergizi', 'gratis', 'dapur', 'hingga', 'distribusi', 'diawasi', 'lewat', 'com']</t>
  </si>
  <si>
    <t>['bpom', 'kawal', 'program', 'makan', 'bergizi', 'gratis', 'dapur', 'distribusi', 'diawasi', 'com']</t>
  </si>
  <si>
    <t>['bpom', 'kawal', 'program', 'makan', 'gizi', 'gratis', 'dapur', 'distribusi', 'awas', 'com']</t>
  </si>
  <si>
    <t>pemerintah melalui kantor komunikasi kepresidenan meninjau secara langsung kesiapan pelaksanaan program makan bergizi gratis mbg di unit pelayanan mbg tanah sareal bogor jawa barat serta sdn kedung badak dan smp siliwangi kota bogor senin</t>
  </si>
  <si>
    <t>['pemerintah', 'melalui', 'kantor', 'komunikasi', 'kepresidenan', 'meninjau', 'secara', 'langsung', 'kesiapan', 'pelaksanaan', 'program', 'makan', 'bergizi', 'gratis', 'mbg', 'di', 'unit', 'pelayanan', 'mbg', 'tanah', 'sareal', 'bogor', 'jawa', 'barat', 'serta', 'sdn', 'kedung', 'badak', 'dan', 'smp', 'siliwangi', 'kota', 'bogor', 'senin']</t>
  </si>
  <si>
    <t>&lt;FreqDist with 32 samples and 34 outcomes&gt;</t>
  </si>
  <si>
    <t>['pemerintah', 'kantor', 'komunikasi', 'kepresidenan', 'meninjau', 'langsung', 'kesiapan', 'pelaksanaan', 'program', 'makan', 'bergizi', 'gratis', 'mbg', 'unit', 'pelayanan', 'mbg', 'tanah', 'sareal', 'bogor', 'jawa', 'barat', 'sdn', 'kedung', 'badak', 'smp', 'siliwangi', 'kota', 'bogor', 'senin']</t>
  </si>
  <si>
    <t>['perintah', 'kantor', 'komunikasi', 'presiden', 'tinjau', 'langsung', 'kesiap', 'laksana', 'program', 'makan', 'gizi', 'gratis', 'mbg', 'unit', 'layan', 'mbg', 'tanah', 'sareal', 'bogor', 'jawa', 'barat', 'sdn', 'kedung', 'badak', 'smp', 'siliwangi', 'kota', 'bogor', 'senin']</t>
  </si>
  <si>
    <t>kepala bpom temui jaksa agung minta kawal program makan bergizi gratis</t>
  </si>
  <si>
    <t>['kepala', 'bpom', 'temui', 'jaksa', 'agung', 'minta', 'kawal', 'program', 'makan', 'bergizi', 'gratis']</t>
  </si>
  <si>
    <t>['kepala', 'bpom', 'temui', 'jaksa', 'agung', 'kawal', 'program', 'makan', 'bergizi', 'gratis']</t>
  </si>
  <si>
    <t>['kepala', 'bpom', 'temu', 'jaksa', 'agung', 'kawal', 'program', 'makan', 'gizi', 'gratis']</t>
  </si>
  <si>
    <t>please bantu isi atau barter kuesioner penelitian sender tentang program makan bergizi gratis mbg kriterianya kayak dibawah ini bolee reply aja yaa nanti sender kirim linknya lewat dm makasi gais</t>
  </si>
  <si>
    <t>['please', 'bantu', 'isi', 'atau', 'barter', 'kuesioner', 'penelitian', 'sender', 'tentang', 'program', 'makan', 'bergizi', 'gratis', 'mbg', 'kriterianya', 'kayak', 'dibawah', 'ini', 'bolee', 'reply', 'aja', 'yaa', 'nanti', 'sender', 'kirim', 'linknya', 'lewat', 'dm', 'makasi', 'gais']</t>
  </si>
  <si>
    <t>&lt;FreqDist with 29 samples and 30 outcomes&gt;</t>
  </si>
  <si>
    <t>['please', 'bantu', 'isi', 'barter', 'kuesioner', 'penelitian', 'sender', 'program', 'makan', 'bergizi', 'gratis', 'mbg', 'kriterianya', 'kayak', 'dibawah', 'bolee', 'reply', 'yaa', 'sender', 'kirim', 'linknya', 'dm', 'makasi', 'gais']</t>
  </si>
  <si>
    <t>['tolong', 'bantu', 'isi', 'barter', 'kuesioner', 'penelitian', 'sender', 'program', 'makan', 'bergizi', 'gratis', 'mbg', 'kriterianya', 'seperti', 'dibawah', 'bolee', 'balas', 'yaa', 'sender', 'kirim', 'linknya', 'pesan', 'terimakasih', 'gais']</t>
  </si>
  <si>
    <t>['tolong', 'bantu', 'isi', 'barter', 'kuesioner', 'teliti', 'sender', 'program', 'makan', 'gizi', 'gratis', 'mbg', 'kriteria', 'seperti', 'bawah', 'bolee', 'balas', 'yaa', 'sender', 'kirim', 'linknya', 'pesan', 'terimakasih', 'gais']</t>
  </si>
  <si>
    <t>program makan bergizi gratis membuktikan fleksibilitasnya dengan mengubah fungsi dapur layanan menjadi posko darurat memastikan ratusan ribu korban bencana alam tetap mendapatkan akses pangan sehat dan layak di tengah situasi krisis</t>
  </si>
  <si>
    <t>['program', 'makan', 'bergizi', 'gratis', 'membuktikan', 'fleksibilitasnya', 'dengan', 'mengubah', 'fungsi', 'dapur', 'layanan', 'menjadi', 'posko', 'darurat', 'memastikan', 'ratusan', 'ribu', 'korban', 'bencana', 'alam', 'tetap', 'mendapatkan', 'akses', 'pangan', 'sehat', 'dan', 'layak', 'di', 'tengah', 'situasi', 'krisis']</t>
  </si>
  <si>
    <t>&lt;FreqDist with 31 samples and 31 outcomes&gt;</t>
  </si>
  <si>
    <t>['program', 'makan', 'bergizi', 'gratis', 'membuktikan', 'fleksibilitasnya', 'mengubah', 'fungsi', 'dapur', 'layanan', 'posko', 'darurat', 'ratusan', 'ribu', 'korban', 'bencana', 'alam', 'akses', 'pangan', 'sehat', 'layak', 'situasi', 'krisis']</t>
  </si>
  <si>
    <t>['program', 'makan', 'gizi', 'gratis', 'bukti', 'fleksibilitas', 'ubah', 'fungsi', 'dapur', 'layan', 'posko', 'darurat', 'ratus', 'ribu', 'korban', 'bencana', 'alam', 'akses', 'pangan', 'sehat', 'layak', 'situasi', 'krisis']</t>
  </si>
  <si>
    <t>were hiring dapur sppg mbg yayasan apta peduli bangsa membuka kesempatan bagi kamu yang ingin berkontribusi dalam program makan bergizi gratis untuk masyarakat saat ini kami membuka lowongan untuk posisi ahli gizi kualifikasi utama priawanita minimal</t>
  </si>
  <si>
    <t>['were', 'hiring', 'dapur', 'sppg', 'mbg', 'yayasan', 'apta', 'peduli', 'bangsa', 'membuka', 'kesempatan', 'bagi', 'kamu', 'yang', 'ingin', 'berkontribusi', 'dalam', 'program', 'makan', 'bergizi', 'gratis', 'untuk', 'masyarakat', 'saat', 'ini', 'kami', 'membuka', 'lowongan', 'untuk', 'posisi', 'ahli', 'gizi', 'kualifikasi', 'utama', 'priawanita', 'minimal']</t>
  </si>
  <si>
    <t>&lt;FreqDist with 34 samples and 36 outcomes&gt;</t>
  </si>
  <si>
    <t>['were', 'hiring', 'dapur', 'sppg', 'mbg', 'yayasan', 'apta', 'peduli', 'bangsa', 'membuka', 'kesempatan', 'berkontribusi', 'program', 'makan', 'bergizi', 'gratis', 'masyarakat', 'membuka', 'lowongan', 'posisi', 'ahli', 'gizi', 'kualifikasi', 'utama', 'priawanita', 'minimal']</t>
  </si>
  <si>
    <t>['were', 'hiring', 'dapur', 'sppg', 'mbg', 'yayasan', 'apta', 'peduli', 'bangsa', 'buka', 'sempat', 'kontribusi', 'program', 'makan', 'gizi', 'gratis', 'masyarakat', 'buka', 'lowong', 'posisi', 'ahli', 'gizi', 'kualifikasi', 'utama', 'priawanita', 'minimal']</t>
  </si>
  <si>
    <t>badan gizi nasional bgn memastikan program makan bergizi gratis mulai berjalan pada awal januari dengan belanja harian mencapai rp miliar kepala bgn dadan hindayana menegaskan satu hari di bulan januari kami akan menggunakan uang rp miliar belanja besar ini</t>
  </si>
  <si>
    <t>['badan', 'gizi', 'nasional', 'bgn', 'memastikan', 'program', 'makan', 'bergizi', 'gratis', 'mulai', 'berjalan', 'pada', 'awal', 'januari', 'dengan', 'belanja', 'harian', 'mencapai', 'rp', 'miliar', 'kepala', 'bgn', 'dadan', 'hindayana', 'menegaskan', 'satu', 'hari', 'di', 'bulan', 'januari', 'kami', 'akan', 'menggunakan', 'uang', 'rp', 'miliar', 'belanja', 'besar', 'ini']</t>
  </si>
  <si>
    <t>&lt;FreqDist with 34 samples and 39 outcomes&gt;</t>
  </si>
  <si>
    <t>['badan', 'gizi', 'nasional', 'bgn', 'program', 'makan', 'bergizi', 'gratis', 'berjalan', 'januari', 'belanja', 'harian', 'mencapai', 'rp', 'miliar', 'kepala', 'bgn', 'dadan', 'hindayana', 'januari', 'uang', 'rp', 'miliar', 'belanja']</t>
  </si>
  <si>
    <t>['badan', 'gizi', 'nasional', 'bgn', 'program', 'makan', 'gizi', 'gratis', 'jalan', 'januari', 'belanja', 'hari', 'capai', 'rp', 'miliar', 'kepala', 'bgn', 'dad', 'hindayana', 'januari', 'uang', 'rp', 'miliar', 'belanja']</t>
  </si>
  <si>
    <t>seorang pedagang telur bernama stefanus gulo merasa bangga dan bersyukur karena lapak dagangannya dipercaya menjadi salah satu pemasok telur untuk kebutuhan program makan bergizi gratis mbg</t>
  </si>
  <si>
    <t>['seorang', 'pedagang', 'telur', 'bernama', 'stefanus', 'gulo', 'merasa', 'bangga', 'dan', 'bersyukur', 'karena', 'lapak', 'dagangannya', 'dipercaya', 'menjadi', 'salah', 'satu', 'pemasok', 'telur', 'untuk', 'kebutuhan', 'program', 'makan', 'bergizi', 'gratis', 'mbg']</t>
  </si>
  <si>
    <t>&lt;FreqDist with 25 samples and 26 outcomes&gt;</t>
  </si>
  <si>
    <t>['pedagang', 'telur', 'bernama', 'stefanus', 'gulo', 'bangga', 'bersyukur', 'lapak', 'dagangannya', 'dipercaya', 'salah', 'pemasok', 'telur', 'kebutuhan', 'program', 'makan', 'bergizi', 'gratis', 'mbg']</t>
  </si>
  <si>
    <t>['dagang', 'telur', 'nama', 'stefanus', 'gulo', 'bangga', 'syukur', 'lapak', 'dagang', 'percaya', 'salah', 'pasok', 'telur', 'butuh', 'program', 'makan', 'gizi', 'gratis', 'mbg']</t>
  </si>
  <si>
    <t>program makan bergizi gratis di sman pekanbaru berjalan lancar</t>
  </si>
  <si>
    <t>['program', 'makan', 'bergizi', 'gratis', 'di', 'sman', 'pekanbaru', 'berjalan', 'lancar']</t>
  </si>
  <si>
    <t>['program', 'makan', 'bergizi', 'gratis', 'sman', 'pekanbaru', 'berjalan', 'lancar']</t>
  </si>
  <si>
    <t>['program', 'makan', 'gizi', 'gratis', 'sman', 'pekanbaru', 'jalan', 'lancar']</t>
  </si>
  <si>
    <t>puluhan pelajar dari sejumlah sekolah di kecamatan sumberwringin kabupaten bondowoso jawa timur diduga mengalami keracunan setelah mengonsumsi menu program makan bergizi gratis mbg rabu para siswa yang mengalami keluhan langsung dilarikan ke puskesmas</t>
  </si>
  <si>
    <t>['puluhan', 'pelajar', 'dari', 'sejumlah', 'sekolah', 'di', 'kecamatan', 'sumberwringin', 'kabupaten', 'bondowoso', 'jawa', 'timur', 'diduga', 'mengalami', 'keracunan', 'setelah', 'mengonsumsi', 'menu', 'program', 'makan', 'bergizi', 'gratis', 'mbg', 'rabu', 'para', 'siswa', 'yang', 'mengalami', 'keluhan', 'langsung', 'dilarikan', 'ke', 'puskesmas']</t>
  </si>
  <si>
    <t>['puluhan', 'pelajar', 'sekolah', 'kecamatan', 'sumberwringin', 'kabupaten', 'bondowoso', 'jawa', 'timur', 'diduga', 'mengalami', 'keracunan', 'mengonsumsi', 'menu', 'program', 'makan', 'bergizi', 'gratis', 'mbg', 'rabu', 'siswa', 'mengalami', 'keluhan', 'langsung', 'dilarikan', 'puskesmas']</t>
  </si>
  <si>
    <t>['puluh', 'ajar', 'sekolah', 'camat', 'sumberwringin', 'kabupaten', 'bondowoso', 'jawa', 'timur', 'duga', 'alami', 'racun', 'konsumsi', 'menu', 'program', 'makan', 'gizi', 'gratis', 'mbg', 'rabu', 'siswa', 'alami', 'keluh', 'langsung', 'lari', 'puskesmas']</t>
  </si>
  <si>
    <t>siswa dan guru di smp  airmadidi minahasa utara diduga keracunan makan siang gratis data per tanggal november setidaknya rumah sakit di sulawesi utara dijadikan rujukan untuk merawat puluhan siswa yang keracunan pasca menyatap program makan bergizi gratis</t>
  </si>
  <si>
    <t>['siswa', 'dan', 'guru', 'di', 'smp', 'airmadidi', 'minahasa', 'utara', 'diduga', 'keracunan', 'makan', 'siang', 'gratis', 'data', 'per', 'tanggal', 'november', 'setidaknya', 'rumah', 'sakit', 'di', 'sulawesi', 'utara', 'dijadikan', 'rujukan', 'untuk', 'merawat', 'puluhan', 'siswa', 'yang', 'keracunan', 'pasca', 'menyatap', 'program', 'makan', 'bergizi', 'gratis']</t>
  </si>
  <si>
    <t>&lt;FreqDist with 31 samples and 37 outcomes&gt;</t>
  </si>
  <si>
    <t>['siswa', 'guru', 'smp', 'airmadidi', 'minahasa', 'utara', 'diduga', 'keracunan', 'makan', 'siang', 'gratis', 'data', 'tanggal', 'november', 'rumah', 'sakit', 'sulawesi', 'utara', 'dijadikan', 'rujukan', 'merawat', 'puluhan', 'siswa', 'keracunan', 'pasca', 'menyatap', 'program', 'makan', 'bergizi', 'gratis']</t>
  </si>
  <si>
    <t>['siswa', 'guru', 'smp', 'airmadidi', 'minahasa', 'utara', 'duga', 'racun', 'makan', 'siang', 'gratis', 'data', 'tanggal', 'november', 'rumah', 'sakit', 'sulawesi', 'utara', 'jadi', 'rujuk', 'rawat', 'puluh', 'siswa', 'racun', 'pasca', 'menyatap', 'program', 'makan', 'gizi', 'gratis']</t>
  </si>
  <si>
    <t>babinsa sukolilo dampingi program makan bergizi gratis di sekolah</t>
  </si>
  <si>
    <t>['babinsa', 'sukolilo', 'dampingi', 'program', 'makan', 'bergizi', 'gratis', 'di', 'sekolah']</t>
  </si>
  <si>
    <t>['babinsa', 'sukolilo', 'dampingi', 'program', 'makan', 'bergizi', 'gratis', 'sekolah']</t>
  </si>
  <si>
    <t>['babinsa', 'sukolilo', 'damping', 'program', 'makan', 'gizi', 'gratis', 'sekolah']</t>
  </si>
  <si>
    <t>kodim mojokerto bersama bps kota mojokerto menggelar rapat koordinasi dan evaluasi program makan bergizi gratis mbg sebagai wujud sinergi dalam mengawal program strategis nasional</t>
  </si>
  <si>
    <t>['kodim', 'mojokerto', 'bersama', 'bps', 'kota', 'mojokerto', 'menggelar', 'rapat', 'koordinasi', 'dan', 'evaluasi', 'program', 'makan', 'bergizi', 'gratis', 'mbg', 'sebagai', 'wujud', 'sinergi', 'dalam', 'mengawal', 'program', 'strategis', 'nasional']</t>
  </si>
  <si>
    <t>&lt;FreqDist with 22 samples and 24 outcomes&gt;</t>
  </si>
  <si>
    <t>['kodim', 'mojokerto', 'bps', 'kota', 'mojokerto', 'menggelar', 'rapat', 'koordinasi', 'evaluasi', 'program', 'makan', 'bergizi', 'gratis', 'mbg', 'wujud', 'sinergi', 'mengawal', 'program', 'strategis', 'nasional']</t>
  </si>
  <si>
    <t>['kodim', 'mojokerto', 'bps', 'kota', 'mojokerto', 'gelar', 'rapat', 'koordinasi', 'evaluasi', 'program', 'makan', 'gizi', 'gratis', 'mbg', 'wujud', 'sinergi', 'awal', 'program', 'strategis', 'nasional']</t>
  </si>
  <si>
    <t>sinergi tnipolri dukung program makan bergizi gratis bhabinkamtibmas desa tegallalang aiptu  dewa made sandat bersama babinsa sertu  gst arbajaya melaksanakan atensi pendistribusian program makan bergizi gratis mbg tahap  dari sppg tegallalang ke sekolahsekolah</t>
  </si>
  <si>
    <t>['sinergi', 'tnipolri', 'dukung', 'program', 'makan', 'bergizi', 'gratis', 'bhabinkamtibmas', 'desa', 'tegallalang', 'aiptu', 'dewa', 'made', 'sandat', 'bersama', 'babinsa', 'sertu', 'gst', 'arbajaya', 'melaksanakan', 'atensi', 'pendistribusian', 'program', 'makan', 'bergizi', 'gratis', 'mbg', 'tahap', 'dari', 'sppg', 'tegallalang', 'ke', 'sekolahsekolah']</t>
  </si>
  <si>
    <t>&lt;FreqDist with 28 samples and 33 outcomes&gt;</t>
  </si>
  <si>
    <t>['sinergi', 'tnipolri', 'dukung', 'program', 'makan', 'bergizi', 'gratis', 'bhabinkamtibmas', 'desa', 'tegallalang', 'aiptu', 'dewa', 'made', 'sandat', 'babinsa', 'sertu', 'gst', 'arbajaya', 'melaksanakan', 'atensi', 'pendistribusian', 'program', 'makan', 'bergizi', 'gratis', 'mbg', 'tahap', 'sppg', 'tegallalang', 'sekolahsekolah']</t>
  </si>
  <si>
    <t>['sinergi', 'tnipolri', 'dukung', 'program', 'makan', 'gizi', 'gratis', 'bhabinkamtibmas', 'desa', 'tegallalang', 'aiptu', 'dewa', 'made', 'sandat', 'babinsa', 'sertu', 'gst', 'arbajaya', 'laksana', 'atensi', 'distribusi', 'program', 'makan', 'gizi', 'gratis', 'mbg', 'tahap', 'sppg', 'tegallalang', 'sekolahsekolah']</t>
  </si>
  <si>
    <t>polsek sukadana pantau langsung program makan bergizi gratis di smpn sukadana ciamis</t>
  </si>
  <si>
    <t>['polsek', 'sukadana', 'pantau', 'langsung', 'program', 'makan', 'bergizi', 'gratis', 'di', 'smpn', 'sukadana', 'ciamis']</t>
  </si>
  <si>
    <t>&lt;FreqDist with 11 samples and 12 outcomes&gt;</t>
  </si>
  <si>
    <t>['polsek', 'sukadana', 'pantau', 'langsung', 'program', 'makan', 'bergizi', 'gratis', 'smpn', 'sukadana', 'ciamis']</t>
  </si>
  <si>
    <t>['polsek', 'sukadana', 'pantau', 'langsung', 'program', 'makan', 'gizi', 'gratis', 'smpn', 'sukadana', 'ciamis']</t>
  </si>
  <si>
    <t>koramil paiton dukung program makan bergizi gratis tingkatkan kesehatan pelajar simak selengkapnya disini</t>
  </si>
  <si>
    <t>['koramil', 'paiton', 'dukung', 'program', 'makan', 'bergizi', 'gratis', 'tingkatkan', 'kesehatan', 'pelajar', 'simak', 'selengkapnya', 'disini']</t>
  </si>
  <si>
    <t>['koramil', 'paiton', 'dukung', 'program', 'makan', 'bergizi', 'gratis', 'tingkatkan', 'kesehatan', 'pelajar', 'simak', 'selengkapnya']</t>
  </si>
  <si>
    <t>['koramil', 'paiton', 'dukung', 'program', 'makan', 'gizi', 'gratis', 'tingkat', 'sehat', 'ajar', 'simak', 'lengkap']</t>
  </si>
  <si>
    <t>bpkp kalteng melaksanakan evaluasi program makan bergizi gratis mbg di kabupaten barito timur guna memastikan kepatuhan pelaksanaan terhadap regulasi dan rencana kerja serta mengidentifikasi permasalahan serta risiko yang menghambat pelaksanaan program mbg</t>
  </si>
  <si>
    <t>['bpkp', 'kalteng', 'melaksanakan', 'evaluasi', 'program', 'makan', 'bergizi', 'gratis', 'mbg', 'di', 'kabupaten', 'barito', 'timur', 'guna', 'memastikan', 'kepatuhan', 'pelaksanaan', 'terhadap', 'regulasi', 'dan', 'rencana', 'kerja', 'serta', 'mengidentifikasi', 'permasalahan', 'serta', 'risiko', 'yang', 'menghambat', 'pelaksanaan', 'program', 'mbg']</t>
  </si>
  <si>
    <t>&lt;FreqDist with 28 samples and 32 outcomes&gt;</t>
  </si>
  <si>
    <t>['bpkp', 'kalteng', 'melaksanakan', 'evaluasi', 'program', 'makan', 'bergizi', 'gratis', 'mbg', 'kabupaten', 'barito', 'timur', 'kepatuhan', 'pelaksanaan', 'regulasi', 'rencana', 'kerja', 'mengidentifikasi', 'permasalahan', 'risiko', 'menghambat', 'pelaksanaan', 'program', 'mbg']</t>
  </si>
  <si>
    <t>['bpkp', 'kalteng', 'laksana', 'evaluasi', 'program', 'makan', 'gizi', 'gratis', 'mbg', 'kabupaten', 'barito', 'timur', 'patuh', 'laksana', 'regulasi', 'rencana', 'kerja', 'identifikasi', 'masalah', 'risiko', 'hambat', 'laksana', 'program', 'mbg']</t>
  </si>
  <si>
    <t>setiap anak berhak tumbuh sehat dan kuat mari dukung program makan bergizi gratis agar mereka bisa belajar dengan penuh energi tersenyum lebih lebar dan meraih masa depan yang lebih cerah</t>
  </si>
  <si>
    <t>['setiap', 'anak', 'berhak', 'tumbuh', 'sehat', 'dan', 'kuat', 'mari', 'dukung', 'program', 'makan', 'bergizi', 'gratis', 'agar', 'mereka', 'bisa', 'belajar', 'dengan', 'penuh', 'energi', 'tersenyum', 'lebih', 'lebar', 'dan', 'meraih', 'masa', 'depan', 'yang', 'lebih', 'cerah']</t>
  </si>
  <si>
    <t>&lt;FreqDist with 28 samples and 30 outcomes&gt;</t>
  </si>
  <si>
    <t>['anak', 'berhak', 'tumbuh', 'sehat', 'kuat', 'mari', 'dukung', 'program', 'makan', 'bergizi', 'gratis', 'belajar', 'penuh', 'energi', 'tersenyum', 'lebar', 'meraih', 'cerah']</t>
  </si>
  <si>
    <t>['anak', 'hak', 'tumbuh', 'sehat', 'kuat', 'mari', 'dukung', 'program', 'makan', 'gizi', 'gratis', 'ajar', 'penuh', 'energi', 'senyum', 'lebar', 'raih', 'cerah']</t>
  </si>
  <si>
    <t>program makan bergizi gratis mbg beralih fungsi menjadi garda terdepan penyaluran makanan darurat untuk korban bencana di sumatera aceh sumut sumbar ribuan paket makanan bergizi didistribusikan setiap hari untuk memastikan kebutuhan dasar korban terpenuhi</t>
  </si>
  <si>
    <t>['program', 'makan', 'bergizi', 'gratis', 'mbg', 'beralih', 'fungsi', 'menjadi', 'garda', 'terdepan', 'penyaluran', 'makanan', 'darurat', 'untuk', 'korban', 'bencana', 'di', 'sumatera', 'aceh', 'sumut', 'sumbar', 'ribuan', 'paket', 'makanan', 'bergizi', 'didistribusikan', 'setiap', 'hari', 'untuk', 'memastikan', 'kebutuhan', 'dasar', 'korban', 'terpenuhi']</t>
  </si>
  <si>
    <t>&lt;FreqDist with 30 samples and 34 outcomes&gt;</t>
  </si>
  <si>
    <t>['program', 'makan', 'bergizi', 'gratis', 'mbg', 'beralih', 'fungsi', 'garda', 'terdepan', 'penyaluran', 'makanan', 'darurat', 'korban', 'bencana', 'sumatera', 'aceh', 'sumut', 'sumbar', 'ribuan', 'paket', 'makanan', 'bergizi', 'didistribusikan', 'kebutuhan', 'dasar', 'korban', 'terpenuhi']</t>
  </si>
  <si>
    <t>['program', 'makan', 'gizi', 'gratis', 'mbg', 'alih', 'fungsi', 'garda', 'depan', 'salur', 'makan', 'darurat', 'korban', 'bencana', 'sumatera', 'aceh', 'sumut', 'sumbar', 'ribu', 'paket', 'makan', 'gizi', 'distribusi', 'butuh', 'dasar', 'korban', 'penuh']</t>
  </si>
  <si>
    <t>gizi terpenuhi ibu hamil lebih tenang program makan bergizi gratis hadir memastikan kesehatan ibu dan calon bayi terjaga tanpa beban biaya bukti nyata kepedulian pemerintah untuk melahirkan generasi kuat</t>
  </si>
  <si>
    <t>['gizi', 'terpenuhi', 'ibu', 'hamil', 'lebih', 'tenang', 'program', 'makan', 'bergizi', 'gratis', 'hadir', 'memastikan', 'kesehatan', 'ibu', 'dan', 'calon', 'bayi', 'terjaga', 'tanpa', 'beban', 'biaya', 'bukti', 'nyata', 'kepedulian', 'pemerintah', 'untuk', 'melahirkan', 'generasi', 'kuat']</t>
  </si>
  <si>
    <t>['gizi', 'terpenuhi', 'hamil', 'tenang', 'program', 'makan', 'bergizi', 'gratis', 'hadir', 'kesehatan', 'calon', 'bayi', 'terjaga', 'beban', 'biaya', 'bukti', 'nyata', 'kepedulian', 'pemerintah', 'melahirkan', 'generasi', 'kuat']</t>
  </si>
  <si>
    <t>['gizi', 'penuh', 'hamil', 'tenang', 'program', 'makan', 'gizi', 'gratis', 'hadir', 'sehat', 'calon', 'bayi', 'jaga', 'beban', 'biaya', 'bukti', 'nyata', 'peduli', 'perintah', 'lahir', 'generasi', 'kuat']</t>
  </si>
  <si>
    <t>mobil lab keliling dari bpom ini keren banget soalnya langsung turun ke daerah yang susah dijangkau buat pastikan program makan bergizi gratis berjalan aman dan tepat ini contoh nyata kerja senyap tapi ngena buat banyak orang</t>
  </si>
  <si>
    <t>['mobil', 'lab', 'keliling', 'dari', 'bpom', 'ini', 'keren', 'banget', 'soalnya', 'langsung', 'turun', 'ke', 'daerah', 'yang', 'susah', 'dijangkau', 'buat', 'pastikan', 'program', 'makan', 'bergizi', 'gratis', 'berjalan', 'aman', 'dan', 'tepat', 'ini', 'contoh', 'nyata', 'kerja', 'senyap', 'tapi', 'ngena', 'buat', 'banyak', 'orang']</t>
  </si>
  <si>
    <t>['mobil', 'lab', 'keliling', 'bpom', 'keren', 'banget', 'langsung', 'turun', 'daerah', 'susah', 'dijangkau', 'pastikan', 'program', 'makan', 'bergizi', 'gratis', 'berjalan', 'aman', 'contoh', 'nyata', 'kerja', 'senyap', 'ngena', 'orang']</t>
  </si>
  <si>
    <t>['mobil', 'lab', 'keliling', 'bpom', 'keren', 'sekali', 'langsung', 'turun', 'daerah', 'susah', 'dijangkau', 'pastikan', 'program', 'makan', 'bergizi', 'gratis', 'berjalan', 'aman', 'contoh', 'nyata', 'kerja', 'senyap', 'ngena', 'orang']</t>
  </si>
  <si>
    <t>['mobil', 'lab', 'keliling', 'bpom', 'keren', 'sekali', 'langsung', 'turun', 'daerah', 'susah', 'jangkau', 'pasti', 'program', 'makan', 'gizi', 'gratis', 'jalan', 'aman', 'contoh', 'nyata', 'kerja', 'senyap', 'ngena', 'orang']</t>
  </si>
  <si>
    <t>kepala badan gizi nasional bgn mengungkap peran vital program makan bergizi gratis mbg dalam perekonomian indonesia</t>
  </si>
  <si>
    <t>['kepala', 'badan', 'gizi', 'nasional', 'bgn', 'mengungkap', 'peran', 'vital', 'program', 'makan', 'bergizi', 'gratis', 'mbg', 'dalam', 'perekonomian', 'indonesia']</t>
  </si>
  <si>
    <t>&lt;FreqDist with 16 samples and 16 outcomes&gt;</t>
  </si>
  <si>
    <t>['kepala', 'badan', 'gizi', 'nasional', 'bgn', 'mengungkap', 'peran', 'vital', 'program', 'makan', 'bergizi', 'gratis', 'mbg', 'perekonomian', 'indonesia']</t>
  </si>
  <si>
    <t>['kepala', 'badan', 'gizi', 'nasional', 'bgn', 'ungkap', 'peran', 'vital', 'program', 'makan', 'gizi', 'gratis', 'mbg', 'ekonomi', 'indonesia']</t>
  </si>
  <si>
    <t>polres klungkung melaksanakan pre launching program makan bergizi gratis mbg sppg polres klungkung yang dipusatkan di tk kemala bhayangkari polres klungkung</t>
  </si>
  <si>
    <t>['polres', 'klungkung', 'melaksanakan', 'pre', 'launching', 'program', 'makan', 'bergizi', 'gratis', 'mbg', 'sppg', 'polres', 'klungkung', 'yang', 'dipusatkan', 'di', 'tk', 'kemala', 'bhayangkari', 'polres', 'klungkung']</t>
  </si>
  <si>
    <t>&lt;FreqDist with 17 samples and 21 outcomes&gt;</t>
  </si>
  <si>
    <t>['polres', 'klungkung', 'melaksanakan', 'pre', 'launching', 'program', 'makan', 'bergizi', 'gratis', 'mbg', 'sppg', 'polres', 'klungkung', 'dipusatkan', 'tk', 'kemala', 'bhayangkari', 'polres', 'klungkung']</t>
  </si>
  <si>
    <t>['polres', 'klungkung', 'laksana', 'pre', 'launching', 'program', 'makan', 'gizi', 'gratis', 'mbg', 'sppg', 'polres', 'klungkung', 'pusat', 'tk', 'kemala', 'bhayangkari', 'polres', 'klungkung']</t>
  </si>
  <si>
    <t>program makan bergizi gratis ini benarbenar jadi penyelamat untuk banyak ibu hamil mereka nggak lagi harus mikir dua kali soal biaya buat memenuhi kebutuhan gizi hariannya karena semua sudah disiapkan dengan terukur dan seimbang</t>
  </si>
  <si>
    <t>['program', 'makan', 'bergizi', 'gratis', 'ini', 'benarbenar', 'jadi', 'penyelamat', 'untuk', 'banyak', 'ibu', 'hamil', 'mereka', 'nggak', 'lagi', 'harus', 'mikir', 'dua', 'kali', 'soal', 'biaya', 'buat', 'memenuhi', 'kebutuhan', 'gizi', 'hariannya', 'karena', 'semua', 'sudah', 'disiapkan', 'dengan', 'terukur', 'dan', 'seimbang']</t>
  </si>
  <si>
    <t>['program', 'makan', 'bergizi', 'gratis', 'benarbenar', 'penyelamat', 'hamil', 'nggak', 'mikir', 'kali', 'biaya', 'memenuhi', 'kebutuhan', 'gizi', 'hariannya', 'disiapkan', 'terukur', 'seimbang']</t>
  </si>
  <si>
    <t>['program', 'makan', 'bergizi', 'gratis', 'benarbenar', 'penyelamat', 'hamil', 'tidak', 'mikir', 'kali', 'biaya', 'memenuhi', 'kebutuhan', 'gizi', 'hariannya', 'disiapkan', 'terukur', 'seimbang']</t>
  </si>
  <si>
    <t>['program', 'makan', 'gizi', 'gratis', 'benarbenar', 'selamat', 'hamil', 'tidak', 'mikir', 'kali', 'biaya', 'penuh', 'butuh', 'gizi', 'hari', 'siap', 'ukur', 'imbang']</t>
  </si>
  <si>
    <t>balai besar obat dan makanan bpom menghadirkan mobil laboratorium untuk mendukung program makan bergizi gratis mbg</t>
  </si>
  <si>
    <t>['balai', 'besar', 'obat', 'dan', 'makanan', 'bpom', 'menghadirkan', 'mobil', 'laboratorium', 'untuk', 'mendukung', 'program', 'makan', 'bergizi', 'gratis', 'mbg']</t>
  </si>
  <si>
    <t>['balai', 'obat', 'makanan', 'bpom', 'menghadirkan', 'mobil', 'laboratorium', 'mendukung', 'program', 'makan', 'bergizi', 'gratis', 'mbg']</t>
  </si>
  <si>
    <t>['balai', 'obat', 'makan', 'bpom', 'hadir', 'mobil', 'laboratorium', 'dukung', 'program', 'makan', 'gizi', 'gratis', 'mbg']</t>
  </si>
  <si>
    <t>bpom menghadirkan mobil laboratorium untuk mendukung program makan bergizi gratis mbg mobil ini menjangkau daerah daerah yang jauh dari jangkauan balai pom guna mendukung program prioritas dari pemerintah</t>
  </si>
  <si>
    <t>['bpom', 'menghadirkan', 'mobil', 'laboratorium', 'untuk', 'mendukung', 'program', 'makan', 'bergizi', 'gratis', 'mbg', 'mobil', 'ini', 'menjangkau', 'daerah', 'daerah', 'yang', 'jauh', 'dari', 'jangkauan', 'balai', 'pom', 'guna', 'mendukung', 'program', 'prioritas', 'dari', 'pemerintah']</t>
  </si>
  <si>
    <t>&lt;FreqDist with 23 samples and 28 outcomes&gt;</t>
  </si>
  <si>
    <t>['bpom', 'menghadirkan', 'mobil', 'laboratorium', 'mendukung', 'program', 'makan', 'bergizi', 'gratis', 'mbg', 'mobil', 'menjangkau', 'daerah', 'daerah', 'jangkauan', 'balai', 'pom', 'mendukung', 'program', 'prioritas', 'pemerintah']</t>
  </si>
  <si>
    <t>['bpom', 'hadir', 'mobil', 'laboratorium', 'dukung', 'program', 'makan', 'gizi', 'gratis', 'mbg', 'mobil', 'jangkau', 'daerah', 'daerah', 'jangkau', 'balai', 'pom', 'dukung', 'program', 'prioritas', 'perintah']</t>
  </si>
  <si>
    <t>inovasi mobil laboratorium keliling bpom siap menjangkau pelosok negeri demi memastikan keamanan pangan program makan bergizi gratis agar anak indonesia tumbuh sehat dan cerdas tanpa rasa khawatir</t>
  </si>
  <si>
    <t>['inovasi', 'mobil', 'laboratorium', 'keliling', 'bpom', 'siap', 'menjangkau', 'pelosok', 'negeri', 'demi', 'memastikan', 'keamanan', 'pangan', 'program', 'makan', 'bergizi', 'gratis', 'agar', 'anak', 'indonesia', 'tumbuh', 'sehat', 'dan', 'cerdas', 'tanpa', 'rasa', 'khawatir']</t>
  </si>
  <si>
    <t>&lt;FreqDist with 27 samples and 27 outcomes&gt;</t>
  </si>
  <si>
    <t>['inovasi', 'mobil', 'laboratorium', 'keliling', 'bpom', 'menjangkau', 'pelosok', 'negeri', 'keamanan', 'pangan', 'program', 'makan', 'bergizi', 'gratis', 'anak', 'indonesia', 'tumbuh', 'sehat', 'cerdas', 'khawatir']</t>
  </si>
  <si>
    <t>['inovasi', 'mobil', 'laboratorium', 'keliling', 'bpom', 'jangkau', 'pelosok', 'negeri', 'aman', 'pangan', 'program', 'makan', 'gizi', 'gratis', 'anak', 'indonesia', 'tumbuh', 'sehat', 'cerdas', 'khawatir']</t>
  </si>
  <si>
    <t>penerapan sistem grading dapur oleh badan gizi nasional bersama lembaga survei independen menjamin standar keamanan pangan yang tinggi demi kesuksesan program makan bergizi gratis tahun depan</t>
  </si>
  <si>
    <t>['penerapan', 'sistem', 'grading', 'dapur', 'oleh', 'badan', 'gizi', 'nasional', 'bersama', 'lembaga', 'survei', 'independen', 'menjamin', 'standar', 'keamanan', 'pangan', 'yang', 'tinggi', 'demi', 'kesuksesan', 'program', 'makan', 'bergizi', 'gratis', 'tahun', 'depan']</t>
  </si>
  <si>
    <t>&lt;FreqDist with 26 samples and 26 outcomes&gt;</t>
  </si>
  <si>
    <t>['penerapan', 'sistem', 'grading', 'dapur', 'badan', 'gizi', 'nasional', 'lembaga', 'survei', 'independen', 'menjamin', 'standar', 'keamanan', 'pangan', 'kesuksesan', 'program', 'makan', 'bergizi', 'gratis']</t>
  </si>
  <si>
    <t>['terap', 'sistem', 'grading', 'dapur', 'badan', 'gizi', 'nasional', 'lembaga', 'survei', 'independen', 'jamin', 'standar', 'aman', 'pangan', 'sukses', 'program', 'makan', 'gizi', 'gratis']</t>
  </si>
  <si>
    <t>bpom terus hadir mendukung program makan bergizi gratis mbg dengan mobil laboratorium keliling jangkauan pengawasan pangan kini makin luas hingga pelosok negeri demi asupan yang aman dan bergizi untuk seluruh anak indonesia</t>
  </si>
  <si>
    <t>['bpom', 'terus', 'hadir', 'mendukung', 'program', 'makan', 'bergizi', 'gratis', 'mbg', 'dengan', 'mobil', 'laboratorium', 'keliling', 'jangkauan', 'pengawasan', 'pangan', 'kini', 'makin', 'luas', 'hingga', 'pelosok', 'negeri', 'demi', 'asupan', 'yang', 'aman', 'dan', 'bergizi', 'untuk', 'seluruh', 'anak', 'indonesia']</t>
  </si>
  <si>
    <t>['bpom', 'hadir', 'mendukung', 'program', 'makan', 'bergizi', 'gratis', 'mbg', 'mobil', 'laboratorium', 'keliling', 'jangkauan', 'pengawasan', 'pangan', 'luas', 'pelosok', 'negeri', 'asupan', 'aman', 'bergizi', 'anak', 'indonesia']</t>
  </si>
  <si>
    <t>['bpom', 'hadir', 'dukung', 'program', 'makan', 'gizi', 'gratis', 'mbg', 'mobil', 'laboratorium', 'keliling', 'jangkau', 'awas', 'pangan', 'luas', 'pelosok', 'negeri', 'asupan', 'aman', 'gizi', 'anak', 'indonesia']</t>
  </si>
  <si>
    <t>babinsa koramil samarinda seberang kawal penuh program makan bergizi gratis untuk generasi sehat sertu  syamsudin babinsa kelurahan rapak dalam koramil samarinda seberang aktif mendampingi pelaksanaan program makan bergizi gratis mbg di wilayah binaannya</t>
  </si>
  <si>
    <t>['babinsa', 'koramil', 'samarinda', 'seberang', 'kawal', 'penuh', 'program', 'makan', 'bergizi', 'gratis', 'untuk', 'generasi', 'sehat', 'sertu', 'syamsudin', 'babinsa', 'kelurahan', 'rapak', 'dalam', 'koramil', 'samarinda', 'seberang', 'aktif', 'mendampingi', 'pelaksanaan', 'program', 'makan', 'bergizi', 'gratis', 'mbg', 'di', 'wilayah', 'binaannya']</t>
  </si>
  <si>
    <t>&lt;FreqDist with 25 samples and 33 outcomes&gt;</t>
  </si>
  <si>
    <t>['babinsa', 'koramil', 'samarinda', 'seberang', 'kawal', 'penuh', 'program', 'makan', 'bergizi', 'gratis', 'generasi', 'sehat', 'sertu', 'syamsudin', 'babinsa', 'kelurahan', 'rapak', 'koramil', 'samarinda', 'seberang', 'aktif', 'mendampingi', 'pelaksanaan', 'program', 'makan', 'bergizi', 'gratis', 'mbg', 'wilayah', 'binaannya']</t>
  </si>
  <si>
    <t>['babinsa', 'koramil', 'samarinda', 'seberang', 'kawal', 'penuh', 'program', 'makan', 'gizi', 'gratis', 'generasi', 'sehat', 'sertu', 'syamsudin', 'babinsa', 'lurah', 'rapak', 'koramil', 'samarinda', 'seberang', 'aktif', 'damping', 'laksana', 'program', 'makan', 'gizi', 'gratis', 'mbg', 'wilayah', 'bina']</t>
  </si>
  <si>
    <t>bpom menghadirkan mobil laboratorium keliling untuk mendukung program makan bergizi gratis mbg langkah ini memastikan keamanan pangan tetap terpantau hingga daerah yang sulit dijangkau inovasi nyata demi kesehatan masyarakat</t>
  </si>
  <si>
    <t>['bpom', 'menghadirkan', 'mobil', 'laboratorium', 'keliling', 'untuk', 'mendukung', 'program', 'makan', 'bergizi', 'gratis', 'mbg', 'langkah', 'ini', 'memastikan', 'keamanan', 'pangan', 'tetap', 'terpantau', 'hingga', 'daerah', 'yang', 'sulit', 'dijangkau', 'inovasi', 'nyata', 'demi', 'kesehatan', 'masyarakat']</t>
  </si>
  <si>
    <t>&lt;FreqDist with 29 samples and 29 outcomes&gt;</t>
  </si>
  <si>
    <t>['bpom', 'menghadirkan', 'mobil', 'laboratorium', 'keliling', 'mendukung', 'program', 'makan', 'bergizi', 'gratis', 'mbg', 'langkah', 'keamanan', 'pangan', 'terpantau', 'daerah', 'sulit', 'dijangkau', 'inovasi', 'nyata', 'kesehatan', 'masyarakat']</t>
  </si>
  <si>
    <t>['bpom', 'hadir', 'mobil', 'laboratorium', 'keliling', 'dukung', 'program', 'makan', 'gizi', 'gratis', 'mbg', 'langkah', 'aman', 'pangan', 'pantau', 'daerah', 'sulit', 'jangkau', 'inovasi', 'nyata', 'sehat', 'masyarakat']</t>
  </si>
  <si>
    <t>babinsa blimbing pendampingan program makan bergizi gratis di sdn polowijen</t>
  </si>
  <si>
    <t>['babinsa', 'blimbing', 'pendampingan', 'program', 'makan', 'bergizi', 'gratis', 'di', 'sdn', 'polowijen']</t>
  </si>
  <si>
    <t>['babinsa', 'blimbing', 'pendampingan', 'program', 'makan', 'bergizi', 'gratis', 'sdn', 'polowijen']</t>
  </si>
  <si>
    <t>['babinsa', 'blimbing', 'damping', 'program', 'makan', 'gizi', 'gratis', 'sdn', 'polowijen']</t>
  </si>
  <si>
    <t>sidokkes polres bangli memastikan makanan program makan bergizi gratis aman dan layak dikonsumsi melalui pemeriksaan food safety di sppg polres bangli seluruh sampel makanan dinyatakan bebas bahan kimia berbahaya dan disajikan dalam kondisi higienis sesuai standar</t>
  </si>
  <si>
    <t>['sidokkes', 'polres', 'bangli', 'memastikan', 'makanan', 'program', 'makan', 'bergizi', 'gratis', 'aman', 'dan', 'layak', 'dikonsumsi', 'melalui', 'pemeriksaan', 'food', 'safety', 'di', 'sppg', 'polres', 'bangli', 'seluruh', 'sampel', 'makanan', 'dinyatakan', 'bebas', 'bahan', 'kimia', 'berbahaya', 'dan', 'disajikan', 'dalam', 'kondisi', 'higienis', 'sesuai', 'standar']</t>
  </si>
  <si>
    <t>['sidokkes', 'polres', 'bangli', 'makanan', 'program', 'makan', 'bergizi', 'gratis', 'aman', 'layak', 'dikonsumsi', 'pemeriksaan', 'food', 'safety', 'sppg', 'polres', 'bangli', 'sampel', 'makanan', 'dinyatakan', 'bebas', 'bahan', 'kimia', 'berbahaya', 'disajikan', 'kondisi', 'higienis', 'sesuai', 'standar']</t>
  </si>
  <si>
    <t>['sidokkes', 'polres', 'bangli', 'makan', 'program', 'makan', 'gizi', 'gratis', 'aman', 'layak', 'konsumsi', 'periksa', 'food', 'safety', 'sppg', 'polres', 'bangli', 'sampel', 'makan', 'nyata', 'bebas', 'bahan', 'kimia', 'bahaya', 'saji', 'kondisi', 'higienis', 'sesuai', 'standar']</t>
  </si>
  <si>
    <t>polresta palangka raya hadiri rakor optimalisasi program makan bergizi gratis polresta palangka raya menghadiri rapat koordinasi rakor optimalisasi pelaksanaan program makan bergizi gratis yang digelar di ruang rapat peteng karuhei ii kantor wali kota palangka raya</t>
  </si>
  <si>
    <t>['polresta', 'palangka', 'raya', 'hadiri', 'rakor', 'optimalisasi', 'program', 'makan', 'bergizi', 'gratis', 'polresta', 'palangka', 'raya', 'menghadiri', 'rapat', 'koordinasi', 'rakor', 'optimalisasi', 'pelaksanaan', 'program', 'makan', 'bergizi', 'gratis', 'yang', 'digelar', 'di', 'ruang', 'rapat', 'peteng', 'karuhei', 'ii', 'kantor', 'wali', 'kota', 'palangka', 'raya']</t>
  </si>
  <si>
    <t>&lt;FreqDist with 24 samples and 36 outcomes&gt;</t>
  </si>
  <si>
    <t>['polresta', 'palangka', 'raya', 'hadiri', 'rakor', 'optimalisasi', 'program', 'makan', 'bergizi', 'gratis', 'polresta', 'palangka', 'raya', 'menghadiri', 'rapat', 'koordinasi', 'rakor', 'optimalisasi', 'pelaksanaan', 'program', 'makan', 'bergizi', 'gratis', 'digelar', 'ruang', 'rapat', 'peteng', 'karuhei', 'ii', 'kantor', 'wali', 'kota', 'palangka', 'raya']</t>
  </si>
  <si>
    <t>['polresta', 'palangka', 'raya', 'hadir', 'rakor', 'optimalisasi', 'program', 'makan', 'gizi', 'gratis', 'polresta', 'palangka', 'raya', 'hadir', 'rapat', 'koordinasi', 'rakor', 'optimalisasi', 'laksana', 'program', 'makan', 'gizi', 'gratis', 'gelar', 'ruang', 'rapat', 'teng', 'karuhei', 'ii', 'kantor', 'wali', 'kota', 'palangka', 'raya']</t>
  </si>
  <si>
    <t>polres klungkung gelar prelaunching program makan bergizi gratis di tk kemala bhayangkari klungkung</t>
  </si>
  <si>
    <t>['polres', 'klungkung', 'gelar', 'prelaunching', 'program', 'makan', 'bergizi', 'gratis', 'di', 'tk', 'kemala', 'bhayangkari', 'klungkung']</t>
  </si>
  <si>
    <t>&lt;FreqDist with 12 samples and 13 outcomes&gt;</t>
  </si>
  <si>
    <t>['polres', 'klungkung', 'gelar', 'prelaunching', 'program', 'makan', 'bergizi', 'gratis', 'tk', 'kemala', 'bhayangkari', 'klungkung']</t>
  </si>
  <si>
    <t>['polres', 'klungkung', 'gelar', 'prelaunching', 'program', 'makan', 'gizi', 'gratis', 'tk', 'kemala', 'bhayangkari', 'klungkung']</t>
  </si>
  <si>
    <t>bpom turun langsung kawal program makan bergizi gratis di solo</t>
  </si>
  <si>
    <t>['bpom', 'turun', 'langsung', 'kawal', 'program', 'makan', 'bergizi', 'gratis', 'di', 'solo']</t>
  </si>
  <si>
    <t>['bpom', 'turun', 'langsung', 'kawal', 'program', 'makan', 'bergizi', 'gratis', 'solo']</t>
  </si>
  <si>
    <t>['bpom', 'turun', 'langsung', 'kawal', 'program', 'makan', 'gizi', 'gratis', 'solo']</t>
  </si>
  <si>
    <t>presiden prabowo memberi penegasan penting bagi pihakpihak yang meremehkan keberhasilan program makan bergizi gratis kritik boleh ada namun fakta di lapangan tidak bisa diputarbalikkan distribusi masif sudah berjalan dan mencapai juta penerima manfaat setiap hari beliau</t>
  </si>
  <si>
    <t>['presiden', 'prabowo', 'memberi', 'penegasan', 'penting', 'bagi', 'pihakpihak', 'yang', 'meremehkan', 'keberhasilan', 'program', 'makan', 'bergizi', 'gratis', 'kritik', 'boleh', 'ada', 'namun', 'fakta', 'di', 'lapangan', 'tidak', 'bisa', 'diputarbalikkan', 'distribusi', 'masif', 'sudah', 'berjalan', 'dan', 'mencapai', 'juta', 'penerima', 'manfaat', 'setiap', 'hari', 'beliau']</t>
  </si>
  <si>
    <t>&lt;FreqDist with 36 samples and 36 outcomes&gt;</t>
  </si>
  <si>
    <t>['presiden', 'prabowo', 'penegasan', 'pihakpihak', 'meremehkan', 'keberhasilan', 'program', 'makan', 'bergizi', 'gratis', 'kritik', 'fakta', 'lapangan', 'diputarbalikkan', 'distribusi', 'masif', 'berjalan', 'mencapai', 'juta', 'penerima', 'manfaat', 'beliau']</t>
  </si>
  <si>
    <t>['presiden', 'prabowo', 'tegas', 'pihakpihak', 'remeh', 'hasil', 'program', 'makan', 'gizi', 'gratis', 'kritik', 'fakta', 'lapang', 'diputarbalikkan', 'distribusi', 'masif', 'jalan', 'capai', 'juta', 'terima', 'manfaat', 'beliau']</t>
  </si>
  <si>
    <t>pemerintah terus memastikan program makan bergizi gratis berjalan lebih rapi dan tepat sasaran temuan dari lapangan langsung diteruskan untuk dibenahi fokusnya sederhana perlindungan anak harus terasa nyata dan merata</t>
  </si>
  <si>
    <t>['pemerintah', 'terus', 'memastikan', 'program', 'makan', 'bergizi', 'gratis', 'berjalan', 'lebih', 'rapi', 'dan', 'tepat', 'sasaran', 'temuan', 'dari', 'lapangan', 'langsung', 'diteruskan', 'untuk', 'dibenahi', 'fokusnya', 'sederhana', 'perlindungan', 'anak', 'harus', 'terasa', 'nyata', 'dan', 'merata']</t>
  </si>
  <si>
    <t>['pemerintah', 'program', 'makan', 'bergizi', 'gratis', 'berjalan', 'rapi', 'sasaran', 'temuan', 'lapangan', 'langsung', 'diteruskan', 'dibenahi', 'fokusnya', 'sederhana', 'perlindungan', 'anak', 'nyata', 'merata']</t>
  </si>
  <si>
    <t>['perintah', 'program', 'makan', 'gizi', 'gratis', 'jalan', 'rapi', 'sasar', 'temu', 'lapang', 'langsung', 'terus', 'benah', 'fokus', 'sederhana', 'lindung', 'anak', 'nyata', 'rata']</t>
  </si>
  <si>
    <t>presiden prabowo ungkap juta penerima manfaat program makan bergizi gratis setara kali penduduk singapura hingga menjangkau daerah terpencil</t>
  </si>
  <si>
    <t>['presiden', 'prabowo', 'ungkap', 'juta', 'penerima', 'manfaat', 'program', 'makan', 'bergizi', 'gratis', 'setara', 'kali', 'penduduk', 'singapura', 'hingga', 'menjangkau', 'daerah', 'terpencil']</t>
  </si>
  <si>
    <t>['presiden', 'prabowo', 'juta', 'penerima', 'manfaat', 'program', 'makan', 'bergizi', 'gratis', 'setara', 'kali', 'penduduk', 'singapura', 'menjangkau', 'daerah', 'terpencil']</t>
  </si>
  <si>
    <t>['presiden', 'prabowo', 'juta', 'terima', 'manfaat', 'program', 'makan', 'gizi', 'gratis', 'tara', 'kali', 'duduk', 'singapura', 'jangkau', 'daerah', 'pencil']</t>
  </si>
  <si>
    <t>gibran minta mbg terus dibenahi temuan kpai akan dibawa ke bgn pemerintah memastikan komitmen untuk terus memperbaiki sistem dan pelaksanaan program makan bergizi gratis mbg sebagai bagian dari upaya memperkuat perlindungan anak dan memastikan efektivitas kebijakan prioritas</t>
  </si>
  <si>
    <t>['gibran', 'minta', 'mbg', 'terus', 'dibenahi', 'temuan', 'kpai', 'akan', 'dibawa', 'ke', 'bgn', 'pemerintah', 'memastikan', 'komitmen', 'untuk', 'terus', 'memperbaiki', 'sistem', 'dan', 'pelaksanaan', 'program', 'makan', 'bergizi', 'gratis', 'mbg', 'sebagai', 'bagian', 'dari', 'upaya', 'memperkuat', 'perlindungan', 'anak', 'dan', 'memastikan', 'efektivitas', 'kebijakan', 'prioritas']</t>
  </si>
  <si>
    <t>&lt;FreqDist with 33 samples and 37 outcomes&gt;</t>
  </si>
  <si>
    <t>['gibran', 'mbg', 'dibenahi', 'temuan', 'kpai', 'dibawa', 'bgn', 'pemerintah', 'komitmen', 'memperbaiki', 'sistem', 'pelaksanaan', 'program', 'makan', 'bergizi', 'gratis', 'mbg', 'upaya', 'memperkuat', 'perlindungan', 'anak', 'efektivitas', 'kebijakan', 'prioritas']</t>
  </si>
  <si>
    <t>['gibran', 'mbg', 'benah', 'temu', 'kpai', 'bawa', 'bgn', 'perintah', 'komitmen', 'baik', 'sistem', 'laksana', 'program', 'makan', 'gizi', 'gratis', 'mbg', 'upaya', 'kuat', 'lindung', 'anak', 'efektivitas', 'bijak', 'prioritas']</t>
  </si>
  <si>
    <t>program makan bergizi gratis mbg menjadi langkah nyata negara dalam menyiapkan generasi sehat dan berdaya saing melalui pemenuhan gizi sejak dini</t>
  </si>
  <si>
    <t>['program', 'makan', 'bergizi', 'gratis', 'mbg', 'menjadi', 'langkah', 'nyata', 'negara', 'dalam', 'menyiapkan', 'generasi', 'sehat', 'dan', 'berdaya', 'saing', 'melalui', 'pemenuhan', 'gizi', 'sejak', 'dini']</t>
  </si>
  <si>
    <t>['program', 'makan', 'bergizi', 'gratis', 'mbg', 'langkah', 'nyata', 'negara', 'generasi', 'sehat', 'berdaya', 'saing', 'pemenuhan', 'gizi']</t>
  </si>
  <si>
    <t>['program', 'makan', 'gizi', 'gratis', 'mbg', 'langkah', 'nyata', 'negara', 'generasi', 'sehat', 'daya', 'saing', 'penuh', 'gizi']</t>
  </si>
  <si>
    <t>polri terbitkan buku rasa bhayangkara nusantara sebagai rujukan diversifikasi pangan untuk program makan bergizi gratis</t>
  </si>
  <si>
    <t>['polri', 'terbitkan', 'buku', 'rasa', 'bhayangkara', 'nusantara', 'sebagai', 'rujukan', 'diversifikasi', 'pangan', 'untuk', 'program', 'makan', 'bergizi', 'gratis']</t>
  </si>
  <si>
    <t>['polri', 'terbitkan', 'buku', 'bhayangkara', 'nusantara', 'rujukan', 'diversifikasi', 'pangan', 'program', 'makan', 'bergizi', 'gratis']</t>
  </si>
  <si>
    <t>['polri', 'terbit', 'buku', 'bhayangkara', 'nusantara', 'rujuk', 'diversifikasi', 'pangan', 'program', 'makan', 'gizi', 'gratis']</t>
  </si>
  <si>
    <t>ketum golkar bahlil dorong program makan bergizi gratis untuk pelosok indonesia dirinya menilai program ini penting karena pernah busung lapar</t>
  </si>
  <si>
    <t>['ketum', 'golkar', 'bahlil', 'dorong', 'program', 'makan', 'bergizi', 'gratis', 'untuk', 'pelosok', 'indonesia', 'dirinya', 'menilai', 'program', 'ini', 'penting', 'karena', 'pernah', 'busung', 'lapar']</t>
  </si>
  <si>
    <t>&lt;FreqDist with 19 samples and 20 outcomes&gt;</t>
  </si>
  <si>
    <t>['ketum', 'golkar', 'bahlil', 'dorong', 'program', 'makan', 'bergizi', 'gratis', 'pelosok', 'indonesia', 'menilai', 'program', 'busung', 'lapar']</t>
  </si>
  <si>
    <t>['tum', 'golkar', 'bahlil', 'dorong', 'program', 'makan', 'gizi', 'gratis', 'pelosok', 'indonesia', 'nilai', 'program', 'busung', 'lapar']</t>
  </si>
  <si>
    <t>kpai pantau program makan bergizi gratis di depok memastikan setiap murid bukan cuma kenyang tapi mendapat gizi seimbang amp aman</t>
  </si>
  <si>
    <t>['kpai', 'pantau', 'program', 'makan', 'bergizi', 'gratis', 'di', 'depok', 'memastikan', 'setiap', 'murid', 'bukan', 'cuma', 'kenyang', 'tapi', 'mendapat', 'gizi', 'seimbang', 'amp', 'aman']</t>
  </si>
  <si>
    <t>['kpai', 'pantau', 'program', 'makan', 'bergizi', 'gratis', 'depok', 'murid', 'kenyang', 'gizi', 'seimbang', 'aman']</t>
  </si>
  <si>
    <t>['kpai', 'pantau', 'program', 'makan', 'bergizi', 'gratis', 'depok', 'siswa', 'kenyang', 'gizi', 'seimbang', 'aman']</t>
  </si>
  <si>
    <t>['kpai', 'pantau', 'program', 'makan', 'gizi', 'gratis', 'depok', 'siswa', 'kenyang', 'gizi', 'imbang', 'aman']</t>
  </si>
  <si>
    <t>program makan bergizi gratis mbg bagi ibu hamil ibu menyusui dan balita nonpaud  di desa parakan kecamatan leuwimunding kabupaten majalengka mendapat perhatian masyarakat usai penerima manfaatnya mengalami dugaan keracunan pada kamis insiden ini diduga</t>
  </si>
  <si>
    <t>['program', 'makan', 'bergizi', 'gratis', 'mbg', 'bagi', 'ibu', 'hamil', 'ibu', 'menyusui', 'dan', 'balita', 'nonpaud', 'di', 'desa', 'parakan', 'kecamatan', 'leuwimunding', 'kabupaten', 'majalengka', 'mendapat', 'perhatian', 'masyarakat', 'usai', 'penerima', 'manfaatnya', 'mengalami', 'dugaan', 'keracunan', 'pada', 'kamis', 'insiden', 'ini', 'diduga']</t>
  </si>
  <si>
    <t>&lt;FreqDist with 33 samples and 34 outcomes&gt;</t>
  </si>
  <si>
    <t>['program', 'makan', 'bergizi', 'gratis', 'mbg', 'hamil', 'menyusui', 'balita', 'nonpaud', 'desa', 'parakan', 'kecamatan', 'leuwimunding', 'kabupaten', 'majalengka', 'perhatian', 'masyarakat', 'penerima', 'manfaatnya', 'mengalami', 'dugaan', 'keracunan', 'kamis', 'insiden', 'diduga']</t>
  </si>
  <si>
    <t>['program', 'makan', 'gizi', 'gratis', 'mbg', 'hamil', 'susu', 'balita', 'nonpaud', 'desa', 'para', 'camat', 'leuwimunding', 'kabupaten', 'majalengka', 'perhati', 'masyarakat', 'terima', 'manfaat', 'alami', 'duga', 'racun', 'kamis', 'insiden', 'duga']</t>
  </si>
  <si>
    <t>kepala badan gizi nasional bgn dadan hindayana menargetkan tidak ada orang lagi yang keracunan dalam program makan bergizi gratis mbg</t>
  </si>
  <si>
    <t>['kepala', 'badan', 'gizi', 'nasional', 'bgn', 'dadan', 'hindayana', 'menargetkan', 'tidak', 'ada', 'orang', 'lagi', 'yang', 'keracunan', 'dalam', 'program', 'makan', 'bergizi', 'gratis', 'mbg']</t>
  </si>
  <si>
    <t>['kepala', 'badan', 'gizi', 'nasional', 'bgn', 'dadan', 'hindayana', 'menargetkan', 'orang', 'keracunan', 'program', 'makan', 'bergizi', 'gratis', 'mbg']</t>
  </si>
  <si>
    <t>['kepala', 'badan', 'gizi', 'nasional', 'bgn', 'dad', 'hindayana', 'target', 'orang', 'racun', 'program', 'makan', 'gizi', 'gratis', 'mbg']</t>
  </si>
  <si>
    <t>presiden prabowo subianto mengumumkan capaian signifikan program makan bergizi gratis mbg yang kini telah menjangkau sekitar juta penerima manfaat setiap harinya</t>
  </si>
  <si>
    <t>['presiden', 'prabowo', 'subianto', 'mengumumkan', 'capaian', 'signifikan', 'program', 'makan', 'bergizi', 'gratis', 'mbg', 'yang', 'kini', 'telah', 'menjangkau', 'sekitar', 'juta', 'penerima', 'manfaat', 'setiap', 'harinya']</t>
  </si>
  <si>
    <t>['presiden', 'prabowo', 'subianto', 'mengumumkan', 'capaian', 'signifikan', 'program', 'makan', 'bergizi', 'gratis', 'mbg', 'menjangkau', 'juta', 'penerima', 'manfaat', 'harinya']</t>
  </si>
  <si>
    <t>['presiden', 'prabowo', 'subianto', 'umum', 'capai', 'signifikan', 'program', 'makan', 'gizi', 'gratis', 'mbg', 'jangkau', 'juta', 'terima', 'manfaat', 'hari']</t>
  </si>
  <si>
    <t>sinergi berbagai pihak membuat program makan bergizi gratis mampu mendistribusikan makanan bergizi secara merata memperkuat kualitas hidup anak</t>
  </si>
  <si>
    <t>['sinergi', 'berbagai', 'pihak', 'membuat', 'program', 'makan', 'bergizi', 'gratis', 'mampu', 'mendistribusikan', 'makanan', 'bergizi', 'secara', 'merata', 'memperkuat', 'kualitas', 'hidup', 'anak']</t>
  </si>
  <si>
    <t>&lt;FreqDist with 17 samples and 18 outcomes&gt;</t>
  </si>
  <si>
    <t>['sinergi', 'program', 'makan', 'bergizi', 'gratis', 'mendistribusikan', 'makanan', 'bergizi', 'merata', 'memperkuat', 'kualitas', 'hidup', 'anak']</t>
  </si>
  <si>
    <t>['sinergi', 'program', 'makan', 'gizi', 'gratis', 'distribusi', 'makan', 'gizi', 'rata', 'kuat', 'kualitas', 'hidup', 'anak']</t>
  </si>
  <si>
    <t>program makan bergizi gratis mbg akan didistribusikan langsung kepada anak jalanan hingga lansia yang membutuhkan upaya ini layak didukung agar dapat segera terealisasi dan makin banyak yang merasakan manfaatnya</t>
  </si>
  <si>
    <t>['program', 'makan', 'bergizi', 'gratis', 'mbg', 'akan', 'didistribusikan', 'langsung', 'kepada', 'anak', 'jalanan', 'hingga', 'lansia', 'yang', 'membutuhkan', 'upaya', 'ini', 'layak', 'didukung', 'agar', 'dapat', 'segera', 'terealisasi', 'dan', 'makin', 'banyak', 'yang', 'merasakan', 'manfaatnya']</t>
  </si>
  <si>
    <t>['program', 'makan', 'bergizi', 'gratis', 'mbg', 'didistribusikan', 'langsung', 'anak', 'jalanan', 'lansia', 'membutuhkan', 'upaya', 'layak', 'didukung', 'terealisasi', 'merasakan', 'manfaatnya']</t>
  </si>
  <si>
    <t>['program', 'makan', 'gizi', 'gratis', 'mbg', 'distribusi', 'langsung', 'anak', 'jalan', 'lansia', 'butuh', 'upaya', 'layak', 'dukung', 'realisasi', 'rasa', 'manfaat']</t>
  </si>
  <si>
    <t>maklumin aja ges program mbg ini punya kan bisa tiga program mbah bowo gibran program militer banyak gawean guna program makan bergizi gratis</t>
  </si>
  <si>
    <t>['maklumin', 'aja', 'ges', 'program', 'mbg', 'ini', 'punya', 'kan', 'bisa', 'tiga', 'program', 'mbah', 'bowo', 'gibran', 'program', 'militer', 'banyak', 'gawean', 'guna', 'program', 'makan', 'bergizi', 'gratis']</t>
  </si>
  <si>
    <t>&lt;FreqDist with 20 samples and 23 outcomes&gt;</t>
  </si>
  <si>
    <t>['maklumin', 'ges', 'program', 'mbg', 'program', 'mbah', 'bowo', 'gibran', 'program', 'militer', 'gawean', 'program', 'makan', 'bergizi', 'gratis']</t>
  </si>
  <si>
    <t>['maklumin', 'teman', 'program', 'mbg', 'program', 'mbah', 'bowo', 'gibran', 'program', 'militer', 'gawean', 'program', 'makan', 'bergizi', 'gratis']</t>
  </si>
  <si>
    <t>['maklumin', 'teman', 'program', 'mbg', 'program', 'mbah', 'bowo', 'gibran', 'program', 'militer', 'gawean', 'program', 'makan', 'gizi', 'gratis']</t>
  </si>
  <si>
    <t>gunungkidul perbarui data penerima program makan bergizi gratis dorong bantuan tepat sasaran</t>
  </si>
  <si>
    <t>['gunungkidul', 'perbarui', 'data', 'penerima', 'program', 'makan', 'bergizi', 'gratis', 'dorong', 'bantuan', 'tepat', 'sasaran']</t>
  </si>
  <si>
    <t>['gunungkidul', 'perbarui', 'data', 'penerima', 'program', 'makan', 'bergizi', 'gratis', 'dorong', 'bantuan', 'sasaran']</t>
  </si>
  <si>
    <t>['gunungkidul', 'baru', 'data', 'terima', 'program', 'makan', 'gizi', 'gratis', 'dorong', 'bantu', 'sasar']</t>
  </si>
  <si>
    <t>program makan bergizi gratis mbg memperkuat masa depan anak bangsa dengan memastikan akses gizi sehat yang merata sekaligus mendorong peningkatan kualitas pendidikan sejak dini</t>
  </si>
  <si>
    <t>['program', 'makan', 'bergizi', 'gratis', 'mbg', 'memperkuat', 'masa', 'depan', 'anak', 'bangsa', 'dengan', 'memastikan', 'akses', 'gizi', 'sehat', 'yang', 'merata', 'sekaligus', 'mendorong', 'peningkatan', 'kualitas', 'pendidikan', 'sejak', 'dini']</t>
  </si>
  <si>
    <t>['program', 'makan', 'bergizi', 'gratis', 'mbg', 'memperkuat', 'anak', 'bangsa', 'akses', 'gizi', 'sehat', 'merata', 'mendorong', 'peningkatan', 'kualitas', 'pendidikan']</t>
  </si>
  <si>
    <t>['program', 'makan', 'gizi', 'gratis', 'mbg', 'kuat', 'anak', 'bangsa', 'akses', 'gizi', 'sehat', 'rata', 'dorong', 'tingkat', 'kualitas', 'didik']</t>
  </si>
  <si>
    <t>presiden prabowo subianto mengklaim program makan bergizi gratis mbg sebagai salah satu program terbaik di dunia setelah dalam bulan berhasil menjangkau juta penerima manfaat menurut prabowo capaian ini merupakan prestasi logistik besar karena melebihi brasil yang</t>
  </si>
  <si>
    <t>['presiden', 'prabowo', 'subianto', 'mengklaim', 'program', 'makan', 'bergizi', 'gratis', 'mbg', 'sebagai', 'salah', 'satu', 'program', 'terbaik', 'di', 'dunia', 'setelah', 'dalam', 'bulan', 'berhasil', 'menjangkau', 'juta', 'penerima', 'manfaat', 'menurut', 'prabowo', 'capaian', 'ini', 'merupakan', 'prestasi', 'logistik', 'besar', 'karena', 'melebihi', 'brasil', 'yang']</t>
  </si>
  <si>
    <t>['presiden', 'prabowo', 'subianto', 'mengklaim', 'program', 'makan', 'bergizi', 'gratis', 'mbg', 'salah', 'program', 'terbaik', 'dunia', 'berhasil', 'menjangkau', 'juta', 'penerima', 'manfaat', 'prabowo', 'capaian', 'prestasi', 'logistik', 'melebihi', 'brasil']</t>
  </si>
  <si>
    <t>['presiden', 'prabowo', 'subianto', 'klaim', 'program', 'makan', 'gizi', 'gratis', 'mbg', 'salah', 'program', 'baik', 'dunia', 'hasil', 'jangkau', 'juta', 'terima', 'manfaat', 'prabowo', 'capai', 'prestasi', 'logistik', 'lebih', 'brasil']</t>
  </si>
  <si>
    <t>program makan bergizi gratis bukan sekadar berbagi makanan tetapi menjadi lokomotif ekonomi baru yang membuka lapangan kerja luas bagi sektor pangan dan menyejahterakan pelaku usaha kecil di seluruh daerah</t>
  </si>
  <si>
    <t>['program', 'makan', 'bergizi', 'gratis', 'bukan', 'sekadar', 'berbagi', 'makanan', 'tetapi', 'menjadi', 'lokomotif', 'ekonomi', 'baru', 'yang', 'membuka', 'lapangan', 'kerja', 'luas', 'bagi', 'sektor', 'pangan', 'dan', 'menyejahterakan', 'pelaku', 'usaha', 'kecil', 'di', 'seluruh', 'daerah']</t>
  </si>
  <si>
    <t>['program', 'makan', 'bergizi', 'gratis', 'berbagi', 'makanan', 'lokomotif', 'ekonomi', 'membuka', 'lapangan', 'kerja', 'luas', 'sektor', 'pangan', 'menyejahterakan', 'pelaku', 'usaha', 'daerah']</t>
  </si>
  <si>
    <t>['program', 'makan', 'gizi', 'gratis', 'bagi', 'makan', 'lokomotif', 'ekonomi', 'buka', 'lapang', 'kerja', 'luas', 'sektor', 'pangan', 'sejahtera', 'laku', 'usaha', 'daerah']</t>
  </si>
  <si>
    <t>program makan bergizi gratis menjadi fondasi kokoh menuju indonesia maju dengan mencetak generasi yang sehat cerdas dan produktif melalui asupan gizi seimbang yang diberikan sejak usia dini di sekolah</t>
  </si>
  <si>
    <t>['program', 'makan', 'bergizi', 'gratis', 'menjadi', 'fondasi', 'kokoh', 'menuju', 'indonesia', 'maju', 'dengan', 'mencetak', 'generasi', 'yang', 'sehat', 'cerdas', 'dan', 'produktif', 'melalui', 'asupan', 'gizi', 'seimbang', 'yang', 'diberikan', 'sejak', 'usia', 'dini', 'di', 'sekolah']</t>
  </si>
  <si>
    <t>['program', 'makan', 'bergizi', 'gratis', 'fondasi', 'kokoh', 'indonesia', 'maju', 'mencetak', 'generasi', 'sehat', 'cerdas', 'produktif', 'asupan', 'gizi', 'seimbang', 'usia', 'sekolah']</t>
  </si>
  <si>
    <t>['program', 'makan', 'gizi', 'gratis', 'fondasi', 'kokoh', 'indonesia', 'maju', 'cetak', 'generasi', 'sehat', 'cerdas', 'produktif', 'asupan', 'gizi', 'imbang', 'usia', 'sekolah']</t>
  </si>
  <si>
    <t>program makan bergizi gratis mbg menjadi pondasi penting untuk mencetak generasi sehat cerdas dan produktif dengan pemenuhan gizi yang berkelanjutan sumber</t>
  </si>
  <si>
    <t>['program', 'makan', 'bergizi', 'gratis', 'mbg', 'menjadi', 'pondasi', 'penting', 'untuk', 'mencetak', 'generasi', 'sehat', 'cerdas', 'dan', 'produktif', 'dengan', 'pemenuhan', 'gizi', 'yang', 'berkelanjutan', 'sumber']</t>
  </si>
  <si>
    <t>['program', 'makan', 'bergizi', 'gratis', 'mbg', 'pondasi', 'mencetak', 'generasi', 'sehat', 'cerdas', 'produktif', 'pemenuhan', 'gizi', 'berkelanjutan', 'sumber']</t>
  </si>
  <si>
    <t>['program', 'makan', 'gizi', 'gratis', 'mbg', 'pondasi', 'cetak', 'generasi', 'sehat', 'cerdas', 'produktif', 'penuh', 'gizi', 'lanjut', 'sumber']</t>
  </si>
  <si>
    <t>program makan bergizi gratis mbg yang dijalankan badan gizi nasional bgn terbukti menciptakan lapangan kerja dan memperkuat ekosistem usaha kuliner mengubah satuan pelayanan pemenuhan gizi sppg menjadi lokomotif baru penciptaan lapangan kerja</t>
  </si>
  <si>
    <t>['program', 'makan', 'bergizi', 'gratis', 'mbg', 'yang', 'dijalankan', 'badan', 'gizi', 'nasional', 'bgn', 'terbukti', 'menciptakan', 'lapangan', 'kerja', 'dan', 'memperkuat', 'ekosistem', 'usaha', 'kuliner', 'mengubah', 'satuan', 'pelayanan', 'pemenuhan', 'gizi', 'sppg', 'menjadi', 'lokomotif', 'baru', 'penciptaan', 'lapangan', 'kerja']</t>
  </si>
  <si>
    <t>&lt;FreqDist with 29 samples and 32 outcomes&gt;</t>
  </si>
  <si>
    <t>['program', 'makan', 'bergizi', 'gratis', 'mbg', 'dijalankan', 'badan', 'gizi', 'nasional', 'bgn', 'terbukti', 'menciptakan', 'lapangan', 'kerja', 'memperkuat', 'ekosistem', 'usaha', 'kuliner', 'mengubah', 'satuan', 'pelayanan', 'pemenuhan', 'gizi', 'sppg', 'lokomotif', 'penciptaan', 'lapangan', 'kerja']</t>
  </si>
  <si>
    <t>['program', 'makan', 'gizi', 'gratis', 'mbg', 'jalan', 'badan', 'gizi', 'nasional', 'bgn', 'bukti', 'cipta', 'lapang', 'kerja', 'kuat', 'ekosistem', 'usaha', 'kuliner', 'ubah', 'satu', 'layan', 'penuh', 'gizi', 'sppg', 'lokomotif', 'cipta', 'lapang', 'kerja']</t>
  </si>
  <si>
    <t>bgn menegaskan bahwa insentif senilai rp juta per hari untuk dapur program makan bergizi gratis mbg akan dipotong apabila fasilitas satuan pelayanan pemenuhan gizi sppg tidak memenuhi standar yang telah ditetapkan</t>
  </si>
  <si>
    <t>['bgn', 'menegaskan', 'bahwa', 'insentif', 'senilai', 'rp', 'juta', 'per', 'hari', 'untuk', 'dapur', 'program', 'makan', 'bergizi', 'gratis', 'mbg', 'akan', 'dipotong', 'apabila', 'fasilitas', 'satuan', 'pelayanan', 'pemenuhan', 'gizi', 'sppg', 'tidak', 'memenuhi', 'standar', 'yang', 'telah', 'ditetapkan']</t>
  </si>
  <si>
    <t>['bgn', 'insentif', 'senilai', 'rp', 'juta', 'dapur', 'program', 'makan', 'bergizi', 'gratis', 'mbg', 'dipotong', 'fasilitas', 'satuan', 'pelayanan', 'pemenuhan', 'gizi', 'sppg', 'memenuhi', 'standar', 'ditetapkan']</t>
  </si>
  <si>
    <t>['bgn', 'insentif', 'nila', 'rp', 'juta', 'dapur', 'program', 'makan', 'gizi', 'gratis', 'mbg', 'potong', 'fasilitas', 'satu', 'layan', 'penuh', 'gizi', 'sppg', 'penuh', 'standar', 'tetap']</t>
  </si>
  <si>
    <t>program makan bergizi gratis mbg bukan sekadar bantuan makanan melainkan investasi strategis dalam  menciptakan generasi yang sehat cerdas dan produktif yang akan jadi fondasi indonesia maju</t>
  </si>
  <si>
    <t>['program', 'makan', 'bergizi', 'gratis', 'mbg', 'bukan', 'sekadar', 'bantuan', 'makanan', 'melainkan', 'investasi', 'strategis', 'dalam', 'menciptakan', 'generasi', 'yang', 'sehat', 'cerdas', 'dan', 'produktif', 'yang', 'akan', 'jadi', 'fondasi', 'indonesia', 'maju']</t>
  </si>
  <si>
    <t>['program', 'makan', 'bergizi', 'gratis', 'mbg', 'bantuan', 'makanan', 'investasi', 'strategis', 'menciptakan', 'generasi', 'sehat', 'cerdas', 'produktif', 'fondasi', 'indonesia', 'maju']</t>
  </si>
  <si>
    <t>['program', 'makan', 'gizi', 'gratis', 'mbg', 'bantu', 'makan', 'investasi', 'strategis', 'cipta', 'generasi', 'sehat', 'cerdas', 'produktif', 'fondasi', 'indonesia', 'maju']</t>
  </si>
  <si>
    <t>mensos gus ipul menyebut penyandang disabilitas akan menjadi sasaran program makan bergizi gratis yang mulai berjalan dan menargetkan ribu penerima</t>
  </si>
  <si>
    <t>['mensos', 'gus', 'ipul', 'menyebut', 'penyandang', 'disabilitas', 'akan', 'menjadi', 'sasaran', 'program', 'makan', 'bergizi', 'gratis', 'yang', 'mulai', 'berjalan', 'dan', 'menargetkan', 'ribu', 'penerima']</t>
  </si>
  <si>
    <t>['mensos', 'gus', 'ipul', 'menyebut', 'penyandang', 'disabilitas', 'sasaran', 'program', 'makan', 'bergizi', 'gratis', 'berjalan', 'menargetkan', 'ribu', 'penerima']</t>
  </si>
  <si>
    <t>['mensos', 'gus', 'ipul', 'sebut', 'sandang', 'disabilitas', 'sasar', 'program', 'makan', 'gizi', 'gratis', 'jalan', 'target', 'ribu', 'terima']</t>
  </si>
  <si>
    <t>wakil bupati asluchul alif dorong perlindungan ketenagakerjaan bagi relawan dan tenaga pendukung program makan bergizi gratis</t>
  </si>
  <si>
    <t>['wakil', 'bupati', 'asluchul', 'alif', 'dorong', 'perlindungan', 'ketenagakerjaan', 'bagi', 'relawan', 'dan', 'tenaga', 'pendukung', 'program', 'makan', 'bergizi', 'gratis']</t>
  </si>
  <si>
    <t>['wakil', 'bupati', 'asluchul', 'alif', 'dorong', 'perlindungan', 'ketenagakerjaan', 'relawan', 'tenaga', 'pendukung', 'program', 'makan', 'bergizi', 'gratis']</t>
  </si>
  <si>
    <t>['wakil', 'bupati', 'asluchul', 'alif', 'dorong', 'lindung', 'ketenagakerjaan', 'rawan', 'tenaga', 'dukung', 'program', 'makan', 'gizi', 'gratis']</t>
  </si>
  <si>
    <t>personil polsek pangkalan kuras melaksanakan pengawasan program makan bergizi gratis mbg di mts alqasimiyah dan smpn pangkalan kuras dengan total sasaran dan porsi bagi siswasiswi</t>
  </si>
  <si>
    <t>['personil', 'polsek', 'pangkalan', 'kuras', 'melaksanakan', 'pengawasan', 'program', 'makan', 'bergizi', 'gratis', 'mbg', 'di', 'mts', 'alqasimiyah', 'dan', 'smpn', 'pangkalan', 'kuras', 'dengan', 'total', 'sasaran', 'dan', 'porsi', 'bagi', 'siswasiswi']</t>
  </si>
  <si>
    <t>['personil', 'polsek', 'pangkalan', 'kuras', 'melaksanakan', 'pengawasan', 'program', 'makan', 'bergizi', 'gratis', 'mbg', 'mts', 'alqasimiyah', 'smpn', 'pangkalan', 'kuras', 'total', 'sasaran', 'porsi', 'siswasiswi']</t>
  </si>
  <si>
    <t>['personil', 'polsek', 'pangkal', 'kuras', 'laksana', 'awas', 'program', 'makan', 'gizi', 'gratis', 'mbg', 'mts', 'alqasimiyah', 'smpn', 'pangkal', 'kuras', 'total', 'sasar', 'porsi', 'siswasiswi']</t>
  </si>
  <si>
    <t>badan gizi nasional sehubungan dengan pelaksanaan program makan bergizi gratis mbg oleh badan gizi nasional penempatan sppg purwokerto lor banyumas membutuhkan karyawan untuk posisi akuntan koki chef ahli gizi driver kru dapur</t>
  </si>
  <si>
    <t>['badan', 'gizi', 'nasional', 'sehubungan', 'dengan', 'pelaksanaan', 'program', 'makan', 'bergizi', 'gratis', 'mbg', 'oleh', 'badan', 'gizi', 'nasional', 'penempatan', 'sppg', 'purwokerto', 'lor', 'banyumas', 'membutuhkan', 'karyawan', 'untuk', 'posisi', 'akuntan', 'koki', 'chef', 'ahli', 'gizi', 'driver', 'kru', 'dapur']</t>
  </si>
  <si>
    <t>['badan', 'gizi', 'nasional', 'sehubungan', 'pelaksanaan', 'program', 'makan', 'bergizi', 'gratis', 'mbg', 'badan', 'gizi', 'nasional', 'penempatan', 'sppg', 'purwokerto', 'lor', 'banyumas', 'membutuhkan', 'karyawan', 'posisi', 'akuntan', 'koki', 'chef', 'ahli', 'gizi', 'driver', 'kru', 'dapur']</t>
  </si>
  <si>
    <t>['badan', 'gizi', 'nasional', 'hubung', 'laksana', 'program', 'makan', 'gizi', 'gratis', 'mbg', 'badan', 'gizi', 'nasional', 'tempat', 'sppg', 'purwokerto', 'lor', 'banyumas', 'butuh', 'karyawan', 'posisi', 'akuntan', 'koki', 'chef', 'ahli', 'gizi', 'driver', 'kru', 'dapur']</t>
  </si>
  <si>
    <t>tabik puun hallo sobat mataneka mtsn way kanan mulai salurkan program makan bergizi gratis mbg kepada siswa link berita kemenaglampung raksabhinayaadhiwira</t>
  </si>
  <si>
    <t>['tabik', 'puun', 'hallo', 'sobat', 'mataneka', 'mtsn', 'way', 'kanan', 'mulai', 'salurkan', 'program', 'makan', 'bergizi', 'gratis', 'mbg', 'kepada', 'siswa', 'link', 'berita', 'kemenaglampung', 'raksabhinayaadhiwira']</t>
  </si>
  <si>
    <t>['tabik', 'puun', 'hallo', 'sobat', 'mataneka', 'mtsn', 'way', 'kanan', 'salurkan', 'program', 'makan', 'bergizi', 'gratis', 'mbg', 'siswa', 'link', 'berita', 'kemenaglampung', 'raksabhinayaadhiwira']</t>
  </si>
  <si>
    <t>['tabik', 'puun', 'halo', 'teman', 'mataneka', 'mtsn', 'way', 'kanan', 'salurkan', 'program', 'makan', 'bergizi', 'gratis', 'mbg', 'siswa', 'link', 'berita', 'kemenaglampung', 'raksabhinayaadhiwira']</t>
  </si>
  <si>
    <t>['tabik', 'puun', 'halo', 'teman', 'mataneka', 'mtsn', 'way', 'kanan', 'salur', 'program', 'makan', 'gizi', 'gratis', 'mbg', 'siswa', 'link', 'berita', 'kemenaglampung', 'raksabhinayaadhiwira']</t>
  </si>
  <si>
    <t>ak ada lagi anak sekolah yang lapar program makan bergizi gratis hadirkan senyum dan semangat belajar</t>
  </si>
  <si>
    <t>['ak', 'ada', 'lagi', 'anak', 'sekolah', 'yang', 'lapar', 'program', 'makan', 'bergizi', 'gratis', 'hadirkan', 'senyum', 'dan', 'semangat', 'belajar']</t>
  </si>
  <si>
    <t>['ak', 'anak', 'sekolah', 'lapar', 'program', 'makan', 'bergizi', 'gratis', 'hadirkan', 'senyum', 'semangat', 'belajar']</t>
  </si>
  <si>
    <t>['aku', 'anak', 'sekolah', 'lapar', 'program', 'makan', 'bergizi', 'gratis', 'hadirkan', 'senyum', 'semangat', 'belajar']</t>
  </si>
  <si>
    <t>['aku', 'anak', 'sekolah', 'lapar', 'program', 'makan', 'gizi', 'gratis', 'hadir', 'senyum', 'semangat', 'ajar']</t>
  </si>
  <si>
    <t>gizi cukup prestasi meningkat mari dukung program makan bergizi gratis demi masa depan anakanak kita</t>
  </si>
  <si>
    <t>['gizi', 'cukup', 'prestasi', 'meningkat', 'mari', 'dukung', 'program', 'makan', 'bergizi', 'gratis', 'demi', 'masa', 'depan', 'anakanak', 'kita']</t>
  </si>
  <si>
    <t>['gizi', 'prestasi', 'meningkat', 'mari', 'dukung', 'program', 'makan', 'bergizi', 'gratis', 'anakanak']</t>
  </si>
  <si>
    <t>['gizi', 'prestasi', 'tingkat', 'mari', 'dukung', 'program', 'makan', 'gizi', 'gratis', 'anakanak']</t>
  </si>
  <si>
    <t>dadan hindayana di balik program makan bergizi gratis dari kampus ke garda depan kebijakan nasional</t>
  </si>
  <si>
    <t>['dadan', 'hindayana', 'di', 'balik', 'program', 'makan', 'bergizi', 'gratis', 'dari', 'kampus', 'ke', 'garda', 'depan', 'kebijakan', 'nasional']</t>
  </si>
  <si>
    <t>['dadan', 'hindayana', 'program', 'makan', 'bergizi', 'gratis', 'kampus', 'garda', 'kebijakan', 'nasional']</t>
  </si>
  <si>
    <t>['dad', 'hindayana', 'program', 'makan', 'gizi', 'gratis', 'kampus', 'garda', 'bijak', 'nasional']</t>
  </si>
  <si>
    <t>tujuan lain dari program mbg makan bergizi gratis asslah membangun ekosistem ekonomis yang menumbuhkan pemberdayaan ekonomi lokal beberapa dapur mbg sppg juara menciptakan dan menguatkan ekosistem pemberdayaan masyarakatdiberi penghargaan inspiradaya dari kemenko pm</t>
  </si>
  <si>
    <t>['tujuan', 'lain', 'dari', 'program', 'mbg', 'makan', 'bergizi', 'gratis', 'asslah', 'membangun', 'ekosistem', 'ekonomis', 'yang', 'menumbuhkan', 'pemberdayaan', 'ekonomi', 'lokal', 'beberapa', 'dapur', 'mbg', 'sppg', 'juara', 'menciptakan', 'dan', 'menguatkan', 'ekosistem', 'pemberdayaan', 'masyarakatdiberi', 'penghargaan', 'inspiradaya', 'dari', 'kemenko', 'pm']</t>
  </si>
  <si>
    <t>['tujuan', 'program', 'mbg', 'makan', 'bergizi', 'gratis', 'asslah', 'membangun', 'ekosistem', 'ekonomis', 'menumbuhkan', 'pemberdayaan', 'ekonomi', 'lokal', 'dapur', 'mbg', 'sppg', 'juara', 'menciptakan', 'menguatkan', 'ekosistem', 'pemberdayaan', 'masyarakatdiberi', 'penghargaan', 'inspiradaya', 'kemenko', 'pm']</t>
  </si>
  <si>
    <t>['tuju', 'program', 'mbg', 'makan', 'gizi', 'gratis', 'asslah', 'bangun', 'ekosistem', 'ekonomis', 'tumbuh', 'daya', 'ekonomi', 'lokal', 'dapur', 'mbg', 'sppg', 'juara', 'cipta', 'kuat', 'ekosistem', 'daya', 'masyarakatdiberi', 'harga', 'inspiradaya', 'kemenko', 'pm']</t>
  </si>
  <si>
    <t>program makan bergizi gratis sejalan dengan visi indonesia emas satu langkah gizi sehat seribu manfaat untuk negeri</t>
  </si>
  <si>
    <t>['program', 'makan', 'bergizi', 'gratis', 'sejalan', 'dengan', 'visi', 'indonesia', 'emas', 'satu', 'langkah', 'gizi', 'sehat', 'seribu', 'manfaat', 'untuk', 'negeri']</t>
  </si>
  <si>
    <t>['program', 'makan', 'bergizi', 'gratis', 'sejalan', 'visi', 'indonesia', 'emas', 'langkah', 'gizi', 'sehat', 'seribu', 'manfaat', 'negeri']</t>
  </si>
  <si>
    <t>['program', 'makan', 'gizi', 'gratis', 'jalan', 'visi', 'indonesia', 'emas', 'langkah', 'gizi', 'sehat', 'ribu', 'manfaat', 'negeri']</t>
  </si>
  <si>
    <t>antusiasme luar biasa dari siswasiswi di pelosok garut saat menyambut program makan bergizi gratis mbg senyum ceria mereka adalah bukti nyata bahwa akses gizi yang baik bisa membawa harapan dan semangat belajar gizi baik semangat belajar makin tinggi</t>
  </si>
  <si>
    <t>['antusiasme', 'luar', 'biasa', 'dari', 'siswasiswi', 'di', 'pelosok', 'garut', 'saat', 'menyambut', 'program', 'makan', 'bergizi', 'gratis', 'mbg', 'senyum', 'ceria', 'mereka', 'adalah', 'bukti', 'nyata', 'bahwa', 'akses', 'gizi', 'yang', 'baik', 'bisa', 'membawa', 'harapan', 'dan', 'semangat', 'belajar', 'gizi', 'baik', 'semangat', 'belajar', 'makin', 'tinggi']</t>
  </si>
  <si>
    <t>&lt;FreqDist with 34 samples and 38 outcomes&gt;</t>
  </si>
  <si>
    <t>['antusiasme', 'siswasiswi', 'pelosok', 'garut', 'menyambut', 'program', 'makan', 'bergizi', 'gratis', 'mbg', 'senyum', 'ceria', 'bukti', 'nyata', 'akses', 'gizi', 'membawa', 'harapan', 'semangat', 'belajar', 'gizi', 'semangat', 'belajar']</t>
  </si>
  <si>
    <t>['antusiasme', 'siswasiswi', 'pelosok', 'garut', 'sambut', 'program', 'makan', 'gizi', 'gratis', 'mbg', 'senyum', 'ceria', 'bukti', 'nyata', 'akses', 'gizi', 'bawa', 'harap', 'semangat', 'ajar', 'gizi', 'semangat', 'ajar']</t>
  </si>
  <si>
    <t>dadan hindayana memastikan pengawasan program makan bergizi gratis semakin ketat dengan membatasi beban kerja dapur agar kualitas gizi terjaga dan risiko keamanan pangan dapat ditekan seminimal mungkin</t>
  </si>
  <si>
    <t>['dadan', 'hindayana', 'memastikan', 'pengawasan', 'program', 'makan', 'bergizi', 'gratis', 'semakin', 'ketat', 'dengan', 'membatasi', 'beban', 'kerja', 'dapur', 'agar', 'kualitas', 'gizi', 'terjaga', 'dan', 'risiko', 'keamanan', 'pangan', 'dapat', 'ditekan', 'seminimal', 'mungkin']</t>
  </si>
  <si>
    <t>['dadan', 'hindayana', 'pengawasan', 'program', 'makan', 'bergizi', 'gratis', 'ketat', 'membatasi', 'beban', 'kerja', 'dapur', 'kualitas', 'gizi', 'terjaga', 'risiko', 'keamanan', 'pangan', 'ditekan', 'seminimal']</t>
  </si>
  <si>
    <t>['dad', 'hindayana', 'awas', 'program', 'makan', 'gizi', 'gratis', 'ketat', 'batas', 'beban', 'kerja', 'dapur', 'kualitas', 'gizi', 'jaga', 'risiko', 'aman', 'pangan', 'tekan', 'minimal']</t>
  </si>
  <si>
    <t>semua pihak yang bekerja dapur sppg menjadi urat nadi pelaksanaan program makan bergizi gratis kerja nyata dan tanggung jawab yg mereka menu makanan sehat dan bergizi seimbang untuk penerima manfaat disiapkan ferry irwandi shanti filipina</t>
  </si>
  <si>
    <t>['semua', 'pihak', 'yang', 'bekerja', 'dapur', 'sppg', 'menjadi', 'urat', 'nadi', 'pelaksanaan', 'program', 'makan', 'bergizi', 'gratis', 'kerja', 'nyata', 'dan', 'tanggung', 'jawab', 'yg', 'mereka', 'menu', 'makanan', 'sehat', 'dan', 'bergizi', 'seimbang', 'untuk', 'penerima', 'manfaat', 'disiapkan', 'ferry', 'irwandi', 'shanti', 'filipina']</t>
  </si>
  <si>
    <t>['dapur', 'sppg', 'urat', 'nadi', 'pelaksanaan', 'program', 'makan', 'bergizi', 'gratis', 'kerja', 'nyata', 'tanggung', 'menu', 'makanan', 'sehat', 'bergizi', 'seimbang', 'penerima', 'manfaat', 'disiapkan', 'ferry', 'irwandi', 'shanti', 'filipina']</t>
  </si>
  <si>
    <t>['dapur', 'sppg', 'urat', 'nadi', 'laksana', 'program', 'makan', 'gizi', 'gratis', 'kerja', 'nyata', 'tanggung', 'menu', 'makan', 'sehat', 'gizi', 'imbang', 'terima', 'manfaat', 'siap', 'ferry', 'irwandi', 'shanti', 'filipina']</t>
  </si>
  <si>
    <t>program makan bergizi gratis mbg yang diinisiasi pemerintahan presiden prabowo subianto dan direncanakan berjalan penuh mulai dengan anggaran apbn rp triliun per hari mulai menemui kendala di daerah di kabupaten demak jawa tengah satuan pelayanan pemenuhan gizi</t>
  </si>
  <si>
    <t>['program', 'makan', 'bergizi', 'gratis', 'mbg', 'yang', 'diinisiasi', 'pemerintahan', 'presiden', 'prabowo', 'subianto', 'dan', 'direncanakan', 'berjalan', 'penuh', 'mulai', 'dengan', 'anggaran', 'apbn', 'rp', 'triliun', 'per', 'hari', 'mulai', 'menemui', 'kendala', 'di', 'daerah', 'di', 'kabupaten', 'demak', 'jawa', 'tengah', 'satuan', 'pelayanan', 'pemenuhan', 'gizi']</t>
  </si>
  <si>
    <t>['program', 'makan', 'bergizi', 'gratis', 'mbg', 'diinisiasi', 'pemerintahan', 'presiden', 'prabowo', 'subianto', 'direncanakan', 'berjalan', 'penuh', 'anggaran', 'apbn', 'rp', 'triliun', 'menemui', 'kendala', 'daerah', 'kabupaten', 'demak', 'jawa', 'satuan', 'pelayanan', 'pemenuhan', 'gizi']</t>
  </si>
  <si>
    <t>['program', 'makan', 'gizi', 'gratis', 'mbg', 'inisiasi', 'perintah', 'presiden', 'prabowo', 'subianto', 'rencana', 'jalan', 'penuh', 'anggar', 'apbn', 'rp', 'triliun', 'temu', 'kendala', 'daerah', 'kabupaten', 'demak', 'jawa', 'satu', 'layan', 'penuh', 'gizi']</t>
  </si>
  <si>
    <t>badan gizi nasional memastikan pengawasan program makan bergizi gratis semakin ketat berbagai langkah dan kerja nyata diterapkan secara sistematis menyusul beberapa insiden keracunan dalam program mbg login filipina kisruh hukum</t>
  </si>
  <si>
    <t>['badan', 'gizi', 'nasional', 'memastikan', 'pengawasan', 'program', 'makan', 'bergizi', 'gratis', 'semakin', 'ketat', 'berbagai', 'langkah', 'dan', 'kerja', 'nyata', 'diterapkan', 'secara', 'sistematis', 'menyusul', 'beberapa', 'insiden', 'keracunan', 'dalam', 'program', 'mbg', 'login', 'filipina', 'kisruh', 'hukum']</t>
  </si>
  <si>
    <t>['badan', 'gizi', 'nasional', 'pengawasan', 'program', 'makan', 'bergizi', 'gratis', 'ketat', 'langkah', 'kerja', 'nyata', 'diterapkan', 'sistematis', 'menyusul', 'insiden', 'keracunan', 'program', 'mbg', 'login', 'filipina', 'kisruh', 'hukum']</t>
  </si>
  <si>
    <t>['badan', 'gizi', 'nasional', 'pengawasan', 'program', 'makan', 'bergizi', 'gratis', 'ketat', 'langkah', 'kerja', 'nyata', 'diterapkan', 'sistematis', 'menyusul', 'insiden', 'keracunan', 'program', 'mbg', 'masuk', 'filipina', 'kisruh', 'hukum']</t>
  </si>
  <si>
    <t>['badan', 'gizi', 'nasional', 'awas', 'program', 'makan', 'gizi', 'gratis', 'ketat', 'langkah', 'kerja', 'nyata', 'terap', 'sistematis', 'susul', 'insiden', 'racun', 'program', 'mbg', 'masuk', 'filipina', 'kisruh', 'hukum']</t>
  </si>
  <si>
    <t>penyuluh perikanan terus memberikan pendampingan kepada poklahsar binaan dalam memenuhi permintaan produk perikanan untuk mendukung program makan bergizi gratis upaya ini diharapkan dapat memperkuat peran strategis umkm pengolah hasil perikanan dalam program pemerintah</t>
  </si>
  <si>
    <t>['penyuluh', 'perikanan', 'terus', 'memberikan', 'pendampingan', 'kepada', 'poklahsar', 'binaan', 'dalam', 'memenuhi', 'permintaan', 'produk', 'perikanan', 'untuk', 'mendukung', 'program', 'makan', 'bergizi', 'gratis', 'upaya', 'ini', 'diharapkan', 'dapat', 'memperkuat', 'peran', 'strategis', 'umkm', 'pengolah', 'hasil', 'perikanan', 'dalam', 'program', 'pemerintah']</t>
  </si>
  <si>
    <t>['penyuluh', 'perikanan', 'pendampingan', 'poklahsar', 'binaan', 'memenuhi', 'permintaan', 'produk', 'perikanan', 'mendukung', 'program', 'makan', 'bergizi', 'gratis', 'upaya', 'diharapkan', 'memperkuat', 'peran', 'strategis', 'umkm', 'pengolah', 'hasil', 'perikanan', 'program', 'pemerintah']</t>
  </si>
  <si>
    <t>['suluh', 'ikan', 'damping', 'poklahsar', 'bina', 'penuh', 'minta', 'produk', 'ikan', 'dukung', 'program', 'makan', 'gizi', 'gratis', 'upaya', 'harap', 'kuat', 'peran', 'strategis', 'umkm', 'olah', 'hasil', 'ikan', 'program', 'perintah']</t>
  </si>
  <si>
    <t>kapolsek nagreg kompol rizal adam al hasan as spd mm yang diwakili kanit intelkam akp nurwidi sh menghadiri rapat koordinasi program makan bergizi gratis mbg tingkat kecamatan nagreg di aula kantor kecamatan nagreg kabupaten bandung</t>
  </si>
  <si>
    <t>['kapolsek', 'nagreg', 'kompol', 'rizal', 'adam', 'al', 'hasan', 'as', 'spd', 'mm', 'yang', 'diwakili', 'kanit', 'intelkam', 'akp', 'nurwidi', 'sh', 'menghadiri', 'rapat', 'koordinasi', 'program', 'makan', 'bergizi', 'gratis', 'mbg', 'tingkat', 'kecamatan', 'nagreg', 'di', 'aula', 'kantor', 'kecamatan', 'nagreg', 'kabupaten', 'bandung']</t>
  </si>
  <si>
    <t>['kapolsek', 'nagreg', 'kompol', 'rizal', 'adam', 'al', 'hasan', 'as', 'spd', 'mm', 'diwakili', 'kanit', 'intelkam', 'akp', 'nurwidi', 'sh', 'menghadiri', 'rapat', 'koordinasi', 'program', 'makan', 'bergizi', 'gratis', 'mbg', 'tingkat', 'kecamatan', 'nagreg', 'aula', 'kantor', 'kecamatan', 'nagreg', 'kabupaten', 'bandung']</t>
  </si>
  <si>
    <t>['kapolsek', 'nagreg', 'kompol', 'rizal', 'adam', 'al', 'hasan', 'sebagai', 'spd', 'mm', 'diwakili', 'kanit', 'intelkam', 'akp', 'nurwidi', 'sh', 'menghadiri', 'rapat', 'koordinasi', 'program', 'makan', 'bergizi', 'gratis', 'mbg', 'tingkat', 'kecamatan', 'nagreg', 'aula', 'kantor', 'kecamatan', 'nagreg', 'kabupaten', 'bandung']</t>
  </si>
  <si>
    <t>['kapolsek', 'nagreg', 'kompol', 'rizal', 'adam', 'al', 'hasan', 'bagai', 'spd', 'mm', 'wakil', 'kanit', 'intelkam', 'akp', 'nurwidi', 'sh', 'hadir', 'rapat', 'koordinasi', 'program', 'makan', 'gizi', 'gratis', 'mbg', 'tingkat', 'camat', 'nagreg', 'aula', 'kantor', 'camat', 'nagreg', 'kabupaten', 'bandung']</t>
  </si>
  <si>
    <t>badan gizi nasional bgn memastikan pasokan gizi nasional melalui program makan bergizi gratis mbg terpenuhi sdm dilatih untuk kesiapannya secara serentak dan tersebar ke seluruh indonesia</t>
  </si>
  <si>
    <t>['badan', 'gizi', 'nasional', 'bgn', 'memastikan', 'pasokan', 'gizi', 'nasional', 'melalui', 'program', 'makan', 'bergizi', 'gratis', 'mbg', 'terpenuhi', 'sdm', 'dilatih', 'untuk', 'kesiapannya', 'secara', 'serentak', 'dan', 'tersebar', 'ke', 'seluruh', 'indonesia']</t>
  </si>
  <si>
    <t>['badan', 'gizi', 'nasional', 'bgn', 'pasokan', 'gizi', 'nasional', 'program', 'makan', 'bergizi', 'gratis', 'mbg', 'terpenuhi', 'sdm', 'dilatih', 'kesiapannya', 'serentak', 'tersebar', 'indonesia']</t>
  </si>
  <si>
    <t>['badan', 'gizi', 'nasional', 'bgn', 'pasok', 'gizi', 'nasional', 'program', 'makan', 'gizi', 'gratis', 'mbg', 'penuh', 'sdm', 'latih', 'kesiap', 'serentak', 'sebar', 'indonesia']</t>
  </si>
  <si>
    <t>program makan bergizi gratis mbg kini merangkul para penyandang disabilitas mulai tahun depan penerima akan mendapatkan makanan bergizi dua kali sehari langsung diantar ke rumah oleh kader desa yang sekaligus menjadi caregiver mereka</t>
  </si>
  <si>
    <t>['program', 'makan', 'bergizi', 'gratis', 'mbg', 'kini', 'merangkul', 'para', 'penyandang', 'disabilitas', 'mulai', 'tahun', 'depan', 'penerima', 'akan', 'mendapatkan', 'makanan', 'bergizi', 'dua', 'kali', 'sehari', 'langsung', 'diantar', 'ke', 'rumah', 'oleh', 'kader', 'desa', 'yang', 'sekaligus', 'menjadi', 'caregiver', 'mereka']</t>
  </si>
  <si>
    <t>['program', 'makan', 'bergizi', 'gratis', 'mbg', 'merangkul', 'penyandang', 'disabilitas', 'penerima', 'makanan', 'bergizi', 'kali', 'sehari', 'langsung', 'diantar', 'rumah', 'kader', 'desa', 'caregiver']</t>
  </si>
  <si>
    <t>['program', 'makan', 'gizi', 'gratis', 'mbg', 'rangkul', 'sandang', 'disabilitas', 'terima', 'makan', 'gizi', 'kali', 'hari', 'langsung', 'antar', 'rumah', 'kader', 'desa', 'caregiver']</t>
  </si>
  <si>
    <t>menteri keuangan purbaya yudhi sadewa bantah tegas isu perubahan program makan bergizi gratis mbg menjadi uang tunai baca klarifikasi menkeu</t>
  </si>
  <si>
    <t>['menteri', 'keuangan', 'purbaya', 'yudhi', 'sadewa', 'bantah', 'tegas', 'isu', 'perubahan', 'program', 'makan', 'bergizi', 'gratis', 'mbg', 'menjadi', 'uang', 'tunai', 'baca', 'klarifikasi', 'menkeu']</t>
  </si>
  <si>
    <t>['menteri', 'keuangan', 'purbaya', 'yudhi', 'sadewa', 'bantah', 'isu', 'perubahan', 'program', 'makan', 'bergizi', 'gratis', 'mbg', 'uang', 'tunai', 'baca', 'klarifikasi', 'menkeu']</t>
  </si>
  <si>
    <t>['menteri', 'uang', 'purbaya', 'yudhi', 'sadewa', 'bantah', 'isu', 'ubah', 'program', 'makan', 'gizi', 'gratis', 'mbg', 'uang', 'tunai', 'baca', 'klarifikasi', 'menkeu']</t>
  </si>
  <si>
    <t>badan gizi nasional bgn mendorong seluruh dapur program makan bergizi gratis mbg untuk menerapkan ramah lingkungan dan berorientasi pada prinsip zero waste</t>
  </si>
  <si>
    <t>['badan', 'gizi', 'nasional', 'bgn', 'mendorong', 'seluruh', 'dapur', 'program', 'makan', 'bergizi', 'gratis', 'mbg', 'untuk', 'menerapkan', 'ramah', 'lingkungan', 'dan', 'berorientasi', 'pada', 'prinsip', 'zero', 'waste']</t>
  </si>
  <si>
    <t>['badan', 'gizi', 'nasional', 'bgn', 'mendorong', 'dapur', 'program', 'makan', 'bergizi', 'gratis', 'mbg', 'menerapkan', 'ramah', 'lingkungan', 'berorientasi', 'prinsip', 'zero', 'waste']</t>
  </si>
  <si>
    <t>['badan', 'gizi', 'nasional', 'bgn', 'dorong', 'dapur', 'program', 'makan', 'gizi', 'gratis', 'mbg', 'terap', 'ramah', 'lingkung', 'orientasi', 'prinsip', 'zero', 'waste']</t>
  </si>
  <si>
    <t>penyerahan simbolis program makan bergizi gratis digelar di sma negeri singaraja</t>
  </si>
  <si>
    <t>['penyerahan', 'simbolis', 'program', 'makan', 'bergizi', 'gratis', 'digelar', 'di', 'sma', 'negeri', 'singaraja']</t>
  </si>
  <si>
    <t>['penyerahan', 'simbolis', 'program', 'makan', 'bergizi', 'gratis', 'digelar', 'sma', 'negeri', 'singaraja']</t>
  </si>
  <si>
    <t>['serah', 'simbolis', 'program', 'makan', 'gizi', 'gratis', 'gelar', 'sma', 'negeri', 'singaraja']</t>
  </si>
  <si>
    <t>ppu siapkan pangan lokal untuk sukseskan program makan bergizi gratis</t>
  </si>
  <si>
    <t>['ppu', 'siapkan', 'pangan', 'lokal', 'untuk', 'sukseskan', 'program', 'makan', 'bergizi', 'gratis']</t>
  </si>
  <si>
    <t>['ppu', 'siapkan', 'pangan', 'lokal', 'sukseskan', 'program', 'makan', 'bergizi', 'gratis']</t>
  </si>
  <si>
    <t>['ppu', 'siap', 'pangan', 'lokal', 'sukses', 'program', 'makan', 'gizi', 'gratis']</t>
  </si>
  <si>
    <t>sebelum akhir tahun bgn bidik layanan mbg setara populasi korsel jakarta kepala badan gizi nasional bgn dadan hindayana mengatakan pihaknya kini tengah mengejar target layanan program makan bergizi gratis mbg setara populasi korea selatan yakni juta jiwa kita</t>
  </si>
  <si>
    <t>['sebelum', 'akhir', 'tahun', 'bgn', 'bidik', 'layanan', 'mbg', 'setara', 'populasi', 'korsel', 'jakarta', 'kepala', 'badan', 'gizi', 'nasional', 'bgn', 'dadan', 'hindayana', 'mengatakan', 'pihaknya', 'kini', 'tengah', 'mengejar', 'target', 'layanan', 'program', 'makan', 'bergizi', 'gratis', 'mbg', 'setara', 'populasi', 'korea', 'selatan', 'yakni', 'juta', 'jiwa', 'kita']</t>
  </si>
  <si>
    <t>['bgn', 'bidik', 'layanan', 'mbg', 'setara', 'populasi', 'korsel', 'jakarta', 'kepala', 'badan', 'gizi', 'nasional', 'bgn', 'dadan', 'hindayana', 'mengejar', 'target', 'layanan', 'program', 'makan', 'bergizi', 'gratis', 'mbg', 'setara', 'populasi', 'korea', 'selatan', 'juta', 'jiwa']</t>
  </si>
  <si>
    <t>['bgn', 'bidik', 'layan', 'mbg', 'tara', 'populasi', 'korsel', 'jakarta', 'kepala', 'badan', 'gizi', 'nasional', 'bgn', 'dad', 'hindayana', 'kejar', 'target', 'layan', 'program', 'makan', 'gizi', 'gratis', 'mbg', 'tara', 'populasi', 'korea', 'selatan', 'juta', 'jiwa']</t>
  </si>
  <si>
    <t>indonesia masih menghadapi persoalan besar terkait sampah makanan hampir separuh tumpukan sampah nasional berasal dari makanan yang terbuang dan sebagian besar terjadi karena makanan tidak dihabiskan di tengah pelaksanaan program makan bergizi gratis isu ini menjadi semakin</t>
  </si>
  <si>
    <t>['indonesia', 'masih', 'menghadapi', 'persoalan', 'besar', 'terkait', 'sampah', 'makanan', 'hampir', 'separuh', 'tumpukan', 'sampah', 'nasional', 'berasal', 'dari', 'makanan', 'yang', 'terbuang', 'dan', 'sebagian', 'besar', 'terjadi', 'karena', 'makanan', 'tidak', 'dihabiskan', 'di', 'tengah', 'pelaksanaan', 'program', 'makan', 'bergizi', 'gratis', 'isu', 'ini', 'menjadi', 'semakin']</t>
  </si>
  <si>
    <t>['indonesia', 'menghadapi', 'terkait', 'sampah', 'makanan', 'separuh', 'tumpukan', 'sampah', 'nasional', 'berasal', 'makanan', 'terbuang', 'makanan', 'dihabiskan', 'pelaksanaan', 'program', 'makan', 'bergizi', 'gratis', 'isu']</t>
  </si>
  <si>
    <t>['indonesia', 'hadap', 'kait', 'sampah', 'makan', 'paruh', 'tumpu', 'sampah', 'nasional', 'asal', 'makan', 'buang', 'makan', 'habis', 'laksana', 'program', 'makan', 'gizi', 'gratis', 'isu']</t>
  </si>
  <si>
    <t>isu dugaan pungutan biaya perizinan kelayakan pangan dalam program makan bergizi gratis mbg mencuat di lingkungan pemerintah kabupaten pekalongan seorang oknum pejabat di dinas kesehatan dinkes kabupaten pekalongan berinisial mk yang disebut menjab</t>
  </si>
  <si>
    <t>['isu', 'dugaan', 'pungutan', 'biaya', 'perizinan', 'kelayakan', 'pangan', 'dalam', 'program', 'makan', 'bergizi', 'gratis', 'mbg', 'mencuat', 'di', 'lingkungan', 'pemerintah', 'kabupaten', 'pekalongan', 'seorang', 'oknum', 'pejabat', 'di', 'dinas', 'kesehatan', 'dinkes', 'kabupaten', 'pekalongan', 'berinisial', 'mk', 'yang', 'disebut', 'menjab']</t>
  </si>
  <si>
    <t>&lt;FreqDist with 30 samples and 33 outcomes&gt;</t>
  </si>
  <si>
    <t>['isu', 'dugaan', 'pungutan', 'biaya', 'perizinan', 'kelayakan', 'pangan', 'program', 'makan', 'bergizi', 'gratis', 'mbg', 'mencuat', 'lingkungan', 'pemerintah', 'kabupaten', 'pekalongan', 'oknum', 'pejabat', 'dinas', 'kesehatan', 'dinkes', 'kabupaten', 'pekalongan', 'berinisial', 'mk', 'menjab']</t>
  </si>
  <si>
    <t>['isu', 'duga', 'pungut', 'biaya', 'izin', 'layak', 'pangan', 'program', 'makan', 'gizi', 'gratis', 'mbg', 'cuat', 'lingkung', 'perintah', 'kabupaten', 'kalong', 'oknum', 'jabat', 'dinas', 'sehat', 'dinkes', 'kabupaten', 'kalong', 'inisial', 'mk', 'jab']</t>
  </si>
  <si>
    <t>sppg sukamantri hadirkan oven ompreng pertama nasional bogor upaya meningkatkan keamanan pangan dalam pelaksanaan program makan bergizi gratis mbg mencapai tonggak baru satuan pelayanan pemenuhan gizi sppg bogor tamansari sukamantri menjadi sppg pertama di indonesia yang</t>
  </si>
  <si>
    <t>['sppg', 'sukamantri', 'hadirkan', 'oven', 'ompreng', 'pertama', 'nasional', 'bogor', 'upaya', 'meningkatkan', 'keamanan', 'pangan', 'dalam', 'pelaksanaan', 'program', 'makan', 'bergizi', 'gratis', 'mbg', 'mencapai', 'tonggak', 'baru', 'satuan', 'pelayanan', 'pemenuhan', 'gizi', 'sppg', 'bogor', 'tamansari', 'sukamantri', 'menjadi', 'sppg', 'pertama', 'di', 'indonesia', 'yang']</t>
  </si>
  <si>
    <t>&lt;FreqDist with 31 samples and 36 outcomes&gt;</t>
  </si>
  <si>
    <t>['sppg', 'sukamantri', 'hadirkan', 'oven', 'ompreng', 'nasional', 'bogor', 'upaya', 'meningkatkan', 'keamanan', 'pangan', 'pelaksanaan', 'program', 'makan', 'bergizi', 'gratis', 'mbg', 'mencapai', 'tonggak', 'satuan', 'pelayanan', 'pemenuhan', 'gizi', 'sppg', 'bogor', 'tamansari', 'sukamantri', 'sppg', 'indonesia']</t>
  </si>
  <si>
    <t>['sppg', 'sukamantri', 'hadir', 'oven', 'ompreng', 'nasional', 'bogor', 'upaya', 'tingkat', 'aman', 'pangan', 'laksana', 'program', 'makan', 'gizi', 'gratis', 'mbg', 'capai', 'tonggak', 'satu', 'layan', 'penuh', 'gizi', 'sppg', 'bogor', 'tamansari', 'sukamantri', 'sppg', 'indonesia']</t>
  </si>
  <si>
    <t>mbg adalah seragam sekolah versi makanan program makan bergizi gratis harus universal tujuannya menciptakan kesetaraan mutlak di sekolah semua anak makan menu yang sama di meja yang sama ini hilangkan stigma sosial amp bangun fondasi karakter kebangsaan jangan ada pemilahan</t>
  </si>
  <si>
    <t>['mbg', 'adalah', 'seragam', 'sekolah', 'versi', 'makanan', 'program', 'makan', 'bergizi', 'gratis', 'harus', 'universal', 'tujuannya', 'menciptakan', 'kesetaraan', 'mutlak', 'di', 'sekolah', 'semua', 'anak', 'makan', 'menu', 'yang', 'sama', 'di', 'meja', 'yang', 'sama', 'ini', 'hilangkan', 'stigma', 'sosial', 'amp', 'bangun', 'fondasi', 'karakter', 'kebangsaan', 'jangan', 'ada', 'pemilahan']</t>
  </si>
  <si>
    <t>&lt;FreqDist with 35 samples and 40 outcomes&gt;</t>
  </si>
  <si>
    <t>['mbg', 'seragam', 'sekolah', 'versi', 'makanan', 'program', 'makan', 'bergizi', 'gratis', 'universal', 'tujuannya', 'menciptakan', 'kesetaraan', 'mutlak', 'sekolah', 'anak', 'makan', 'menu', 'meja', 'hilangkan', 'stigma', 'sosial', 'bangun', 'fondasi', 'karakter', 'kebangsaan', 'pemilahan']</t>
  </si>
  <si>
    <t>['mbg', 'seragam', 'sekolah', 'versi', 'makan', 'program', 'makan', 'gizi', 'gratis', 'universal', 'tuju', 'cipta', 'tara', 'mutlak', 'sekolah', 'anak', 'makan', 'menu', 'meja', 'hilang', 'stigma', 'sosial', 'bangun', 'fondasi', 'karakter', 'bangsa', 'pilah']</t>
  </si>
  <si>
    <t>bukan hanya sekadar makanan gratis juga fokus penuh naikin kualitas dan mutu makanan di program makan bergizi gratis mbg yang sudah menyentuh ribuan siswa setiap hari setiap porsi dibuat dengan perhatian agar anakanak dapat tumbuh sehat dan siap belajar</t>
  </si>
  <si>
    <t>['bukan', 'hanya', 'sekadar', 'makanan', 'gratis', 'juga', 'fokus', 'penuh', 'naikin', 'kualitas', 'dan', 'mutu', 'makanan', 'di', 'program', 'makan', 'bergizi', 'gratis', 'mbg', 'yang', 'sudah', 'menyentuh', 'ribuan', 'siswa', 'setiap', 'hari', 'setiap', 'porsi', 'dibuat', 'dengan', 'perhatian', 'agar', 'anakanak', 'dapat', 'tumbuh', 'sehat', 'dan', 'siap', 'belajar']</t>
  </si>
  <si>
    <t>['makanan', 'gratis', 'fokus', 'penuh', 'naikin', 'kualitas', 'mutu', 'makanan', 'program', 'makan', 'bergizi', 'gratis', 'mbg', 'menyentuh', 'ribuan', 'siswa', 'porsi', 'perhatian', 'anakanak', 'tumbuh', 'sehat', 'belajar']</t>
  </si>
  <si>
    <t>['makan', 'gratis', 'fokus', 'penuh', 'naikin', 'kualitas', 'mutu', 'makan', 'program', 'makan', 'gizi', 'gratis', 'mbg', 'sentuh', 'ribu', 'siswa', 'porsi', 'perhati', 'anakanak', 'tumbuh', 'sehat', 'ajar']</t>
  </si>
  <si>
    <t xml:space="preserve">jiwa di kepri kini tersentuh program makan bergizi gratis mbg ini adalah langkah nyata memastikan gizi terbaik untuk generasi penerus amp kelompok  di kepri penguatan gizi di satuan pelayanan pemenuhan gizi sppg terus dipercepat termasuk di daerah </t>
  </si>
  <si>
    <t>['jiwa', 'di', 'kepri', 'kini', 'tersentuh', 'program', 'makan', 'bergizi', 'gratis', 'mbg', 'ini', 'adalah', 'langkah', 'nyata', 'memastikan', 'gizi', 'terbaik', 'untuk', 'generasi', 'penerus', 'amp', 'kelompok', 'di', 'kepri', 'penguatan', 'gizi', 'di', 'satuan', 'pelayanan', 'pemenuhan', 'gizi', 'sppg', 'terus', 'dipercepat', 'termasuk', 'di', 'daerah']</t>
  </si>
  <si>
    <t>['jiwa', 'kepri', 'tersentuh', 'program', 'makan', 'bergizi', 'gratis', 'mbg', 'langkah', 'nyata', 'gizi', 'terbaik', 'generasi', 'penerus', 'kelompok', 'kepri', 'penguatan', 'gizi', 'satuan', 'pelayanan', 'pemenuhan', 'gizi', 'sppg', 'dipercepat', 'daerah']</t>
  </si>
  <si>
    <t>['jiwa', 'kepri', 'sentuh', 'program', 'makan', 'gizi', 'gratis', 'mbg', 'langkah', 'nyata', 'gizi', 'baik', 'generasi', 'terus', 'kelompok', 'kepri', 'kuat', 'gizi', 'satu', 'layan', 'penuh', 'gizi', 'sppg', 'cepat', 'daerah']</t>
  </si>
  <si>
    <t>program makan bergizi gratis kini menjangkau ratusan ribu siswa dan ibu hamil di kepri memastikan pemerataan gizi hingga ke pelosok daerah demi masa depan generasi yang lebih sehat dan kuat</t>
  </si>
  <si>
    <t>['program', 'makan', 'bergizi', 'gratis', 'kini', 'menjangkau', 'ratusan', 'ribu', 'siswa', 'dan', 'ibu', 'hamil', 'di', 'kepri', 'memastikan', 'pemerataan', 'gizi', 'hingga', 'ke', 'pelosok', 'daerah', 'demi', 'masa', 'depan', 'generasi', 'yang', 'lebih', 'sehat', 'dan', 'kuat']</t>
  </si>
  <si>
    <t>['program', 'makan', 'bergizi', 'gratis', 'menjangkau', 'ratusan', 'ribu', 'siswa', 'hamil', 'kepri', 'pemerataan', 'gizi', 'pelosok', 'daerah', 'generasi', 'sehat', 'kuat']</t>
  </si>
  <si>
    <t>['program', 'makan', 'gizi', 'gratis', 'jangkau', 'ratus', 'ribu', 'siswa', 'hamil', 'kepri', 'perata', 'gizi', 'pelosok', 'daerah', 'generasi', 'sehat', 'kuat']</t>
  </si>
  <si>
    <t>program makan bergizi gratis mbg memastikan setiap anak mendapat nutrisi layak meningkatkan kesehatan sekaligus mendukung fokus belajar di sekolah sumber</t>
  </si>
  <si>
    <t>['program', 'makan', 'bergizi', 'gratis', 'mbg', 'memastikan', 'setiap', 'anak', 'mendapat', 'nutrisi', 'layak', 'meningkatkan', 'kesehatan', 'sekaligus', 'mendukung', 'fokus', 'belajar', 'di', 'sekolah', 'sumber']</t>
  </si>
  <si>
    <t>['program', 'makan', 'bergizi', 'gratis', 'mbg', 'anak', 'nutrisi', 'layak', 'meningkatkan', 'kesehatan', 'mendukung', 'fokus', 'belajar', 'sekolah', 'sumber']</t>
  </si>
  <si>
    <t>['program', 'makan', 'gizi', 'gratis', 'mbg', 'anak', 'nutrisi', 'layak', 'tingkat', 'sehat', 'dukung', 'fokus', 'ajar', 'sekolah', 'sumber']</t>
  </si>
  <si>
    <t>program makan bergizi gratis mbg di kepri sukses menjangkau penerima manfaat meliputi siswa ibu hamil menyusui dan balita  didukung sppg program ini menjangkau batam secara masif sementara pembangunan di daerah  masih berjalan</t>
  </si>
  <si>
    <t>['program', 'makan', 'bergizi', 'gratis', 'mbg', 'di', 'kepri', 'sukses', 'menjangkau', 'penerima', 'manfaat', 'meliputi', 'siswa', 'ibu', 'hamil', 'menyusui', 'dan', 'balita', 'didukung', 'sppg', 'program', 'ini', 'menjangkau', 'batam', 'secara', 'masif', 'sementara', 'pembangunan', 'di', 'daerah', 'masih', 'berjalan']</t>
  </si>
  <si>
    <t>['program', 'makan', 'bergizi', 'gratis', 'mbg', 'kepri', 'sukses', 'menjangkau', 'penerima', 'manfaat', 'meliputi', 'siswa', 'hamil', 'menyusui', 'balita', 'didukung', 'sppg', 'program', 'menjangkau', 'batam', 'masif', 'pembangunan', 'daerah', 'berjalan']</t>
  </si>
  <si>
    <t>['program', 'makan', 'gizi', 'gratis', 'mbg', 'kepri', 'sukses', 'jangkau', 'terima', 'manfaat', 'liput', 'siswa', 'hamil', 'susu', 'balita', 'dukung', 'sppg', 'program', 'jangkau', 'batam', 'masif', 'bangun', 'daerah', 'jalan']</t>
  </si>
  <si>
    <t>program makan bergizi gratis mbg diterapkan secara merata untuk semua siswa demi menciptakan kesetaraan di sekolah tujuannya meniru semangat seragam sekolah menghapus sekat status sosial dan mencegah stigma dengan tidak memilahmilah penerima manfaat</t>
  </si>
  <si>
    <t>['program', 'makan', 'bergizi', 'gratis', 'mbg', 'diterapkan', 'secara', 'merata', 'untuk', 'semua', 'siswa', 'demi', 'menciptakan', 'kesetaraan', 'di', 'sekolah', 'tujuannya', 'meniru', 'semangat', 'seragam', 'sekolah', 'menghapus', 'sekat', 'status', 'sosial', 'dan', 'mencegah', 'stigma', 'dengan', 'tidak', 'memilahmilah', 'penerima', 'manfaat']</t>
  </si>
  <si>
    <t>['program', 'makan', 'bergizi', 'gratis', 'mbg', 'diterapkan', 'merata', 'siswa', 'menciptakan', 'kesetaraan', 'sekolah', 'tujuannya', 'meniru', 'semangat', 'seragam', 'sekolah', 'menghapus', 'sekat', 'status', 'sosial', 'mencegah', 'stigma', 'memilahmilah', 'penerima', 'manfaat']</t>
  </si>
  <si>
    <t>['program', 'makan', 'gizi', 'gratis', 'mbg', 'terap', 'rata', 'siswa', 'cipta', 'tara', 'sekolah', 'tuju', 'tiru', 'semangat', 'seragam', 'sekolah', 'hapus', 'sekat', 'status', 'sosial', 'cegah', 'stigma', 'memilahmilah', 'terima', 'manfaat']</t>
  </si>
  <si>
    <t>penerima manfaat sejak beroperasi september lalu program makan bergizi gratis mbg di pulau kelapa telah menyajikan makanan bergizi meskipun tantangan logistik di pulau tim sppg yang didominasi warga lokal memastikan kualitas makanan terjaga kehadiran mbg bukan</t>
  </si>
  <si>
    <t>['penerima', 'manfaat', 'sejak', 'beroperasi', 'september', 'lalu', 'program', 'makan', 'bergizi', 'gratis', 'mbg', 'di', 'pulau', 'kelapa', 'telah', 'menyajikan', 'makanan', 'bergizi', 'meskipun', 'tantangan', 'logistik', 'di', 'pulau', 'tim', 'sppg', 'yang', 'didominasi', 'warga', 'lokal', 'memastikan', 'kualitas', 'makanan', 'terjaga', 'kehadiran', 'mbg', 'bukan']</t>
  </si>
  <si>
    <t>['penerima', 'manfaat', 'beroperasi', 'september', 'program', 'makan', 'bergizi', 'gratis', 'mbg', 'pulau', 'kelapa', 'menyajikan', 'makanan', 'bergizi', 'tantangan', 'logistik', 'pulau', 'tim', 'sppg', 'didominasi', 'warga', 'lokal', 'kualitas', 'makanan', 'terjaga', 'kehadiran', 'mbg']</t>
  </si>
  <si>
    <t>['penerima', 'manfaat', 'beroperasi', 'september', 'program', 'makan', 'bergizi', 'gratis', 'mbg', 'pulau', 'kelapa', 'menyajikan', 'makanan', 'bergizi', 'tantangan', 'logistik', 'pulau', 'grup', 'sppg', 'didominasi', 'warga', 'lokal', 'kualitas', 'makanan', 'terjaga', 'kehadiran', 'mbg']</t>
  </si>
  <si>
    <t>['terima', 'manfaat', 'operasi', 'september', 'program', 'makan', 'gizi', 'gratis', 'mbg', 'pulau', 'kelapa', 'saji', 'makan', 'gizi', 'tantang', 'logistik', 'pulau', 'grup', 'sppg', 'dominasi', 'warga', 'lokal', 'kualitas', 'makan', 'jaga', 'hadir', 'mbg']</t>
  </si>
  <si>
    <t>ribu umkm terlibat dalam program makan bergizi gratis yang bisa berikan multiplier effect</t>
  </si>
  <si>
    <t>['ribu', 'umkm', 'terlibat', 'dalam', 'program', 'makan', 'bergizi', 'gratis', 'yang', 'bisa', 'berikan', 'multiplier', 'effect']</t>
  </si>
  <si>
    <t>['ribu', 'umkm', 'terlibat', 'program', 'makan', 'bergizi', 'gratis', 'multiplier', 'effect']</t>
  </si>
  <si>
    <t>['ribu', 'umkm', 'libat', 'program', 'makan', 'gizi', 'gratis', 'multiplier', 'effect']</t>
  </si>
  <si>
    <t>polsek muara kaman kawal pelaksanaan program makan bergizi gratis dukung pemenuhan gizi dan kamtibmas pelajar di panca jaya kukar program makan bergizi gratis mbg tahap pertama resmi bergulir di desa panca jaya kecamatan muara kaman pada senin</t>
  </si>
  <si>
    <t>['polsek', 'muara', 'kaman', 'kawal', 'pelaksanaan', 'program', 'makan', 'bergizi', 'gratis', 'dukung', 'pemenuhan', 'gizi', 'dan', 'kamtibmas', 'pelajar', 'di', 'panca', 'jaya', 'kukar', 'program', 'makan', 'bergizi', 'gratis', 'mbg', 'tahap', 'pertama', 'resmi', 'bergulir', 'di', 'desa', 'panca', 'jaya', 'kecamatan', 'muara', 'kaman', 'pada', 'senin']</t>
  </si>
  <si>
    <t>&lt;FreqDist with 28 samples and 37 outcomes&gt;</t>
  </si>
  <si>
    <t>['polsek', 'muara', 'kaman', 'kawal', 'pelaksanaan', 'program', 'makan', 'bergizi', 'gratis', 'dukung', 'pemenuhan', 'gizi', 'kamtibmas', 'pelajar', 'panca', 'jaya', 'kukar', 'program', 'makan', 'bergizi', 'gratis', 'mbg', 'tahap', 'resmi', 'bergulir', 'desa', 'panca', 'jaya', 'kecamatan', 'muara', 'kaman', 'senin']</t>
  </si>
  <si>
    <t>['polsek', 'muara', 'kam', 'kawal', 'laksana', 'program', 'makan', 'gizi', 'gratis', 'dukung', 'penuh', 'gizi', 'kamtibmas', 'ajar', 'panca', 'jaya', 'kukar', 'program', 'makan', 'gizi', 'gratis', 'mbg', 'tahap', 'resmi', 'gulir', 'desa', 'panca', 'jaya', 'camat', 'muara', 'kam', 'senin']</t>
  </si>
  <si>
    <t>zulkifli hasan zulhas menyatakan target iq anak indonesia naik ke melalui program makan bergizi gratis mbg karena nutrisi baik bisa dukung perkembangan kognitif namun iq dipengaruhi banyak faktor seperti pendidikan dan lingkungan bukan hanya makanan apakah mirip</t>
  </si>
  <si>
    <t>['zulkifli', 'hasan', 'zulhas', 'menyatakan', 'target', 'iq', 'anak', 'indonesia', 'naik', 'ke', 'melalui', 'program', 'makan', 'bergizi', 'gratis', 'mbg', 'karena', 'nutrisi', 'baik', 'bisa', 'dukung', 'perkembangan', 'kognitif', 'namun', 'iq', 'dipengaruhi', 'banyak', 'faktor', 'seperti', 'pendidikan', 'dan', 'lingkungan', 'bukan', 'hanya', 'makanan', 'apakah', 'mirip']</t>
  </si>
  <si>
    <t>&lt;FreqDist with 36 samples and 37 outcomes&gt;</t>
  </si>
  <si>
    <t>['zulkifli', 'hasan', 'zulhas', 'target', 'iq', 'anak', 'indonesia', 'program', 'makan', 'bergizi', 'gratis', 'mbg', 'nutrisi', 'dukung', 'perkembangan', 'kognitif', 'iq', 'dipengaruhi', 'faktor', 'pendidikan', 'lingkungan', 'makanan']</t>
  </si>
  <si>
    <t>['zulkifli', 'hasan', 'zulhas', 'target', 'iq', 'anak', 'indonesia', 'program', 'makan', 'gizi', 'gratis', 'mbg', 'nutrisi', 'dukung', 'kembang', 'kognitif', 'iq', 'pengaruh', 'faktor', 'didik', 'lingkung', 'makan']</t>
  </si>
  <si>
    <t>babinsa dampingi program makan bergizi gratis di tk dwp karangandong</t>
  </si>
  <si>
    <t>['babinsa', 'dampingi', 'program', 'makan', 'bergizi', 'gratis', 'di', 'tk', 'dwp', 'karangandong']</t>
  </si>
  <si>
    <t>['babinsa', 'dampingi', 'program', 'makan', 'bergizi', 'gratis', 'tk', 'dwp', 'karangandong']</t>
  </si>
  <si>
    <t>['babinsa', 'damping', 'program', 'makan', 'gizi', 'gratis', 'tk', 'dwp', 'karangandong']</t>
  </si>
  <si>
    <t>wali kota depok supian suri memimpin rapat koordinasi program makan bergizi gratis mbg kota depok senin supian mengatakan bahwa pemkot depok terus berupaya memperluas sasaran program mbg dan memastikan program berjalan dengan kualitas yang terjaga</t>
  </si>
  <si>
    <t>['wali', 'kota', 'depok', 'supian', 'suri', 'memimpin', 'rapat', 'koordinasi', 'program', 'makan', 'bergizi', 'gratis', 'mbg', 'kota', 'depok', 'senin', 'supian', 'mengatakan', 'bahwa', 'pemkot', 'depok', 'terus', 'berupaya', 'memperluas', 'sasaran', 'program', 'mbg', 'dan', 'memastikan', 'program', 'berjalan', 'dengan', 'kualitas', 'yang', 'terjaga']</t>
  </si>
  <si>
    <t>['wali', 'kota', 'depok', 'supian', 'suri', 'memimpin', 'rapat', 'koordinasi', 'program', 'makan', 'bergizi', 'gratis', 'mbg', 'kota', 'depok', 'senin', 'supian', 'pemkot', 'depok', 'berupaya', 'memperluas', 'sasaran', 'program', 'mbg', 'program', 'berjalan', 'kualitas', 'terjaga']</t>
  </si>
  <si>
    <t>['wali', 'kota', 'depok', 'supian', 'suri', 'pimpin', 'rapat', 'koordinasi', 'program', 'makan', 'gizi', 'gratis', 'mbg', 'kota', 'depok', 'senin', 'supian', 'pemkot', 'depok', 'upaya', 'luas', 'sasar', 'program', 'mbg', 'program', 'jalan', 'kualitas', 'jaga']</t>
  </si>
  <si>
    <t>program mbg dikritisi masih banyak sekolah di simalungun tak tersentuh program makan bergizi gratis mbg yang menjadi salah satu agenda prioritas pemerintah kini menghadapi kritik luas</t>
  </si>
  <si>
    <t>['program', 'mbg', 'dikritisi', 'masih', 'banyak', 'sekolah', 'di', 'simalungun', 'tak', 'tersentuh', 'program', 'makan', 'bergizi', 'gratis', 'mbg', 'yang', 'menjadi', 'salah', 'satu', 'agenda', 'prioritas', 'pemerintah', 'kini', 'menghadapi', 'kritik', 'luas']</t>
  </si>
  <si>
    <t>['program', 'mbg', 'dikritisi', 'sekolah', 'simalungun', 'tersentuh', 'program', 'makan', 'bergizi', 'gratis', 'mbg', 'salah', 'agenda', 'prioritas', 'pemerintah', 'menghadapi', 'kritik', 'luas']</t>
  </si>
  <si>
    <t>['program', 'mbg', 'kritisi', 'sekolah', 'simalungun', 'sentuh', 'program', 'makan', 'gizi', 'gratis', 'mbg', 'salah', 'agenda', 'prioritas', 'perintah', 'hadap', 'kritik', 'luas']</t>
  </si>
  <si>
    <t>apbn menunjukkan pergeseran prioritas belanja pemerintah yang sangat besar terutama melalui ekspansi anggaran pada programprogram flagship seperti program makan bergizi gratis mbg dan program koperasi desa kopdes</t>
  </si>
  <si>
    <t>['apbn', 'menunjukkan', 'pergeseran', 'prioritas', 'belanja', 'pemerintah', 'yang', 'sangat', 'besar', 'terutama', 'melalui', 'ekspansi', 'anggaran', 'pada', 'programprogram', 'flagship', 'seperti', 'program', 'makan', 'bergizi', 'gratis', 'mbg', 'dan', 'program', 'koperasi', 'desa', 'kopdes']</t>
  </si>
  <si>
    <t>['apbn', 'pergeseran', 'prioritas', 'belanja', 'pemerintah', 'ekspansi', 'anggaran', 'programprogram', 'flagship', 'program', 'makan', 'bergizi', 'gratis', 'mbg', 'program', 'koperasi', 'desa', 'kopdes']</t>
  </si>
  <si>
    <t>['apbn', 'geser', 'prioritas', 'belanja', 'perintah', 'ekspansi', 'anggar', 'programprogram', 'flagship', 'program', 'makan', 'gizi', 'gratis', 'mbg', 'program', 'koperasi', 'desa', 'kopdes']</t>
  </si>
  <si>
    <t>menteri koordinator bidang pangan zulkifli hasan menyatakan optimismenya bahwa kualitas kecerdasan anak indonesia dapat meningkat signifikan melalui program makan bergizi gratis mbg zulhas menargetkan ratarata iq anak indonesia bisa mencapai angka jauh di atas</t>
  </si>
  <si>
    <t>['menteri', 'koordinator', 'bidang', 'pangan', 'zulkifli', 'hasan', 'menyatakan', 'optimismenya', 'bahwa', 'kualitas', 'kecerdasan', 'anak', 'indonesia', 'dapat', 'meningkat', 'signifikan', 'melalui', 'program', 'makan', 'bergizi', 'gratis', 'mbg', 'zulhas', 'menargetkan', 'ratarata', 'iq', 'anak', 'indonesia', 'bisa', 'mencapai', 'angka', 'jauh', 'di', 'atas']</t>
  </si>
  <si>
    <t>['menteri', 'koordinator', 'bidang', 'pangan', 'zulkifli', 'hasan', 'optimismenya', 'kualitas', 'kecerdasan', 'anak', 'indonesia', 'meningkat', 'signifikan', 'program', 'makan', 'bergizi', 'gratis', 'mbg', 'zulhas', 'menargetkan', 'ratarata', 'iq', 'anak', 'indonesia', 'mencapai', 'angka']</t>
  </si>
  <si>
    <t>['menteri', 'koordinator', 'bidang', 'pangan', 'zulkifli', 'hasan', 'optimisme', 'kualitas', 'cerdas', 'anak', 'indonesia', 'tingkat', 'signifikan', 'program', 'makan', 'gizi', 'gratis', 'mbg', 'zulhas', 'target', 'ratarata', 'iq', 'anak', 'indonesia', 'capai', 'angka']</t>
  </si>
  <si>
    <t>distribusi mbg masif ratusan ribu porsi dinikmati korban bencana sumateraaceh penyaluran bantuan pangan melalui program makan bergizi gratis mbg masih terus dilakukan pemerintah untuk membantu masyarakat terdampak bencana alam di wilayah sumatera dan aceh hingga</t>
  </si>
  <si>
    <t>['distribusi', 'mbg', 'masif', 'ratusan', 'ribu', 'porsi', 'dinikmati', 'korban', 'bencana', 'sumateraaceh', 'penyaluran', 'bantuan', 'pangan', 'melalui', 'program', 'makan', 'bergizi', 'gratis', 'mbg', 'masih', 'terus', 'dilakukan', 'pemerintah', 'untuk', 'membantu', 'masyarakat', 'terdampak', 'bencana', 'alam', 'di', 'wilayah', 'sumatera', 'dan', 'aceh', 'hingga']</t>
  </si>
  <si>
    <t>['distribusi', 'mbg', 'masif', 'ratusan', 'ribu', 'porsi', 'dinikmati', 'korban', 'bencana', 'sumateraaceh', 'penyaluran', 'bantuan', 'pangan', 'program', 'makan', 'bergizi', 'gratis', 'mbg', 'pemerintah', 'membantu', 'masyarakat', 'terdampak', 'bencana', 'alam', 'wilayah', 'sumatera', 'aceh']</t>
  </si>
  <si>
    <t>['distribusi', 'mbg', 'masif', 'ratus', 'ribu', 'porsi', 'nikmat', 'korban', 'bencana', 'sumateraaceh', 'salur', 'bantu', 'pangan', 'program', 'makan', 'gizi', 'gratis', 'mbg', 'perintah', 'bantu', 'masyarakat', 'dampak', 'bencana', 'alam', 'wilayah', 'sumatera', 'aceh']</t>
  </si>
  <si>
    <t>sufmi dasco menyampaikan terima kasih atas dukungan masyarakat terhadap programprogram pemerintah presiden prabowo subianto terutama program makan bergizi gratis mbg yang menjadi salah satu program unggulan untuk mencetak generasi bangsa yang lebih kuat dan sehat</t>
  </si>
  <si>
    <t>['sufmi', 'dasco', 'menyampaikan', 'terima', 'kasih', 'atas', 'dukungan', 'masyarakat', 'terhadap', 'programprogram', 'pemerintah', 'presiden', 'prabowo', 'subianto', 'terutama', 'program', 'makan', 'bergizi', 'gratis', 'mbg', 'yang', 'menjadi', 'salah', 'satu', 'program', 'unggulan', 'untuk', 'mencetak', 'generasi', 'bangsa', 'yang', 'lebih', 'kuat', 'dan', 'sehat']</t>
  </si>
  <si>
    <t>['sufmi', 'dasco', 'terima', 'kasih', 'dukungan', 'masyarakat', 'programprogram', 'pemerintah', 'presiden', 'prabowo', 'subianto', 'program', 'makan', 'bergizi', 'gratis', 'mbg', 'salah', 'program', 'unggulan', 'mencetak', 'generasi', 'bangsa', 'kuat', 'sehat']</t>
  </si>
  <si>
    <t>['sufmi', 'dasco', 'terima', 'kasih', 'dukung', 'masyarakat', 'programprogram', 'perintah', 'presiden', 'prabowo', 'subianto', 'program', 'makan', 'gizi', 'gratis', 'mbg', 'salah', 'program', 'unggul', 'cetak', 'generasi', 'bangsa', 'kuat', 'sehat']</t>
  </si>
  <si>
    <t>program makan bergizi gratis hadir untuk penuhi kebutuhan gizi anak sejak dini meningkatkan kesehatan dan daya saing generasi muda langkah nyata menuju indonesia emas</t>
  </si>
  <si>
    <t>['program', 'makan', 'bergizi', 'gratis', 'hadir', 'untuk', 'penuhi', 'kebutuhan', 'gizi', 'anak', 'sejak', 'dini', 'meningkatkan', 'kesehatan', 'dan', 'daya', 'saing', 'generasi', 'muda', 'langkah', 'nyata', 'menuju', 'indonesia', 'emas']</t>
  </si>
  <si>
    <t>['program', 'makan', 'bergizi', 'gratis', 'hadir', 'penuhi', 'kebutuhan', 'gizi', 'anak', 'meningkatkan', 'kesehatan', 'daya', 'saing', 'generasi', 'muda', 'langkah', 'nyata', 'indonesia', 'emas']</t>
  </si>
  <si>
    <t>['program', 'makan', 'gizi', 'gratis', 'hadir', 'penuh', 'butuh', 'gizi', 'anak', 'tingkat', 'sehat', 'daya', 'saing', 'generasi', 'muda', 'langkah', 'nyata', 'indonesia', 'emas']</t>
  </si>
  <si>
    <t>kami percaya setiap anak berhak tumbuh kuat dan cerdas dengan program makan bergizi gratis kita bersama membuka jalan bagi masa depan yang lebih sehat mari saling menjaga memastikan tak ada piring yang kosong dan setiap langkah kecil menuju mimpi jadi lebih ringan</t>
  </si>
  <si>
    <t>['kami', 'percaya', 'setiap', 'anak', 'berhak', 'tumbuh', 'kuat', 'dan', 'cerdas', 'dengan', 'program', 'makan', 'bergizi', 'gratis', 'kita', 'bersama', 'membuka', 'jalan', 'bagi', 'masa', 'depan', 'yang', 'lebih', 'sehat', 'mari', 'saling', 'menjaga', 'memastikan', 'tak', 'ada', 'piring', 'yang', 'kosong', 'dan', 'setiap', 'langkah', 'kecil', 'menuju', 'mimpi', 'jadi', 'lebih', 'ringan']</t>
  </si>
  <si>
    <t>['percaya', 'anak', 'berhak', 'tumbuh', 'kuat', 'cerdas', 'program', 'makan', 'bergizi', 'gratis', 'membuka', 'jalan', 'sehat', 'mari', 'menjaga', 'piring', 'kosong', 'langkah', 'mimpi', 'ringan']</t>
  </si>
  <si>
    <t>['percaya', 'anak', 'hak', 'tumbuh', 'kuat', 'cerdas', 'program', 'makan', 'gizi', 'gratis', 'buka', 'jalan', 'sehat', 'mari', 'jaga', 'piring', 'kosong', 'langkah', 'mimpi', 'ringan']</t>
  </si>
  <si>
    <t>ri targetkan swasembada telur amp daging ayam di setelah sukses swasembada beras amp jagung kini fokus beralih ke sektor peternakan pemerintah siapkan strategi khusus untuk memastikan pasokan aman dan berkelanjutan demi mendukung penuh program makan bergizi gratis mbg</t>
  </si>
  <si>
    <t>['ri', 'targetkan', 'swasembada', 'telur', 'amp', 'daging', 'ayam', 'di', 'setelah', 'sukses', 'swasembada', 'beras', 'amp', 'jagung', 'kini', 'fokus', 'beralih', 'ke', 'sektor', 'peternakan', 'pemerintah', 'siapkan', 'strategi', 'khusus', 'untuk', 'memastikan', 'pasokan', 'aman', 'dan', 'berkelanjutan', 'demi', 'mendukung', 'penuh', 'program', 'makan', 'bergizi', 'gratis', 'mbg']</t>
  </si>
  <si>
    <t>&lt;FreqDist with 36 samples and 38 outcomes&gt;</t>
  </si>
  <si>
    <t>['ri', 'targetkan', 'swasembada', 'telur', 'daging', 'ayam', 'sukses', 'swasembada', 'beras', 'jagung', 'fokus', 'beralih', 'sektor', 'peternakan', 'pemerintah', 'siapkan', 'strategi', 'khusus', 'pasokan', 'aman', 'berkelanjutan', 'mendukung', 'penuh', 'program', 'makan', 'bergizi', 'gratis', 'mbg']</t>
  </si>
  <si>
    <t>['ri', 'target', 'swasembada', 'telur', 'daging', 'ayam', 'sukses', 'swasembada', 'beras', 'jagung', 'fokus', 'alih', 'sektor', 'terna', 'perintah', 'siap', 'strategi', 'khusus', 'pasok', 'aman', 'lanjut', 'dukung', 'penuh', 'program', 'makan', 'gizi', 'gratis', 'mbg']</t>
  </si>
  <si>
    <t>program makan bergizi gratis mbg terus memberi dampak nyata dengan meningkatkan kesejahteraan anak sekolah dan memperkuat kualitas sumber daya manusia sejak dini sumber</t>
  </si>
  <si>
    <t>['program', 'makan', 'bergizi', 'gratis', 'mbg', 'terus', 'memberi', 'dampak', 'nyata', 'dengan', 'meningkatkan', 'kesejahteraan', 'anak', 'sekolah', 'dan', 'memperkuat', 'kualitas', 'sumber', 'daya', 'manusia', 'sejak', 'dini', 'sumber']</t>
  </si>
  <si>
    <t>&lt;FreqDist with 22 samples and 23 outcomes&gt;</t>
  </si>
  <si>
    <t>['program', 'makan', 'bergizi', 'gratis', 'mbg', 'dampak', 'nyata', 'meningkatkan', 'kesejahteraan', 'anak', 'sekolah', 'memperkuat', 'kualitas', 'sumber', 'daya', 'manusia', 'sumber']</t>
  </si>
  <si>
    <t>['program', 'makan', 'gizi', 'gratis', 'mbg', 'dampak', 'nyata', 'tingkat', 'sejahtera', 'anak', 'sekolah', 'kuat', 'kualitas', 'sumber', 'daya', 'manusia', 'sumber']</t>
  </si>
  <si>
    <t>program makan bergizi gratis mbg kini menjangkau kelompok paling rentan lansia pemulung anak jalanan disabilitas hingga masyarakat miskin harapan baru mengalirtak boleh ada lagi warga indonesia yang kesulitan mendapatkan makanan bergizi pemenuhan gizi untuk semua</t>
  </si>
  <si>
    <t>['program', 'makan', 'bergizi', 'gratis', 'mbg', 'kini', 'menjangkau', 'kelompok', 'paling', 'rentan', 'lansia', 'pemulung', 'anak', 'jalanan', 'disabilitas', 'hingga', 'masyarakat', 'miskin', 'harapan', 'baru', 'mengalirtak', 'boleh', 'ada', 'lagi', 'warga', 'indonesia', 'yang', 'kesulitan', 'mendapatkan', 'makanan', 'bergizi', 'pemenuhan', 'gizi', 'untuk', 'semua']</t>
  </si>
  <si>
    <t>&lt;FreqDist with 34 samples and 35 outcomes&gt;</t>
  </si>
  <si>
    <t>['program', 'makan', 'bergizi', 'gratis', 'mbg', 'menjangkau', 'kelompok', 'rentan', 'lansia', 'pemulung', 'anak', 'jalanan', 'disabilitas', 'masyarakat', 'miskin', 'harapan', 'mengalirtak', 'warga', 'indonesia', 'kesulitan', 'makanan', 'bergizi', 'pemenuhan', 'gizi']</t>
  </si>
  <si>
    <t>['program', 'makan', 'gizi', 'gratis', 'mbg', 'jangkau', 'kelompok', 'rentan', 'lansia', 'pulung', 'anak', 'jalan', 'disabilitas', 'masyarakat', 'miskin', 'harap', 'mengalirtak', 'warga', 'indonesia', 'sulit', 'makan', 'gizi', 'penuh', 'gizi']</t>
  </si>
  <si>
    <t>program makan bergizi gratis mbg kini diperluas untuk mencakup jutaan warga indonesia dengan penerima manfaat yang menyentuh kelompok paling rentan seperti lansia pemulung anak jalanan disabilitas hingga masyarakat miskin</t>
  </si>
  <si>
    <t>['program', 'makan', 'bergizi', 'gratis', 'mbg', 'kini', 'diperluas', 'untuk', 'mencakup', 'jutaan', 'warga', 'indonesia', 'dengan', 'penerima', 'manfaat', 'yang', 'menyentuh', 'kelompok', 'paling', 'rentan', 'seperti', 'lansia', 'pemulung', 'anak', 'jalanan', 'disabilitas', 'hingga', 'masyarakat', 'miskin']</t>
  </si>
  <si>
    <t>['program', 'makan', 'bergizi', 'gratis', 'mbg', 'diperluas', 'mencakup', 'jutaan', 'warga', 'indonesia', 'penerima', 'manfaat', 'menyentuh', 'kelompok', 'rentan', 'lansia', 'pemulung', 'anak', 'jalanan', 'disabilitas', 'masyarakat', 'miskin']</t>
  </si>
  <si>
    <t>['program', 'makan', 'gizi', 'gratis', 'mbg', 'luas', 'cakup', 'juta', 'warga', 'indonesia', 'terima', 'manfaat', 'sentuh', 'kelompok', 'rentan', 'lansia', 'pulung', 'anak', 'jalan', 'disabilitas', 'masyarakat', 'miskin']</t>
  </si>
  <si>
    <t>program makan bergizi gratis mbg kini benarbenar menyentuh nurani bangsa dari lansia pemulung hingga anak jalanansemua dirangkul agar tak ada lagi warga yang tidur dalam keadaan lapar harapan baru untuk indonesia yang lebih adil dan manusiawi</t>
  </si>
  <si>
    <t>['program', 'makan', 'bergizi', 'gratis', 'mbg', 'kini', 'benarbenar', 'menyentuh', 'nurani', 'bangsa', 'dari', 'lansia', 'pemulung', 'hingga', 'anak', 'jalanansemua', 'dirangkul', 'agar', 'tak', 'ada', 'lagi', 'warga', 'yang', 'tidur', 'dalam', 'keadaan', 'lapar', 'harapan', 'baru', 'untuk', 'indonesia', 'yang', 'lebih', 'adil', 'dan', 'manusiawi']</t>
  </si>
  <si>
    <t>&lt;FreqDist with 35 samples and 36 outcomes&gt;</t>
  </si>
  <si>
    <t>['program', 'makan', 'bergizi', 'gratis', 'mbg', 'benarbenar', 'menyentuh', 'nurani', 'bangsa', 'lansia', 'pemulung', 'anak', 'jalanansemua', 'dirangkul', 'warga', 'tidur', 'lapar', 'harapan', 'indonesia', 'adil', 'manusiawi']</t>
  </si>
  <si>
    <t>['program', 'makan', 'gizi', 'gratis', 'mbg', 'benarbenar', 'sentuh', 'nurani', 'bangsa', 'lansia', 'pulung', 'anak', 'jalanansemua', 'rangkul', 'warga', 'tidur', 'lapar', 'harap', 'indonesia', 'adil', 'manusiawi']</t>
  </si>
  <si>
    <t>mbg ada harapan baru bagi jutaan warga program makan bergizi gratis mbg kini menjangkau lansia pemulung anak jalanan hingga masyarakat miskin memastikan setiap anak bisa makan bergizi agar tumbuh dengan baik pendidikan dan tenaga penggerak masyarakat diprioritaskan</t>
  </si>
  <si>
    <t>['mbg', 'ada', 'harapan', 'baru', 'bagi', 'jutaan', 'warga', 'program', 'makan', 'bergizi', 'gratis', 'mbg', 'kini', 'menjangkau', 'lansia', 'pemulung', 'anak', 'jalanan', 'hingga', 'masyarakat', 'miskin', 'memastikan', 'setiap', 'anak', 'bisa', 'makan', 'bergizi', 'agar', 'tumbuh', 'dengan', 'baik', 'pendidikan', 'dan', 'tenaga', 'penggerak', 'masyarakat', 'diprioritaskan']</t>
  </si>
  <si>
    <t>['mbg', 'harapan', 'jutaan', 'warga', 'program', 'makan', 'bergizi', 'gratis', 'mbg', 'menjangkau', 'lansia', 'pemulung', 'anak', 'jalanan', 'masyarakat', 'miskin', 'anak', 'makan', 'bergizi', 'tumbuh', 'pendidikan', 'tenaga', 'penggerak', 'masyarakat', 'diprioritaskan']</t>
  </si>
  <si>
    <t>['mbg', 'harap', 'juta', 'warga', 'program', 'makan', 'gizi', 'gratis', 'mbg', 'jangkau', 'lansia', 'pulung', 'anak', 'jalan', 'masyarakat', 'miskin', 'anak', 'makan', 'gizi', 'tumbuh', 'didik', 'tenaga', 'gerak', 'masyarakat', 'prioritas']</t>
  </si>
  <si>
    <t>visi utama program makan bergizi gratis mbg adalah memastikan semua anak indonesia mendapat asupan gizi yang cukup untuk tumbuh optimalprogram ini menjadi pilar penting dalam upaya pemerintah menjamin kesehatan generasi penerus bangsa</t>
  </si>
  <si>
    <t>['visi', 'utama', 'program', 'makan', 'bergizi', 'gratis', 'mbg', 'adalah', 'memastikan', 'semua', 'anak', 'indonesia', 'mendapat', 'asupan', 'gizi', 'yang', 'cukup', 'untuk', 'tumbuh', 'optimalprogram', 'ini', 'menjadi', 'pilar', 'penting', 'dalam', 'upaya', 'pemerintah', 'menjamin', 'kesehatan', 'generasi', 'penerus', 'bangsa']</t>
  </si>
  <si>
    <t>&lt;FreqDist with 32 samples and 32 outcomes&gt;</t>
  </si>
  <si>
    <t>['visi', 'utama', 'program', 'makan', 'bergizi', 'gratis', 'mbg', 'anak', 'indonesia', 'asupan', 'gizi', 'tumbuh', 'optimalprogram', 'pilar', 'upaya', 'pemerintah', 'menjamin', 'kesehatan', 'generasi', 'penerus', 'bangsa']</t>
  </si>
  <si>
    <t>['visi', 'utama', 'program', 'makan', 'gizi', 'gratis', 'mbg', 'anak', 'indonesia', 'asupan', 'gizi', 'tumbuh', 'optimalprogram', 'pilar', 'upaya', 'perintah', 'jamin', 'sehat', 'generasi', 'terus', 'bangsa']</t>
  </si>
  <si>
    <t>program makan bergizi gratis kini menyentuh lansia dan anak jalanan membawa harapan baru bagi jutaan warga indonesia yang membutuhkan uluran tangan pemerintah</t>
  </si>
  <si>
    <t>['program', 'makan', 'bergizi', 'gratis', 'kini', 'menyentuh', 'lansia', 'dan', 'anak', 'jalanan', 'membawa', 'harapan', 'baru', 'bagi', 'jutaan', 'warga', 'indonesia', 'yang', 'membutuhkan', 'uluran', 'tangan', 'pemerintah']</t>
  </si>
  <si>
    <t>['program', 'makan', 'bergizi', 'gratis', 'menyentuh', 'lansia', 'anak', 'jalanan', 'membawa', 'harapan', 'jutaan', 'warga', 'indonesia', 'membutuhkan', 'uluran', 'tangan', 'pemerintah']</t>
  </si>
  <si>
    <t>['program', 'makan', 'gizi', 'gratis', 'sentuh', 'lansia', 'anak', 'jalan', 'bawa', 'harap', 'juta', 'warga', 'indonesia', 'butuh', 'ulur', 'tangan', 'perintah']</t>
  </si>
  <si>
    <t>harapan baru terus mengalir program makan bergizi gratis kini menyentuh lansia pemulung anak jalanan hingga kelompok paling rentan semua berhak makan layak dan bergizi</t>
  </si>
  <si>
    <t>['harapan', 'baru', 'terus', 'mengalir', 'program', 'makan', 'bergizi', 'gratis', 'kini', 'menyentuh', 'lansia', 'pemulung', 'anak', 'jalanan', 'hingga', 'kelompok', 'paling', 'rentan', 'semua', 'berhak', 'makan', 'layak', 'dan', 'bergizi']</t>
  </si>
  <si>
    <t>['harapan', 'mengalir', 'program', 'makan', 'bergizi', 'gratis', 'menyentuh', 'lansia', 'pemulung', 'anak', 'jalanan', 'kelompok', 'rentan', 'berhak', 'makan', 'layak', 'bergizi']</t>
  </si>
  <si>
    <t>['harap', 'alir', 'program', 'makan', 'gizi', 'gratis', 'sentuh', 'lansia', 'pulung', 'anak', 'jalan', 'kelompok', 'rentan', 'hak', 'makan', 'layak', 'gizi']</t>
  </si>
  <si>
    <t>sebuah insiden tragis terekam dalam video yang beredar luas di media sosial memperlihatkan mobil pengangkut makanan program makan bergizi gratis mbg menabrak murid di sdn kalibaru jakarta utara mobil tersebut dilaporkan menerobos pagar sekolah dan menabrak sekelompok</t>
  </si>
  <si>
    <t>['sebuah', 'insiden', 'tragis', 'terekam', 'dalam', 'video', 'yang', 'beredar', 'luas', 'di', 'media', 'sosial', 'memperlihatkan', 'mobil', 'pengangkut', 'makanan', 'program', 'makan', 'bergizi', 'gratis', 'mbg', 'menabrak', 'murid', 'di', 'sdn', 'kalibaru', 'jakarta', 'utara', 'mobil', 'tersebut', 'dilaporkan', 'menerobos', 'pagar', 'sekolah', 'dan', 'menabrak', 'sekelompok']</t>
  </si>
  <si>
    <t>&lt;FreqDist with 34 samples and 37 outcomes&gt;</t>
  </si>
  <si>
    <t>['insiden', 'tragis', 'terekam', 'video', 'beredar', 'luas', 'media', 'sosial', 'mobil', 'pengangkut', 'makanan', 'program', 'makan', 'bergizi', 'gratis', 'mbg', 'menabrak', 'murid', 'sdn', 'kalibaru', 'jakarta', 'utara', 'mobil', 'dilaporkan', 'menerobos', 'pagar', 'sekolah', 'menabrak', 'sekelompok']</t>
  </si>
  <si>
    <t>['insiden', 'tragis', 'terekam', 'video', 'beredar', 'luas', 'media', 'sosial', 'mobil', 'pengangkut', 'makanan', 'program', 'makan', 'bergizi', 'gratis', 'mbg', 'menabrak', 'siswa', 'sdn', 'kalibaru', 'jakarta', 'utara', 'mobil', 'dilaporkan', 'menerobos', 'pagar', 'sekolah', 'menabrak', 'sekelompok']</t>
  </si>
  <si>
    <t>['insiden', 'tragis', 'rekam', 'video', 'edar', 'luas', 'media', 'sosial', 'mobil', 'angkut', 'makan', 'program', 'makan', 'gizi', 'gratis', 'mbg', 'tabrak', 'siswa', 'sdn', 'kalibaru', 'jakarta', 'utara', 'mobil', 'lapor', 'terobos', 'pagar', 'sekolah', 'tabrak', 'kelompok']</t>
  </si>
  <si>
    <t>sebuah mobil operasional program makan bergizi gratis mbg menabrak sejumlah siswa dan satu guru di sdn kalibaru cilincing jakarta utara pada kamis pagi insiden ini menyebabkan orang korban lukaluka terdiri dari siswa dan guru</t>
  </si>
  <si>
    <t>['sebuah', 'mobil', 'operasional', 'program', 'makan', 'bergizi', 'gratis', 'mbg', 'menabrak', 'sejumlah', 'siswa', 'dan', 'satu', 'guru', 'di', 'sdn', 'kalibaru', 'cilincing', 'jakarta', 'utara', 'pada', 'kamis', 'pagi', 'insiden', 'ini', 'menyebabkan', 'orang', 'korban', 'lukaluka', 'terdiri', 'dari', 'siswa', 'dan', 'guru']</t>
  </si>
  <si>
    <t>['mobil', 'operasional', 'program', 'makan', 'bergizi', 'gratis', 'mbg', 'menabrak', 'siswa', 'guru', 'sdn', 'kalibaru', 'cilincing', 'jakarta', 'utara', 'kamis', 'pagi', 'insiden', 'menyebabkan', 'orang', 'korban', 'lukaluka', 'siswa', 'guru']</t>
  </si>
  <si>
    <t>['mobil', 'operasional', 'program', 'makan', 'gizi', 'gratis', 'mbg', 'tabrak', 'siswa', 'guru', 'sdn', 'kalibaru', 'cilincing', 'jakarta', 'utara', 'kamis', 'pagi', 'insiden', 'sebab', 'orang', 'korban', 'lukaluka', 'siswa', 'guru']</t>
  </si>
  <si>
    <t>mobil operasional program makan bergizi gratis mbg menerobos masuk ke halaman sdn kalibaru pagi cilincing jakarta utara dan menabrak orang akibat kejadian ini sebanyak siswa dan guru mengalami luka kepolisian daerah metro jaya menyebut dari total korban</t>
  </si>
  <si>
    <t>['mobil', 'operasional', 'program', 'makan', 'bergizi', 'gratis', 'mbg', 'menerobos', 'masuk', 'ke', 'halaman', 'sdn', 'kalibaru', 'pagi', 'cilincing', 'jakarta', 'utara', 'dan', 'menabrak', 'orang', 'akibat', 'kejadian', 'ini', 'sebanyak', 'siswa', 'dan', 'guru', 'mengalami', 'luka', 'kepolisian', 'daerah', 'metro', 'jaya', 'menyebut', 'dari', 'total', 'korban']</t>
  </si>
  <si>
    <t>['mobil', 'operasional', 'program', 'makan', 'bergizi', 'gratis', 'mbg', 'menerobos', 'masuk', 'halaman', 'sdn', 'kalibaru', 'pagi', 'cilincing', 'jakarta', 'utara', 'menabrak', 'orang', 'akibat', 'kejadian', 'siswa', 'guru', 'mengalami', 'luka', 'kepolisian', 'daerah', 'metro', 'jaya', 'menyebut', 'total', 'korban']</t>
  </si>
  <si>
    <t>['mobil', 'operasional', 'program', 'makan', 'gizi', 'gratis', 'mbg', 'terobos', 'masuk', 'halaman', 'sdn', 'kalibaru', 'pagi', 'cilincing', 'jakarta', 'utara', 'tabrak', 'orang', 'akibat', 'jadi', 'siswa', 'guru', 'alami', 'luka', 'polisi', 'daerah', 'metro', 'jaya', 'sebut', 'total', 'korban']</t>
  </si>
  <si>
    <t>program makan bergizi gratis memberikan energi baru bagi anakanak demi menyongsong masa depan yang sukses dan berguna dukung terus program mbg</t>
  </si>
  <si>
    <t>['program', 'makan', 'bergizi', 'gratis', 'memberikan', 'energi', 'baru', 'bagi', 'anakanak', 'demi', 'menyongsong', 'masa', 'depan', 'yang', 'sukses', 'dan', 'berguna', 'dukung', 'terus', 'program', 'mbg']</t>
  </si>
  <si>
    <t>['program', 'makan', 'bergizi', 'gratis', 'energi', 'anakanak', 'menyongsong', 'sukses', 'berguna', 'dukung', 'program', 'mbg']</t>
  </si>
  <si>
    <t>['program', 'makan', 'gizi', 'gratis', 'energi', 'anakanak', 'songsong', 'sukses', 'guna', 'dukung', 'program', 'mbg']</t>
  </si>
  <si>
    <t>kukar bhabinkamtibmas polsek anggana briptu zidan nur alif menghadiri kegiatan launching satuan pelayanan pemenuhan gizi sppg dan distribusi perdana program makan bergizi gratis mbg periode  yang digelar di yayasan fimizoe mohammad zulkifli</t>
  </si>
  <si>
    <t>['kukar', 'bhabinkamtibmas', 'polsek', 'anggana', 'briptu', 'zidan', 'nur', 'alif', 'menghadiri', 'kegiatan', 'launching', 'satuan', 'pelayanan', 'pemenuhan', 'gizi', 'sppg', 'dan', 'distribusi', 'perdana', 'program', 'makan', 'bergizi', 'gratis', 'mbg', 'periode', 'yang', 'digelar', 'di', 'yayasan', 'fimizoe', 'mohammad', 'zulkifli']</t>
  </si>
  <si>
    <t>['kukar', 'bhabinkamtibmas', 'polsek', 'anggana', 'briptu', 'zidan', 'nur', 'alif', 'menghadiri', 'kegiatan', 'launching', 'satuan', 'pelayanan', 'pemenuhan', 'gizi', 'sppg', 'distribusi', 'perdana', 'program', 'makan', 'bergizi', 'gratis', 'mbg', 'periode', 'digelar', 'yayasan', 'fimizoe', 'mohammad', 'zulkifli']</t>
  </si>
  <si>
    <t>['kukar', 'bhabinkamtibmas', 'polsek', 'anggana', 'briptu', 'zidan', 'nur', 'alif', 'hadir', 'giat', 'launching', 'satu', 'layan', 'penuh', 'gizi', 'sppg', 'distribusi', 'perdana', 'program', 'makan', 'gizi', 'gratis', 'mbg', 'periode', 'gelar', 'yayasan', 'fimizoe', 'mohammad', 'zulkifli']</t>
  </si>
  <si>
    <t>horor di sd cilincing mobil program makan bergizi gratis nyelonong masuk halaman sekolah korban berjatuhansedih</t>
  </si>
  <si>
    <t>['horor', 'di', 'sd', 'cilincing', 'mobil', 'program', 'makan', 'bergizi', 'gratis', 'nyelonong', 'masuk', 'halaman', 'sekolah', 'korban', 'berjatuhansedih']</t>
  </si>
  <si>
    <t>['horor', 'sd', 'cilincing', 'mobil', 'program', 'makan', 'bergizi', 'gratis', 'nyelonong', 'masuk', 'halaman', 'sekolah', 'korban', 'berjatuhansedih']</t>
  </si>
  <si>
    <t>['seram', 'sd', 'cilincing', 'mobil', 'program', 'makan', 'bergizi', 'gratis', 'nyelonong', 'masuk', 'halaman', 'sekolah', 'korban', 'berjatuhansedih']</t>
  </si>
  <si>
    <t>['seram', 'sd', 'cilincing', 'mobil', 'program', 'makan', 'gizi', 'gratis', 'nyelonong', 'masuk', 'halaman', 'sekolah', 'korban', 'berjatuhansedih']</t>
  </si>
  <si>
    <t>danrem makutarama tinjau program makan bergizi gratis di smk bina utama kendal</t>
  </si>
  <si>
    <t>['danrem', 'makutarama', 'tinjau', 'program', 'makan', 'bergizi', 'gratis', 'di', 'smk', 'bina', 'utama', 'kendal']</t>
  </si>
  <si>
    <t>['danrem', 'makutarama', 'tinjau', 'program', 'makan', 'bergizi', 'gratis', 'smk', 'bina', 'utama', 'kendal']</t>
  </si>
  <si>
    <t>['danrem', 'makutarama', 'tinjau', 'program', 'makan', 'gizi', 'gratis', 'smk', 'bina', 'utama', 'kendal']</t>
  </si>
  <si>
    <t>seluruh pelajar sdn kalibaru jakarta utara langsung dipulangkan menyusul insiden tragis mobil pengangkut program makan bergizi gratis mbg menabrak pelajar kamis hal ini disampaikan turah wakil kepala sekolah sdn kalibaru setelah kejadian siswa yang</t>
  </si>
  <si>
    <t>['seluruh', 'pelajar', 'sdn', 'kalibaru', 'jakarta', 'utara', 'langsung', 'dipulangkan', 'menyusul', 'insiden', 'tragis', 'mobil', 'pengangkut', 'program', 'makan', 'bergizi', 'gratis', 'mbg', 'menabrak', 'pelajar', 'kamis', 'hal', 'ini', 'disampaikan', 'turah', 'wakil', 'kepala', 'sekolah', 'sdn', 'kalibaru', 'setelah', 'kejadian', 'siswa', 'yang']</t>
  </si>
  <si>
    <t>['pelajar', 'sdn', 'kalibaru', 'jakarta', 'utara', 'langsung', 'dipulangkan', 'menyusul', 'insiden', 'tragis', 'mobil', 'pengangkut', 'program', 'makan', 'bergizi', 'gratis', 'mbg', 'menabrak', 'pelajar', 'kamis', 'turah', 'wakil', 'kepala', 'sekolah', 'sdn', 'kalibaru', 'kejadian', 'siswa']</t>
  </si>
  <si>
    <t>['ajar', 'sdn', 'kalibaru', 'jakarta', 'utara', 'langsung', 'pulang', 'susul', 'insiden', 'tragis', 'mobil', 'angkut', 'program', 'makan', 'gizi', 'gratis', 'mbg', 'tabrak', 'ajar', 'kamis', 'turah', 'wakil', 'kepala', 'sekolah', 'sdn', 'kalibaru', 'jadi', 'siswa']</t>
  </si>
  <si>
    <t>sufmi dasco juga menyampaikan apresiasi atas dukungan masyarakat terhadap programprogram pemerintahan presiden prabowo subianto terutama program makan bergizi gratis mbg yang digulirkan untuk membangun generasi muda yang lebih sehat dan kuat</t>
  </si>
  <si>
    <t>['sufmi', 'dasco', 'juga', 'menyampaikan', 'apresiasi', 'atas', 'dukungan', 'masyarakat', 'terhadap', 'programprogram', 'pemerintahan', 'presiden', 'prabowo', 'subianto', 'terutama', 'program', 'makan', 'bergizi', 'gratis', 'mbg', 'yang', 'digulirkan', 'untuk', 'membangun', 'generasi', 'muda', 'yang', 'lebih', 'sehat', 'dan', 'kuat']</t>
  </si>
  <si>
    <t>['sufmi', 'dasco', 'apresiasi', 'dukungan', 'masyarakat', 'programprogram', 'pemerintahan', 'presiden', 'prabowo', 'subianto', 'program', 'makan', 'bergizi', 'gratis', 'mbg', 'digulirkan', 'membangun', 'generasi', 'muda', 'sehat', 'kuat']</t>
  </si>
  <si>
    <t>['sufmi', 'dasco', 'apresiasi', 'dukung', 'masyarakat', 'programprogram', 'perintah', 'presiden', 'prabowo', 'subianto', 'program', 'makan', 'gizi', 'gratis', 'mbg', 'gulir', 'bangun', 'generasi', 'muda', 'sehat', 'kuat']</t>
  </si>
  <si>
    <t>program makan bergizi gratis mbg hadir untuk meningkatkan status gizi generasi muda melalui pemberian makanan bergizi gratis dan kolaborasi lintas sektor secara berkelanjutan</t>
  </si>
  <si>
    <t>['program', 'makan', 'bergizi', 'gratis', 'mbg', 'hadir', 'untuk', 'meningkatkan', 'status', 'gizi', 'generasi', 'muda', 'melalui', 'pemberian', 'makanan', 'bergizi', 'gratis', 'dan', 'kolaborasi', 'lintas', 'sektor', 'secara', 'berkelanjutan']</t>
  </si>
  <si>
    <t>&lt;FreqDist with 21 samples and 23 outcomes&gt;</t>
  </si>
  <si>
    <t>['program', 'makan', 'bergizi', 'gratis', 'mbg', 'hadir', 'meningkatkan', 'status', 'gizi', 'generasi', 'muda', 'pemberian', 'makanan', 'bergizi', 'gratis', 'kolaborasi', 'lintas', 'sektor', 'berkelanjutan']</t>
  </si>
  <si>
    <t>['program', 'makan', 'gizi', 'gratis', 'mbg', 'hadir', 'tingkat', 'status', 'gizi', 'generasi', 'muda', 'beri', 'makan', 'gizi', 'gratis', 'kolaborasi', 'lintas', 'sektor', 'lanjut']</t>
  </si>
  <si>
    <t>babinsa koramil bener dampingi pelaksanaan makan bergizi gratis babinsa koramil bener kodim purworejo melakukan pendampingan pembagian program makan bergizi gratis mbg di sekolahan wilayah binaan</t>
  </si>
  <si>
    <t>['babinsa', 'koramil', 'bener', 'dampingi', 'pelaksanaan', 'makan', 'bergizi', 'gratis', 'babinsa', 'koramil', 'bener', 'kodim', 'purworejo', 'melakukan', 'pendampingan', 'pembagian', 'program', 'makan', 'bergizi', 'gratis', 'mbg', 'di', 'sekolahan', 'wilayah', 'binaan']</t>
  </si>
  <si>
    <t>&lt;FreqDist with 19 samples and 25 outcomes&gt;</t>
  </si>
  <si>
    <t>['babinsa', 'koramil', 'bener', 'dampingi', 'pelaksanaan', 'makan', 'bergizi', 'gratis', 'babinsa', 'koramil', 'bener', 'kodim', 'purworejo', 'pendampingan', 'pembagian', 'program', 'makan', 'bergizi', 'gratis', 'mbg', 'sekolahan', 'wilayah', 'binaan']</t>
  </si>
  <si>
    <t>['babinsa', 'koramil', 'benar', 'dampingi', 'pelaksanaan', 'makan', 'bergizi', 'gratis', 'babinsa', 'koramil', 'benar', 'kodim', 'purworejo', 'pendampingan', 'pembagian', 'program', 'makan', 'bergizi', 'gratis', 'mbg', 'sekolahan', 'wilayah', 'binaan']</t>
  </si>
  <si>
    <t>['babinsa', 'koramil', 'benar', 'damping', 'laksana', 'makan', 'gizi', 'gratis', 'babinsa', 'koramil', 'benar', 'kodim', 'purworejo', 'damping', 'bagi', 'program', 'makan', 'gizi', 'gratis', 'mbg', 'sekolah', 'wilayah', 'bina']</t>
  </si>
  <si>
    <t>tragedi mobil pengantar makanan mbg yang tabrak siswa sd di cilincing jakarta utara adalah bentuk kelalaian pemerintah terkait program mbg hentikan program dan evaluasi total program makan bergizi gratis mbg adalah satusatunya cara agar berbagai insiden yang merugikan</t>
  </si>
  <si>
    <t>['tragedi', 'mobil', 'pengantar', 'makanan', 'mbg', 'yang', 'tabrak', 'siswa', 'sd', 'di', 'cilincing', 'jakarta', 'utara', 'adalah', 'bentuk', 'kelalaian', 'pemerintah', 'terkait', 'program', 'mbg', 'hentikan', 'program', 'dan', 'evaluasi', 'total', 'program', 'makan', 'bergizi', 'gratis', 'mbg', 'adalah', 'satusatunya', 'cara', 'agar', 'berbagai', 'insiden', 'yang', 'merugikan']</t>
  </si>
  <si>
    <t>&lt;FreqDist with 32 samples and 38 outcomes&gt;</t>
  </si>
  <si>
    <t>['tragedi', 'mobil', 'pengantar', 'makanan', 'mbg', 'tabrak', 'siswa', 'sd', 'cilincing', 'jakarta', 'utara', 'bentuk', 'kelalaian', 'pemerintah', 'terkait', 'program', 'mbg', 'hentikan', 'program', 'evaluasi', 'total', 'program', 'makan', 'bergizi', 'gratis', 'mbg', 'satusatunya', 'insiden', 'merugikan']</t>
  </si>
  <si>
    <t>['tragedi', 'mobil', 'antar', 'makan', 'mbg', 'tabrak', 'siswa', 'sd', 'cilincing', 'jakarta', 'utara', 'bentuk', 'lalai', 'perintah', 'kait', 'program', 'mbg', 'henti', 'program', 'evaluasi', 'total', 'program', 'makan', 'gizi', 'gratis', 'mbg', 'satusatunya', 'insiden', 'rugi']</t>
  </si>
  <si>
    <t>wakil presiden wapres gibran rakabuming raka meminta aparat penegak hukum mengusut tuntas insiden mobil pengangkut makanan program makan bergizi gratis mbg yang menabrak siswa dan guru sdn kalibaru cilincing jakarta utara kamis kecelakaan tersebut</t>
  </si>
  <si>
    <t>['wakil', 'presiden', 'wapres', 'gibran', 'rakabuming', 'raka', 'meminta', 'aparat', 'penegak', 'hukum', 'mengusut', 'tuntas', 'insiden', 'mobil', 'pengangkut', 'makanan', 'program', 'makan', 'bergizi', 'gratis', 'mbg', 'yang', 'menabrak', 'siswa', 'dan', 'guru', 'sdn', 'kalibaru', 'cilincing', 'jakarta', 'utara', 'kamis', 'kecelakaan', 'tersebut']</t>
  </si>
  <si>
    <t>['wakil', 'presiden', 'wapres', 'gibran', 'rakabuming', 'raka', 'aparat', 'penegak', 'hukum', 'mengusut', 'tuntas', 'insiden', 'mobil', 'pengangkut', 'makanan', 'program', 'makan', 'bergizi', 'gratis', 'mbg', 'menabrak', 'siswa', 'guru', 'sdn', 'kalibaru', 'cilincing', 'jakarta', 'utara', 'kamis', 'kecelakaan']</t>
  </si>
  <si>
    <t>['wakil', 'presiden', 'wapres', 'gibran', 'rakabuming', 'raka', 'aparat', 'tegak', 'hukum', 'usut', 'tuntas', 'insiden', 'mobil', 'angkut', 'makan', 'program', 'makan', 'gizi', 'gratis', 'mbg', 'tabrak', 'siswa', 'guru', 'sdn', 'kalibaru', 'cilincing', 'jakarta', 'utara', 'kamis', 'celaka']</t>
  </si>
  <si>
    <t>horor di sd cilincing mobil program makan bergizi gratis nyelonong masuk halaman sekolah korban berjatuhanparah sih drivernya</t>
  </si>
  <si>
    <t>['horor', 'di', 'sd', 'cilincing', 'mobil', 'program', 'makan', 'bergizi', 'gratis', 'nyelonong', 'masuk', 'halaman', 'sekolah', 'korban', 'berjatuhanparah', 'sih', 'drivernya']</t>
  </si>
  <si>
    <t>['horor', 'sd', 'cilincing', 'mobil', 'program', 'makan', 'bergizi', 'gratis', 'nyelonong', 'masuk', 'halaman', 'sekolah', 'korban', 'berjatuhanparah', 'drivernya']</t>
  </si>
  <si>
    <t>['seram', 'sd', 'cilincing', 'mobil', 'program', 'makan', 'bergizi', 'gratis', 'nyelonong', 'masuk', 'halaman', 'sekolah', 'korban', 'berjatuhanparah', 'drivernya']</t>
  </si>
  <si>
    <t>['seram', 'sd', 'cilincing', 'mobil', 'program', 'makan', 'gizi', 'gratis', 'nyelonong', 'masuk', 'halaman', 'sekolah', 'korban', 'berjatuhanparah', 'drivernya']</t>
  </si>
  <si>
    <t>wakil presiden gibran rakabuming raka menyambangi rsud cilincing dan rsud koja jakarta utara kamis sore kedatangannya dilakukan untuk menjenguk para pelajar sdn kalibaru yang menjadi korban tabrakan mobil pengangkut program makan bergizi gratis mbg</t>
  </si>
  <si>
    <t>['wakil', 'presiden', 'gibran', 'rakabuming', 'raka', 'menyambangi', 'rsud', 'cilincing', 'dan', 'rsud', 'koja', 'jakarta', 'utara', 'kamis', 'sore', 'kedatangannya', 'dilakukan', 'untuk', 'menjenguk', 'para', 'pelajar', 'sdn', 'kalibaru', 'yang', 'menjadi', 'korban', 'tabrakan', 'mobil', 'pengangkut', 'program', 'makan', 'bergizi', 'gratis', 'mbg']</t>
  </si>
  <si>
    <t>['wakil', 'presiden', 'gibran', 'rakabuming', 'raka', 'menyambangi', 'rsud', 'cilincing', 'rsud', 'koja', 'jakarta', 'utara', 'kamis', 'sore', 'kedatangannya', 'menjenguk', 'pelajar', 'sdn', 'kalibaru', 'korban', 'tabrakan', 'mobil', 'pengangkut', 'program', 'makan', 'bergizi', 'gratis', 'mbg']</t>
  </si>
  <si>
    <t>['wakil', 'presiden', 'gibran', 'rakabuming', 'raka', 'sambang', 'rsud', 'cilincing', 'rsud', 'koja', 'jakarta', 'utara', 'kamis', 'sore', 'datang', 'jenguk', 'ajar', 'sdn', 'kalibaru', 'korban', 'tabrak', 'mobil', 'angkut', 'program', 'makan', 'gizi', 'gratis', 'mbg']</t>
  </si>
  <si>
    <t>kemendikdasmen dorong penguatan implementasi program makan bergizi gratis</t>
  </si>
  <si>
    <t>['kemendikdasmen', 'dorong', 'penguatan', 'implementasi', 'program', 'makan', 'bergizi', 'gratis']</t>
  </si>
  <si>
    <t>['kemendikdasmen', 'dorong', 'kuat', 'implementasi', 'program', 'makan', 'gizi', 'gratis']</t>
  </si>
  <si>
    <t>menginjak setahun implementasi program mbg sudah semestinya evaluasi total dilakukan untuk mengukur capaian secara objektif celios mengundang seluruh masyarakat untuk hadir dalam peluncuran studi mengenai evaluasi tahun program makan bergizi gratis dengan beberapa temuan</t>
  </si>
  <si>
    <t>['menginjak', 'setahun', 'implementasi', 'program', 'mbg', 'sudah', 'semestinya', 'evaluasi', 'total', 'dilakukan', 'untuk', 'mengukur', 'capaian', 'secara', 'objektif', 'celios', 'mengundang', 'seluruh', 'masyarakat', 'untuk', 'hadir', 'dalam', 'peluncuran', 'studi', 'mengenai', 'evaluasi', 'tahun', 'program', 'makan', 'bergizi', 'gratis', 'dengan', 'beberapa', 'temuan']</t>
  </si>
  <si>
    <t>['menginjak', 'setahun', 'implementasi', 'program', 'mbg', 'semestinya', 'evaluasi', 'total', 'mengukur', 'capaian', 'objektif', 'celios', 'mengundang', 'masyarakat', 'hadir', 'peluncuran', 'studi', 'evaluasi', 'program', 'makan', 'bergizi', 'gratis', 'temuan']</t>
  </si>
  <si>
    <t>['injak', 'tahun', 'implementasi', 'program', 'mbg', 'mesti', 'evaluasi', 'total', 'ukur', 'capai', 'objektif', 'celios', 'undang', 'masyarakat', 'hadir', 'luncur', 'studi', 'evaluasi', 'program', 'makan', 'gizi', 'gratis', 'temu']</t>
  </si>
  <si>
    <t>menko pm cak imin merespons insiden mobil sppg pengangkut makanan program makan bergizi gratis mbg yang menabrak siswa dan guru di lingkungan sdn kalibaru</t>
  </si>
  <si>
    <t>['menko', 'pm', 'cak', 'imin', 'merespons', 'insiden', 'mobil', 'sppg', 'pengangkut', 'makanan', 'program', 'makan', 'bergizi', 'gratis', 'mbg', 'yang', 'menabrak', 'siswa', 'dan', 'guru', 'di', 'lingkungan', 'sdn', 'kalibaru']</t>
  </si>
  <si>
    <t>['menko', 'pm', 'cak', 'imin', 'merespons', 'insiden', 'mobil', 'sppg', 'pengangkut', 'makanan', 'program', 'makan', 'bergizi', 'gratis', 'mbg', 'menabrak', 'siswa', 'guru', 'lingkungan', 'sdn', 'kalibaru']</t>
  </si>
  <si>
    <t>['menko', 'pm', 'cak', 'imin', 'respons', 'insiden', 'mobil', 'sppg', 'angkut', 'makan', 'program', 'makan', 'gizi', 'gratis', 'mbg', 'tabrak', 'siswa', 'guru', 'lingkung', 'sdn', 'kalibaru']</t>
  </si>
  <si>
    <t>presiden prabowo perluas manfaat program makan bergizi gratis guru swasta hingga honorer kini termasuk penerima</t>
  </si>
  <si>
    <t>['presiden', 'prabowo', 'perluas', 'manfaat', 'program', 'makan', 'bergizi', 'gratis', 'guru', 'swasta', 'hingga', 'honorer', 'kini', 'termasuk', 'penerima']</t>
  </si>
  <si>
    <t>['presiden', 'prabowo', 'perluas', 'manfaat', 'program', 'makan', 'bergizi', 'gratis', 'guru', 'swasta', 'honorer', 'penerima']</t>
  </si>
  <si>
    <t>['presiden', 'prabowo', 'luas', 'manfaat', 'program', 'makan', 'gizi', 'gratis', 'guru', 'swasta', 'honorer', 'terima']</t>
  </si>
  <si>
    <t>kirain dulu mbg ini program peningkatan gizi masyarakat ternyata peningkatan lifestyle bgn lahir dari janji kampanye mulia anakanak indonesia harus makan bergizi stunting harus turun generasi emas bgn dibentuk khusus untuk program makan bergizi gratis yang dijanjikan</t>
  </si>
  <si>
    <t>['kirain', 'dulu', 'mbg', 'ini', 'program', 'peningkatan', 'gizi', 'masyarakat', 'ternyata', 'peningkatan', 'lifestyle', 'bgn', 'lahir', 'dari', 'janji', 'kampanye', 'mulia', 'anakanak', 'indonesia', 'harus', 'makan', 'bergizi', 'stunting', 'harus', 'turun', 'generasi', 'emas', 'bgn', 'dibentuk', 'khusus', 'untuk', 'program', 'makan', 'bergizi', 'gratis', 'yang', 'dijanjikan']</t>
  </si>
  <si>
    <t>['kirain', 'mbg', 'program', 'peningkatan', 'gizi', 'masyarakat', 'peningkatan', 'lifestyle', 'bgn', 'lahir', 'janji', 'kampanye', 'mulia', 'anakanak', 'indonesia', 'makan', 'bergizi', 'stunting', 'turun', 'generasi', 'emas', 'bgn', 'dibentuk', 'khusus', 'program', 'makan', 'bergizi', 'gratis', 'dijanjikan']</t>
  </si>
  <si>
    <t>['kirain', 'mbg', 'program', 'tingkat', 'gizi', 'masyarakat', 'tingkat', 'lifestyle', 'bgn', 'lahir', 'janji', 'kampanye', 'mulia', 'anakanak', 'indonesia', 'makan', 'gizi', 'stunting', 'turun', 'generasi', 'emas', 'bgn', 'bentuk', 'khusus', 'program', 'makan', 'gizi', 'gratis', 'janji']</t>
  </si>
  <si>
    <t>rp triliun buat program makan bergizi gratis katanya demi anakanak biar gak kekurangan gizi tapi yang dibelanjain kaos kaki semir sepatu barangbarang random ini program gizi atau proyek gragas di lapangan masih banyak anak sekolah pakai kaos kaki bolong diikat</t>
  </si>
  <si>
    <t>['rp', 'triliun', 'buat', 'program', 'makan', 'bergizi', 'gratis', 'katanya', 'demi', 'anakanak', 'biar', 'gak', 'kekurangan', 'gizi', 'tapi', 'yang', 'dibelanjain', 'kaos', 'kaki', 'semir', 'sepatu', 'barangbarang', 'random', 'ini', 'program', 'gizi', 'atau', 'proyek', 'gragas', 'di', 'lapangan', 'masih', 'banyak', 'anak', 'sekolah', 'pakai', 'kaos', 'kaki', 'bolong', 'diikat']</t>
  </si>
  <si>
    <t>['rp', 'triliun', 'program', 'makan', 'bergizi', 'gratis', 'anakanak', 'kekurangan', 'gizi', 'dibelanjain', 'kaos', 'kaki', 'semir', 'sepatu', 'barangbarang', 'random', 'program', 'gizi', 'proyek', 'gragas', 'lapangan', 'anak', 'sekolah', 'pakai', 'kaos', 'kaki', 'bolong', 'diikat']</t>
  </si>
  <si>
    <t>['rp', 'triliun', 'program', 'makan', 'gizi', 'gratis', 'anakanak', 'kurang', 'gizi', 'dibelanjain', 'kaos', 'kaki', 'semir', 'sepatu', 'barangbarang', 'random', 'program', 'gizi', 'proyek', 'gragas', 'lapang', 'anak', 'sekolah', 'pakai', 'kaos', 'kaki', 'bolong', 'ikat']</t>
  </si>
  <si>
    <t>arah kebijakan program makan bergizi gratis mbg kini mengalami pergeseran signifikan presiden prabowo subianto meminta agar program unggulan tersebut tidak lagi diberikan secara universal melainkan difokuskan secara spesifik kepada anakanak yang mengalami kekurangan gizi dan</t>
  </si>
  <si>
    <t>['arah', 'kebijakan', 'program', 'makan', 'bergizi', 'gratis', 'mbg', 'kini', 'mengalami', 'pergeseran', 'signifikan', 'presiden', 'prabowo', 'subianto', 'meminta', 'agar', 'program', 'unggulan', 'tersebut', 'tidak', 'lagi', 'diberikan', 'secara', 'universal', 'melainkan', 'difokuskan', 'secara', 'spesifik', 'kepada', 'anakanak', 'yang', 'mengalami', 'kekurangan', 'gizi', 'dan']</t>
  </si>
  <si>
    <t>['arah', 'kebijakan', 'program', 'makan', 'bergizi', 'gratis', 'mbg', 'mengalami', 'pergeseran', 'signifikan', 'presiden', 'prabowo', 'subianto', 'program', 'unggulan', 'universal', 'difokuskan', 'spesifik', 'anakanak', 'mengalami', 'kekurangan', 'gizi']</t>
  </si>
  <si>
    <t>['arah', 'bijak', 'program', 'makan', 'gizi', 'gratis', 'mbg', 'alami', 'geser', 'signifikan', 'presiden', 'prabowo', 'subianto', 'program', 'unggul', 'universal', 'fokus', 'spesifik', 'anakanak', 'alami', 'kurang', 'gizi']</t>
  </si>
  <si>
    <t>pemerintah menyiapkan unit rumah subsidi bagi karyawan program makan bergizi gratis mbg melalui skema fasilitas likuiditas pembiayaan perumahan flpp dengan uang muka mulai sekitar rp juta kebijakan ini untuk meningkatkan kesejahteraan karyawan sekaligus mendukung</t>
  </si>
  <si>
    <t>['pemerintah', 'menyiapkan', 'unit', 'rumah', 'subsidi', 'bagi', 'karyawan', 'program', 'makan', 'bergizi', 'gratis', 'mbg', 'melalui', 'skema', 'fasilitas', 'likuiditas', 'pembiayaan', 'perumahan', 'flpp', 'dengan', 'uang', 'muka', 'mulai', 'sekitar', 'rp', 'juta', 'kebijakan', 'ini', 'untuk', 'meningkatkan', 'kesejahteraan', 'karyawan', 'sekaligus', 'mendukung']</t>
  </si>
  <si>
    <t>['pemerintah', 'unit', 'rumah', 'subsidi', 'karyawan', 'program', 'makan', 'bergizi', 'gratis', 'mbg', 'skema', 'fasilitas', 'likuiditas', 'pembiayaan', 'perumahan', 'flpp', 'uang', 'muka', 'rp', 'juta', 'kebijakan', 'meningkatkan', 'kesejahteraan', 'karyawan', 'mendukung']</t>
  </si>
  <si>
    <t>['perintah', 'unit', 'rumah', 'subsidi', 'karyawan', 'program', 'makan', 'gizi', 'gratis', 'mbg', 'skema', 'fasilitas', 'likuiditas', 'biaya', 'rumah', 'flpp', 'uang', 'muka', 'rp', 'juta', 'bijak', 'tingkat', 'sejahtera', 'karyawan', 'dukung']</t>
  </si>
  <si>
    <t>seorang kreator viral menyoroti dampak program makan bergizi gratis mbg melalui drama tentang warung sekolah yang kehilangan pelanggan sejumlah umkm mengaku omzet menurun sejak program berjalan selain itu distribusi bahan pokok makin terpusat ke pemasok besar harga di</t>
  </si>
  <si>
    <t>['seorang', 'kreator', 'viral', 'menyoroti', 'dampak', 'program', 'makan', 'bergizi', 'gratis', 'mbg', 'melalui', 'drama', 'tentang', 'warung', 'sekolah', 'yang', 'kehilangan', 'pelanggan', 'sejumlah', 'umkm', 'mengaku', 'omzet', 'menurun', 'sejak', 'program', 'berjalan', 'selain', 'itu', 'distribusi', 'bahan', 'pokok', 'makin', 'terpusat', 'ke', 'pemasok', 'besar', 'harga', 'di']</t>
  </si>
  <si>
    <t>['kreator', 'viral', 'menyoroti', 'dampak', 'program', 'makan', 'bergizi', 'gratis', 'mbg', 'drama', 'warung', 'sekolah', 'kehilangan', 'pelanggan', 'umkm', 'mengaku', 'omzet', 'menurun', 'program', 'berjalan', 'distribusi', 'bahan', 'pokok', 'terpusat', 'pemasok', 'harga']</t>
  </si>
  <si>
    <t>['kreator', 'viral', 'sorot', 'dampak', 'program', 'makan', 'gizi', 'gratis', 'mbg', 'drama', 'warung', 'sekolah', 'hilang', 'langgan', 'umkm', 'aku', 'omzet', 'turun', 'program', 'jalan', 'distribusi', 'bahan', 'pokok', 'pusat', 'pasok', 'harga']</t>
  </si>
  <si>
    <t>kepala bgn menyebut ratarata iq indonesia dan menargetkan peningkatan lewat program makan bergizi gratis program ini fokus pada hari pertama dan usia sekolah untuk mencegah stunting serta mendukung tumbuh kembang baca selengkapnya rk</t>
  </si>
  <si>
    <t>['kepala', 'bgn', 'menyebut', 'ratarata', 'iq', 'indonesia', 'dan', 'menargetkan', 'peningkatan', 'lewat', 'program', 'makan', 'bergizi', 'gratis', 'program', 'ini', 'fokus', 'pada', 'hari', 'pertama', 'dan', 'usia', 'sekolah', 'untuk', 'mencegah', 'stunting', 'serta', 'mendukung', 'tumbuh', 'kembang', 'baca', 'selengkapnya', 'rk']</t>
  </si>
  <si>
    <t>&lt;FreqDist with 31 samples and 33 outcomes&gt;</t>
  </si>
  <si>
    <t>['kepala', 'bgn', 'menyebut', 'ratarata', 'iq', 'indonesia', 'menargetkan', 'peningkatan', 'program', 'makan', 'bergizi', 'gratis', 'program', 'fokus', 'usia', 'sekolah', 'mencegah', 'stunting', 'mendukung', 'tumbuh', 'kembang', 'baca', 'selengkapnya', 'rk']</t>
  </si>
  <si>
    <t>['kepala', 'bgn', 'sebut', 'ratarata', 'iq', 'indonesia', 'target', 'tingkat', 'program', 'makan', 'gizi', 'gratis', 'program', 'fokus', 'usia', 'sekolah', 'cegah', 'stunting', 'dukung', 'tumbuh', 'kembang', 'baca', 'lengkap', 'rk']</t>
  </si>
  <si>
    <t>kepala badan gizi nasional bgn dadan hindayana mengatakan pemerintah melakukan intervensi menyeluruh kepada anakanak indonesia melalui program makan bergizi gratis mbg baca selengkapnya di ac</t>
  </si>
  <si>
    <t>['kepala', 'badan', 'gizi', 'nasional', 'bgn', 'dadan', 'hindayana', 'mengatakan', 'pemerintah', 'melakukan', 'intervensi', 'menyeluruh', 'kepada', 'anakanak', 'indonesia', 'melalui', 'program', 'makan', 'bergizi', 'gratis', 'mbg', 'baca', 'selengkapnya', 'di', 'ac']</t>
  </si>
  <si>
    <t>&lt;FreqDist with 25 samples and 25 outcomes&gt;</t>
  </si>
  <si>
    <t>['kepala', 'badan', 'gizi', 'nasional', 'bgn', 'dadan', 'hindayana', 'pemerintah', 'intervensi', 'anakanak', 'indonesia', 'program', 'makan', 'bergizi', 'gratis', 'mbg', 'baca', 'selengkapnya', 'ac']</t>
  </si>
  <si>
    <t>['kepala', 'badan', 'gizi', 'nasional', 'bgn', 'dad', 'hindayana', 'perintah', 'intervensi', 'anakanak', 'indonesia', 'program', 'makan', 'gizi', 'gratis', 'mbg', 'baca', 'lengkap', 'ac']</t>
  </si>
  <si>
    <t>momen haru perpisahan siswa yg putus sekolah karena faktor ekonomi di tengah besarnya anggaran program seperti makan bergizi gratis mbg yang mencapai triliunan rupiah realitas di lapangan justru menunjukkan cerita yang berbeda ikhsan siswa kelas viii di smp negeri</t>
  </si>
  <si>
    <t>['momen', 'haru', 'perpisahan', 'siswa', 'yg', 'putus', 'sekolah', 'karena', 'faktor', 'ekonomi', 'di', 'tengah', 'besarnya', 'anggaran', 'program', 'seperti', 'makan', 'bergizi', 'gratis', 'mbg', 'yang', 'mencapai', 'triliunan', 'rupiah', 'realitas', 'di', 'lapangan', 'justru', 'menunjukkan', 'cerita', 'yang', 'berbeda', 'ikhsan', 'siswa', 'kelas', 'viii', 'di', 'smp', 'negeri']</t>
  </si>
  <si>
    <t>['momen', 'haru', 'perpisahan', 'siswa', 'putus', 'sekolah', 'faktor', 'ekonomi', 'besarnya', 'anggaran', 'program', 'makan', 'bergizi', 'gratis', 'mbg', 'mencapai', 'triliunan', 'rupiah', 'realitas', 'lapangan', 'cerita', 'berbeda', 'ikhsan', 'siswa', 'kelas', 'viii', 'smp', 'negeri']</t>
  </si>
  <si>
    <t>['peristiwa', 'haru', 'perpisahan', 'siswa', 'putus', 'sekolah', 'faktor', 'ekonomi', 'besarnya', 'anggaran', 'program', 'makan', 'bergizi', 'gratis', 'mbg', 'mencapai', 'triliunan', 'rupiah', 'realitas', 'lapangan', 'cerita', 'berbeda', 'ikhsan', 'siswa', 'kelas', 'viii', 'smp', 'negeri']</t>
  </si>
  <si>
    <t>['peristiwa', 'haru', 'pisah', 'siswa', 'putus', 'sekolah', 'faktor', 'ekonomi', 'besar', 'anggar', 'program', 'makan', 'gizi', 'gratis', 'mbg', 'capai', 'triliun', 'rupiah', 'realitas', 'lapang', 'cerita', 'beda', 'ikhsan', 'siswa', 'kelas', 'viii', 'smp', 'negeri']</t>
  </si>
  <si>
    <t>seorang santri yatim bernama muhammad zainuddin alwi merasakan manfaat program makan bergizi gratis mbg setelah bergabung di dapur sppg klodran sejak melalui pekerjaannya ia memperoleh penghasilan untuk membantu keluarga sekaligus menambah keterampilan sebagai bekal di</t>
  </si>
  <si>
    <t>['seorang', 'santri', 'yatim', 'bernama', 'muhammad', 'zainuddin', 'alwi', 'merasakan', 'manfaat', 'program', 'makan', 'bergizi', 'gratis', 'mbg', 'setelah', 'bergabung', 'di', 'dapur', 'sppg', 'klodran', 'sejak', 'melalui', 'pekerjaannya', 'ia', 'memperoleh', 'penghasilan', 'untuk', 'membantu', 'keluarga', 'sekaligus', 'menambah', 'keterampilan', 'sebagai', 'bekal', 'di']</t>
  </si>
  <si>
    <t>['santri', 'yatim', 'bernama', 'muhammad', 'zainuddin', 'alwi', 'merasakan', 'manfaat', 'program', 'makan', 'bergizi', 'gratis', 'mbg', 'bergabung', 'dapur', 'sppg', 'klodran', 'pekerjaannya', 'memperoleh', 'penghasilan', 'membantu', 'keluarga', 'menambah', 'keterampilan', 'bekal']</t>
  </si>
  <si>
    <t>['santri', 'yatim', 'nama', 'muhammad', 'zainuddin', 'alwi', 'rasa', 'manfaat', 'program', 'makan', 'gizi', 'gratis', 'mbg', 'gabung', 'dapur', 'sppg', 'klodran', 'kerja', 'oleh', 'hasil', 'bantu', 'keluarga', 'tambah', 'terampil', 'bekal']</t>
  </si>
  <si>
    <t>harga sayur stabil petani boyolali dukung keberlanjutan mbg boyolali april program makan bergizi gratis mbg mulai berdampak pada stabilitas harga sayur di tingkat petani di boyolali karisudin petani di kecamatan selo menyebut komoditas seperti bawang merah kini</t>
  </si>
  <si>
    <t>['harga', 'sayur', 'stabil', 'petani', 'boyolali', 'dukung', 'keberlanjutan', 'mbg', 'boyolali', 'april', 'program', 'makan', 'bergizi', 'gratis', 'mbg', 'mulai', 'berdampak', 'pada', 'stabilitas', 'harga', 'sayur', 'di', 'tingkat', 'petani', 'di', 'boyolali', 'karisudin', 'petani', 'di', 'kecamatan', 'selo', 'menyebut', 'komoditas', 'seperti', 'bawang', 'merah', 'kini']</t>
  </si>
  <si>
    <t>['harga', 'sayur', 'stabil', 'petani', 'boyolali', 'dukung', 'keberlanjutan', 'mbg', 'boyolali', 'april', 'program', 'makan', 'bergizi', 'gratis', 'mbg', 'berdampak', 'stabilitas', 'harga', 'sayur', 'tingkat', 'petani', 'boyolali', 'karisudin', 'petani', 'kecamatan', 'selo', 'menyebut', 'komoditas', 'bawang', 'merah']</t>
  </si>
  <si>
    <t>['harga', 'sayur', 'stabil', 'tani', 'boyolali', 'dukung', 'lanjut', 'mbg', 'boyolali', 'april', 'program', 'makan', 'gizi', 'gratis', 'mbg', 'dampak', 'stabilitas', 'harga', 'sayur', 'tingkat', 'tani', 'boyolali', 'karisudin', 'tani', 'camat', 'selo', 'sebut', 'komoditas', 'bawang', 'merah']</t>
  </si>
  <si>
    <t>di balik senyum anakanak ada harapan besar untuk negeri ini polri turut mendampingi program makan bergizi gratis sebagai bentuk kepedulian terhadap tumbuh kembang generasi bangsa polri terus menjamin ketahanan pangan masyarakat dan</t>
  </si>
  <si>
    <t>['di', 'balik', 'senyum', 'anakanak', 'ada', 'harapan', 'besar', 'untuk', 'negeri', 'ini', 'polri', 'turut', 'mendampingi', 'program', 'makan', 'bergizi', 'gratis', 'sebagai', 'bentuk', 'kepedulian', 'terhadap', 'tumbuh', 'kembang', 'generasi', 'bangsa', 'polri', 'terus', 'menjamin', 'ketahanan', 'pangan', 'masyarakat', 'dan']</t>
  </si>
  <si>
    <t>['senyum', 'anakanak', 'harapan', 'negeri', 'polri', 'mendampingi', 'program', 'makan', 'bergizi', 'gratis', 'bentuk', 'kepedulian', 'tumbuh', 'kembang', 'generasi', 'bangsa', 'polri', 'menjamin', 'ketahanan', 'pangan', 'masyarakat']</t>
  </si>
  <si>
    <t>['senyum', 'anakanak', 'harap', 'negeri', 'polri', 'damping', 'program', 'makan', 'gizi', 'gratis', 'bentuk', 'peduli', 'tumbuh', 'kembang', 'generasi', 'bangsa', 'polri', 'jamin', 'tahan', 'pangan', 'masyarakat']</t>
  </si>
  <si>
    <t>diterpa masalah bertubitubi uya kuya kembali harus menghadapi ujian baru setelah sebelumnya rumahnya sempat dijarah akibat hoax yang viral ia lagilagi jadi sasaran kabar bohongkali ini dituding memiliki dapur program makan bergizi gratis mbg situasi ini membuat</t>
  </si>
  <si>
    <t>['diterpa', 'masalah', 'bertubitubi', 'uya', 'kuya', 'kembali', 'harus', 'menghadapi', 'ujian', 'baru', 'setelah', 'sebelumnya', 'rumahnya', 'sempat', 'dijarah', 'akibat', 'hoax', 'yang', 'viral', 'ia', 'lagilagi', 'jadi', 'sasaran', 'kabar', 'bohongkali', 'ini', 'dituding', 'memiliki', 'dapur', 'program', 'makan', 'bergizi', 'gratis', 'mbg', 'situasi', 'ini', 'membuat']</t>
  </si>
  <si>
    <t>['diterpa', 'bertubitubi', 'uya', 'kuya', 'menghadapi', 'ujian', 'rumahnya', 'dijarah', 'akibat', 'hoax', 'viral', 'lagilagi', 'sasaran', 'kabar', 'bohongkali', 'dituding', 'memiliki', 'dapur', 'program', 'makan', 'bergizi', 'gratis', 'mbg', 'situasi']</t>
  </si>
  <si>
    <t>['terpa', 'bertubitubi', 'uya', 'kuya', 'hadap', 'uji', 'rumah', 'jarah', 'akibat', 'hoax', 'viral', 'lagilagi', 'sasar', 'kabar', 'bohongkali', 'tuding', 'milik', 'dapur', 'program', 'makan', 'gizi', 'gratis', 'mbg', 'situasi']</t>
  </si>
  <si>
    <t>program makan bergizi gratis mbg yang digulirkan presiden prabowo subianto memberikan dampak positif bagi pelaku usaha kecil di daerah salah satunya dirasakan oleh sholikin perajin tempe asal desa semen kabupaten ngawi jawa timur yang mencatat peningkatan produksi</t>
  </si>
  <si>
    <t>['program', 'makan', 'bergizi', 'gratis', 'mbg', 'yang', 'digulirkan', 'presiden', 'prabowo', 'subianto', 'memberikan', 'dampak', 'positif', 'bagi', 'pelaku', 'usaha', 'kecil', 'di', 'daerah', 'salah', 'satunya', 'dirasakan', 'oleh', 'sholikin', 'perajin', 'tempe', 'asal', 'desa', 'semen', 'kabupaten', 'ngawi', 'jawa', 'timur', 'yang', 'mencatat', 'peningkatan', 'produksi']</t>
  </si>
  <si>
    <t>['program', 'makan', 'bergizi', 'gratis', 'mbg', 'digulirkan', 'presiden', 'prabowo', 'subianto', 'dampak', 'positif', 'pelaku', 'usaha', 'daerah', 'salah', 'satunya', 'dirasakan', 'sholikin', 'perajin', 'tempe', 'desa', 'semen', 'kabupaten', 'ngawi', 'jawa', 'timur', 'mencatat', 'peningkatan', 'produksi']</t>
  </si>
  <si>
    <t>['program', 'makan', 'gizi', 'gratis', 'mbg', 'gulir', 'presiden', 'prabowo', 'subianto', 'dampak', 'positif', 'laku', 'usaha', 'daerah', 'salah', 'satu', 'rasa', 'sholikin', 'rajin', 'tempe', 'desa', 'semen', 'kabupaten', 'ngawi', 'jawa', 'timur', 'catat', 'tingkat', 'produksi']</t>
  </si>
  <si>
    <t>lonjakan biaya ukt di ptn saat ini menjadi ancaman nyata yang mengubah pendidikan tinggi dari hak warga negara menjadi privilege kelompok elite ketika anggaran pendidikan justru dialokasikan untuk program makan bergizi gratis mbg negara tampak sedang melakukan kebijakan</t>
  </si>
  <si>
    <t>['lonjakan', 'biaya', 'ukt', 'di', 'ptn', 'saat', 'ini', 'menjadi', 'ancaman', 'nyata', 'yang', 'mengubah', 'pendidikan', 'tinggi', 'dari', 'hak', 'warga', 'negara', 'menjadi', 'privilege', 'kelompok', 'elite', 'ketika', 'anggaran', 'pendidikan', 'justru', 'dialokasikan', 'untuk', 'program', 'makan', 'bergizi', 'gratis', 'mbg', 'negara', 'tampak', 'sedang', 'melakukan', 'kebijakan']</t>
  </si>
  <si>
    <t>['lonjakan', 'biaya', 'ukt', 'ptn', 'ancaman', 'nyata', 'mengubah', 'pendidikan', 'hak', 'warga', 'negara', 'privilege', 'kelompok', 'elite', 'anggaran', 'pendidikan', 'dialokasikan', 'program', 'makan', 'bergizi', 'gratis', 'mbg', 'negara', 'kebijakan']</t>
  </si>
  <si>
    <t>['lonjak', 'biaya', 'ukt', 'ptn', 'ancam', 'nyata', 'ubah', 'didik', 'hak', 'warga', 'negara', 'privilege', 'kelompok', 'elite', 'anggar', 'didik', 'alokasi', 'program', 'makan', 'gizi', 'gratis', 'mbg', 'negara', 'bijak']</t>
  </si>
  <si>
    <t>dulu cuma makan nasi sama garam sekarang anakanak bisa menikmati buah susu dan makanan bergizi berkat program mbg perubahan kecil yang membawa harapan besar untuk masa depan generasi bangsa pagii</t>
  </si>
  <si>
    <t>['dulu', 'cuma', 'makan', 'nasi', 'sama', 'garam', 'sekarang', 'anakanak', 'bisa', 'menikmati', 'buah', 'susu', 'dan', 'makanan', 'bergizi', 'berkat', 'program', 'mbg', 'perubahan', 'kecil', 'yang', 'membawa', 'harapan', 'besar', 'untuk', 'masa', 'depan', 'generasi', 'bangsa', 'pagii']</t>
  </si>
  <si>
    <t>&lt;FreqDist with 30 samples and 30 outcomes&gt;</t>
  </si>
  <si>
    <t>['makan', 'nasi', 'garam', 'anakanak', 'menikmati', 'buah', 'susu', 'makanan', 'bergizi', 'berkat', 'program', 'mbg', 'perubahan', 'membawa', 'harapan', 'generasi', 'bangsa', 'pagii']</t>
  </si>
  <si>
    <t>['makan', 'nasi', 'garam', 'anakanak', 'menikmati', 'buah', 'susu', 'makanan', 'bergizi', 'berkat', 'program', 'mbg', 'perubahan', 'membawa', 'harapan', 'generasi', 'bangsa', 'pagi']</t>
  </si>
  <si>
    <t>['makan', 'nasi', 'garam', 'anakanak', 'nikmat', 'buah', 'susu', 'makan', 'gizi', 'berkat', 'program', 'mbg', 'ubah', 'bawa', 'harap', 'generasi', 'bangsa', 'pagi']</t>
  </si>
  <si>
    <t>efektivitas makan bergizi gratis terlihat dari dampak positif yang dirasakan langsung oleh masyarakat</t>
  </si>
  <si>
    <t>['efektivitas', 'makan', 'bergizi', 'gratis', 'terlihat', 'dari', 'dampak', 'positif', 'yang', 'dirasakan', 'langsung', 'oleh', 'masyarakat']</t>
  </si>
  <si>
    <t>['efektivitas', 'makan', 'bergizi', 'gratis', 'dampak', 'positif', 'dirasakan', 'langsung', 'masyarakat']</t>
  </si>
  <si>
    <t>['efektivitas', 'makan', 'gizi', 'gratis', 'dampak', 'positif', 'rasa', 'langsung', 'masyarakat']</t>
  </si>
  <si>
    <t>kepala badan gizi nasional bgn dadan hindayana meluruskan bahwa pernyataannya terkait kebutuhan ekor sapi untuk program makan bergizi gratis mbg hanya merupakan simulasi atau pengandaian perhitungan baca selengkapnya di ac</t>
  </si>
  <si>
    <t>['kepala', 'badan', 'gizi', 'nasional', 'bgn', 'dadan', 'hindayana', 'meluruskan', 'bahwa', 'pernyataannya', 'terkait', 'kebutuhan', 'ekor', 'sapi', 'untuk', 'program', 'makan', 'bergizi', 'gratis', 'mbg', 'hanya', 'merupakan', 'simulasi', 'atau', 'pengandaian', 'perhitungan', 'baca', 'selengkapnya', 'di', 'ac']</t>
  </si>
  <si>
    <t>['kepala', 'badan', 'gizi', 'nasional', 'bgn', 'dadan', 'hindayana', 'meluruskan', 'pernyataannya', 'terkait', 'kebutuhan', 'ekor', 'sapi', 'program', 'makan', 'bergizi', 'gratis', 'mbg', 'simulasi', 'pengandaian', 'perhitungan', 'baca', 'selengkapnya', 'ac']</t>
  </si>
  <si>
    <t>['kepala', 'badan', 'gizi', 'nasional', 'bgn', 'dad', 'hindayana', 'lurus', 'nyata', 'kait', 'butuh', 'ekor', 'sapi', 'program', 'makan', 'gizi', 'gratis', 'mbg', 'simulasi', 'andai', 'hitung', 'baca', 'lengkap', 'ac']</t>
  </si>
  <si>
    <t>hanya simulasi terkait kenutuhan daging sapi dalam program mbg kepala badan gizi nasional bgndadanhindayanamengklarifikasi pernyataannya yang menyebut kebutuhan daging sapi dalam program makan bergizi gratis mbg mencapai ribu ekor per hari dadan mengatakan angka</t>
  </si>
  <si>
    <t>['hanya', 'simulasi', 'terkait', 'kenutuhan', 'daging', 'sapi', 'dalam', 'program', 'mbg', 'kepala', 'badan', 'gizi', 'nasional', 'bgndadanhindayanamengklarifikasi', 'pernyataannya', 'yang', 'menyebut', 'kebutuhan', 'daging', 'sapi', 'dalam', 'program', 'makan', 'bergizi', 'gratis', 'mbg', 'mencapai', 'ribu', 'ekor', 'per', 'hari', 'dadan', 'mengatakan', 'angka']</t>
  </si>
  <si>
    <t>&lt;FreqDist with 29 samples and 34 outcomes&gt;</t>
  </si>
  <si>
    <t>['simulasi', 'terkait', 'kenutuhan', 'daging', 'sapi', 'program', 'mbg', 'kepala', 'badan', 'gizi', 'nasional', 'bgndadanhindayanamengklarifikasi', 'pernyataannya', 'menyebut', 'kebutuhan', 'daging', 'sapi', 'program', 'makan', 'bergizi', 'gratis', 'mbg', 'mencapai', 'ribu', 'ekor', 'dadan', 'angka']</t>
  </si>
  <si>
    <t>['simulasi', 'kait', 'kenutuhan', 'daging', 'sapi', 'program', 'mbg', 'kepala', 'badan', 'gizi', 'nasional', 'bgndadanhindayanamengklarifikasi', 'nyata', 'sebut', 'butuh', 'daging', 'sapi', 'program', 'makan', 'gizi', 'gratis', 'mbg', 'capai', 'ribu', 'ekor', 'dad', 'angka']</t>
  </si>
  <si>
    <t>program tersebut mewajibkan dapur pelaksana makan bergizi gratis mbg memiliki sejumlah sertifikasi seperti laik higiene halal dan hazard analysis and critical control point haccp guna menjamin kualitas dan keamanan pangan namun anggota dpr ri irma suryani chaniago</t>
  </si>
  <si>
    <t>['program', 'tersebut', 'mewajibkan', 'dapur', 'pelaksana', 'makan', 'bergizi', 'gratis', 'mbg', 'memiliki', 'sejumlah', 'sertifikasi', 'seperti', 'laik', 'higiene', 'halal', 'dan', 'hazard', 'analysis', 'and', 'critical', 'control', 'point', 'haccp', 'guna', 'menjamin', 'kualitas', 'dan', 'keamanan', 'pangan', 'namun', 'anggota', 'dpr', 'ri', 'irma', 'suryani', 'chaniago']</t>
  </si>
  <si>
    <t>['program', 'mewajibkan', 'dapur', 'pelaksana', 'makan', 'bergizi', 'gratis', 'mbg', 'memiliki', 'sertifikasi', 'laik', 'higiene', 'halal', 'hazard', 'analysis', 'and', 'critical', 'control', 'point', 'haccp', 'menjamin', 'kualitas', 'keamanan', 'pangan', 'anggota', 'dpr', 'ri', 'irma', 'suryani', 'chaniago']</t>
  </si>
  <si>
    <t>['program', 'mewajibkan', 'dapur', 'pelaksana', 'makan', 'bergizi', 'gratis', 'mbg', 'memiliki', 'sertifikasi', 'laik', 'higiene', 'halal', 'hazard', 'analysis', 'dan', 'critical', 'control', 'titik', 'haccp', 'menjamin', 'kualitas', 'keamanan', 'pangan', 'anggota', 'dpr', 'ri', 'irma', 'suryani', 'chaniago']</t>
  </si>
  <si>
    <t>['program', 'wajib', 'dapur', 'laksana', 'makan', 'gizi', 'gratis', 'mbg', 'milik', 'sertifikasi', 'laik', 'higiene', 'halal', 'hazard', 'analysis', 'dan', 'critical', 'control', 'titik', 'haccp', 'jamin', 'kualitas', 'aman', 'pangan', 'anggota', 'dpr', 'ri', 'irma', 'suryani', 'chaniago']</t>
  </si>
  <si>
    <t>isu ribu sapi untuk mbg disorot bgn jelaskan kenapa daging jarang muncul pernyataan kepala badan gizi nasional bgn dadan hindayana soal ribu ekor sapi untuk program makan bergizi gratis mbg sempat menuai sorotan pasalnya menu daging sapi dinilai jarang muncul</t>
  </si>
  <si>
    <t>['isu', 'ribu', 'sapi', 'untuk', 'mbg', 'disorot', 'bgn', 'jelaskan', 'kenapa', 'daging', 'jarang', 'muncul', 'pernyataan', 'kepala', 'badan', 'gizi', 'nasional', 'bgn', 'dadan', 'hindayana', 'soal', 'ribu', 'ekor', 'sapi', 'untuk', 'program', 'makan', 'bergizi', 'gratis', 'mbg', 'sempat', 'menuai', 'sorotan', 'pasalnya', 'menu', 'daging', 'sapi', 'dinilai', 'jarang', 'muncul']</t>
  </si>
  <si>
    <t>&lt;FreqDist with 31 samples and 40 outcomes&gt;</t>
  </si>
  <si>
    <t>['isu', 'ribu', 'sapi', 'mbg', 'disorot', 'bgn', 'daging', 'jarang', 'muncul', 'pernyataan', 'kepala', 'badan', 'gizi', 'nasional', 'bgn', 'dadan', 'hindayana', 'ribu', 'ekor', 'sapi', 'program', 'makan', 'bergizi', 'gratis', 'mbg', 'menuai', 'sorotan', 'pasalnya', 'menu', 'daging', 'sapi', 'dinilai', 'jarang', 'muncul']</t>
  </si>
  <si>
    <t>['isu', 'ribu', 'sapi', 'mbg', 'sorot', 'bgn', 'daging', 'jarang', 'muncul', 'nyata', 'kepala', 'badan', 'gizi', 'nasional', 'bgn', 'dad', 'hindayana', 'ribu', 'ekor', 'sapi', 'program', 'makan', 'gizi', 'gratis', 'mbg', 'tuai', 'sorot', 'pasal', 'menu', 'daging', 'sapi', 'nilai', 'jarang', 'muncul']</t>
  </si>
  <si>
    <t>mbg makan bergizi gratis kalau yang buat ai gpt dengan codex berasa banget aura nasionalismenya bandingkan sama web bgn disebelah kanan</t>
  </si>
  <si>
    <t>['mbg', 'makan', 'bergizi', 'gratis', 'kalau', 'yang', 'buat', 'ai', 'gpt', 'dengan', 'codex', 'berasa', 'banget', 'aura', 'nasionalismenya', 'bandingkan', 'sama', 'web', 'bgn', 'disebelah', 'kanan']</t>
  </si>
  <si>
    <t>['mbg', 'makan', 'bergizi', 'gratis', 'ai', 'gpt', 'codex', 'berasa', 'banget', 'aura', 'nasionalismenya', 'bandingkan', 'web', 'bgn', 'disebelah', 'kanan']</t>
  </si>
  <si>
    <t>['mbg', 'makan', 'bergizi', 'gratis', 'ai', 'gpt', 'codex', 'berasa', 'sekali', 'aura', 'nasionalismenya', 'bandingkan', 'web', 'bgn', 'disebelah', 'kanan']</t>
  </si>
  <si>
    <t>['mbg', 'makan', 'gizi', 'gratis', 'ai', 'gpt', 'codex', 'asa', 'sekali', 'aura', 'nasionalisme', 'banding', 'web', 'bgn', 'belah', 'kanan']</t>
  </si>
  <si>
    <t>versi online bisa check disini disclaimer juga ini ga dibayar bukan official juga yaa</t>
  </si>
  <si>
    <t>['versi', 'online', 'bisa', 'check', 'disini', 'disclaimer', 'juga', 'ini', 'ga', 'dibayar', 'bukan', 'official', 'juga', 'yaa']</t>
  </si>
  <si>
    <t>['versi', 'online', 'check', 'disclaimer', 'dibayar', 'official', 'yaa']</t>
  </si>
  <si>
    <t>['versi', 'daring', 'cek', 'disclaimer', 'dibayar', 'official', 'yaa']</t>
  </si>
  <si>
    <t>['versi', 'daring', 'cek', 'disclaimer', 'bayar', 'official', 'yaa']</t>
  </si>
  <si>
    <t>dadan menyebut pihaknya tidak mungkin bekerja sendirian dalam proses pengadaan ini ia menepis isu bahwa pengadaan motor listrik untuk program makan bergizi gratis dilakukan secara sepihak tanpa persetujuan kementerian keuangan gt yang benar mana nih</t>
  </si>
  <si>
    <t>['dadan', 'menyebut', 'pihaknya', 'tidak', 'mungkin', 'bekerja', 'sendirian', 'dalam', 'proses', 'pengadaan', 'ini', 'ia', 'menepis', 'isu', 'bahwa', 'pengadaan', 'motor', 'listrik', 'untuk', 'program', 'makan', 'bergizi', 'gratis', 'dilakukan', 'secara', 'sepihak', 'tanpa', 'persetujuan', 'kementerian', 'keuangan', 'gt', 'yang', 'benar', 'mana', 'nih']</t>
  </si>
  <si>
    <t>['dadan', 'menyebut', 'proses', 'pengadaan', 'menepis', 'isu', 'pengadaan', 'motor', 'listrik', 'program', 'makan', 'bergizi', 'gratis', 'persetujuan', 'kementerian', 'keuangan', 'gt']</t>
  </si>
  <si>
    <t>['dadan', 'menyebut', 'proses', 'pengadaan', 'menepis', 'isu', 'pengadaan', 'motor', 'listrik', 'program', 'makan', 'bergizi', 'gratis', 'persetujuan', 'kementerian', 'keuangan', 'gitu']</t>
  </si>
  <si>
    <t>['dad', 'sebut', 'proses', 'ada', 'menep', 'isu', 'ada', 'motor', 'listrik', 'program', 'makan', 'gizi', 'gratis', 'tuju', 'menteri', 'uang', 'gitu']</t>
  </si>
  <si>
    <t>program makan bergizi gratis menjadi wujud nyata transformasi gizi bangsa memperkuat pilar mbg yang kokoh dalam menciptakan generasi sehat cerdas dan berkualitas sebagai fondasi masa depan indonesia</t>
  </si>
  <si>
    <t>['program', 'makan', 'bergizi', 'gratis', 'menjadi', 'wujud', 'nyata', 'transformasi', 'gizi', 'bangsa', 'memperkuat', 'pilar', 'mbg', 'yang', 'kokoh', 'dalam', 'menciptakan', 'generasi', 'sehat', 'cerdas', 'dan', 'berkualitas', 'sebagai', 'fondasi', 'masa', 'depan', 'indonesia']</t>
  </si>
  <si>
    <t>['program', 'makan', 'bergizi', 'gratis', 'wujud', 'nyata', 'transformasi', 'gizi', 'bangsa', 'memperkuat', 'pilar', 'mbg', 'kokoh', 'menciptakan', 'generasi', 'sehat', 'cerdas', 'berkualitas', 'fondasi', 'indonesia']</t>
  </si>
  <si>
    <t>['program', 'makan', 'gizi', 'gratis', 'wujud', 'nyata', 'transformasi', 'gizi', 'bangsa', 'kuat', 'pilar', 'mbg', 'kokoh', 'cipta', 'generasi', 'sehat', 'cerdas', 'kualitas', 'fondasi', 'indonesia']</t>
  </si>
  <si>
    <t>program makan bergizi gratis mbg memang datang dengan tantangan besar dari distribusi yang kompleks risiko keamanan pangan sampai beban anggaran negara yang tidak sedikit tapi tujuannya satu meningkatkan kualitas manusia indonesia dari hal paling dasar gizi prof arif</t>
  </si>
  <si>
    <t>['program', 'makan', 'bergizi', 'gratis', 'mbg', 'memang', 'datang', 'dengan', 'tantangan', 'besar', 'dari', 'distribusi', 'yang', 'kompleks', 'risiko', 'keamanan', 'pangan', 'sampai', 'beban', 'anggaran', 'negara', 'yang', 'tidak', 'sedikit', 'tapi', 'tujuannya', 'satu', 'meningkatkan', 'kualitas', 'manusia', 'indonesia', 'dari', 'hal', 'paling', 'dasar', 'gizi', 'prof', 'arif']</t>
  </si>
  <si>
    <t>['program', 'makan', 'bergizi', 'gratis', 'mbg', 'tantangan', 'distribusi', 'kompleks', 'risiko', 'keamanan', 'pangan', 'beban', 'anggaran', 'negara', 'tujuannya', 'meningkatkan', 'kualitas', 'manusia', 'indonesia', 'dasar', 'gizi', 'prof', 'arif']</t>
  </si>
  <si>
    <t>['program', 'makan', 'gizi', 'gratis', 'mbg', 'tantang', 'distribusi', 'kompleks', 'risiko', 'aman', 'pangan', 'beban', 'anggar', 'negara', 'tuju', 'tingkat', 'kualitas', 'manusia', 'indonesia', 'dasar', 'gizi', 'prof', 'arif']</t>
  </si>
  <si>
    <t>wkwkwkwk rakyat harus terus kekurangan gizi agar program makan bergizi gratis mbg tetap relevan selama tahun</t>
  </si>
  <si>
    <t>['wkwkwkwk', 'rakyat', 'harus', 'terus', 'kekurangan', 'gizi', 'agar', 'program', 'makan', 'bergizi', 'gratis', 'mbg', 'tetap', 'relevan', 'selama', 'tahun']</t>
  </si>
  <si>
    <t>['wkwkwkwk', 'rakyat', 'kekurangan', 'gizi', 'program', 'makan', 'bergizi', 'gratis', 'mbg', 'relevan']</t>
  </si>
  <si>
    <t>['wkwkwkwk', 'rakyat', 'kurang', 'gizi', 'program', 'makan', 'gizi', 'gratis', 'mbg', 'relevan']</t>
  </si>
  <si>
    <t>kepala badan pengawas obat dan makanan bpom ri taruna ikrar mengakui belum pernah sama sekali melakukan uji sampling program makan bergizi gratis sejak program tersebut berjalan</t>
  </si>
  <si>
    <t>['kepala', 'badan', 'pengawas', 'obat', 'dan', 'makanan', 'bpom', 'ri', 'taruna', 'ikrar', 'mengakui', 'belum', 'pernah', 'sama', 'sekali', 'melakukan', 'uji', 'sampling', 'program', 'makan', 'bergizi', 'gratis', 'sejak', 'program', 'tersebut', 'berjalan']</t>
  </si>
  <si>
    <t>['kepala', 'badan', 'pengawas', 'obat', 'makanan', 'bpom', 'ri', 'taruna', 'ikrar', 'mengakui', 'uji', 'sampling', 'program', 'makan', 'bergizi', 'gratis', 'program', 'berjalan']</t>
  </si>
  <si>
    <t>['kepala', 'badan', 'awas', 'obat', 'makan', 'bpom', 'ri', 'taruna', 'ikrar', 'aku', 'uji', 'sampling', 'program', 'makan', 'gizi', 'gratis', 'program', 'jalan']</t>
  </si>
  <si>
    <t>program mbg dorong rantai pasok lokal budidaya lele jadi tulang punggung blora april program makan bergizi gratis mbg tidak hanya berperan dalam meningkatkan asupan gizi masyarakat tetapi mendorong terbentuknya rantai pasok pangan lokal berbasis komunitas</t>
  </si>
  <si>
    <t>['program', 'mbg', 'dorong', 'rantai', 'pasok', 'lokal', 'budidaya', 'lele', 'jadi', 'tulang', 'punggung', 'blora', 'april', 'program', 'makan', 'bergizi', 'gratis', 'mbg', 'tidak', 'hanya', 'berperan', 'dalam', 'meningkatkan', 'asupan', 'gizi', 'masyarakat', 'tetapi', 'mendorong', 'terbentuknya', 'rantai', 'pasok', 'pangan', 'lokal', 'berbasis', 'komunitas']</t>
  </si>
  <si>
    <t>['program', 'mbg', 'dorong', 'rantai', 'pasok', 'lokal', 'budidaya', 'lele', 'tulang', 'punggung', 'blora', 'april', 'program', 'makan', 'bergizi', 'gratis', 'mbg', 'berperan', 'meningkatkan', 'asupan', 'gizi', 'masyarakat', 'mendorong', 'terbentuknya', 'rantai', 'pasok', 'pangan', 'lokal', 'berbasis', 'komunitas']</t>
  </si>
  <si>
    <t>['program', 'mbg', 'dorong', 'rantai', 'pasok', 'lokal', 'budidaya', 'lele', 'tulang', 'punggung', 'blora', 'april', 'program', 'makan', 'gizi', 'gratis', 'mbg', 'peran', 'tingkat', 'asupan', 'gizi', 'masyarakat', 'dorong', 'bentuk', 'rantai', 'pasok', 'pangan', 'lokal', 'bas', 'komunitas']</t>
  </si>
  <si>
    <t>kolaborasi lintas sektor mempercepat pelaksanaan program makan bergizi gratis mbg</t>
  </si>
  <si>
    <t>['kolaborasi', 'lintas', 'sektor', 'mempercepat', 'pelaksanaan', 'program', 'makan', 'bergizi', 'gratis', 'mbg']</t>
  </si>
  <si>
    <t>['kolaborasi', 'lintas', 'sektor', 'cepat', 'laksana', 'program', 'makan', 'gizi', 'gratis', 'mbg']</t>
  </si>
  <si>
    <t>rakyat butuh solusi yang langsung terasa di perut dan dompet program makan bergizi gratis ini bukti kalau pemerintah nggak mainmain soal kesejahteraan dari akar rumput nggak perlu banyak gaya yang penting kerja nyata el rumi syifa hadju manohara</t>
  </si>
  <si>
    <t>['rakyat', 'butuh', 'solusi', 'yang', 'langsung', 'terasa', 'di', 'perut', 'dan', 'dompet', 'program', 'makan', 'bergizi', 'gratis', 'ini', 'bukti', 'kalau', 'pemerintah', 'nggak', 'mainmain', 'soal', 'kesejahteraan', 'dari', 'akar', 'rumput', 'nggak', 'perlu', 'banyak', 'gaya', 'yang', 'penting', 'kerja', 'nyata', 'el', 'rumi', 'syifa', 'hadju', 'manohara']</t>
  </si>
  <si>
    <t>['rakyat', 'butuh', 'solusi', 'langsung', 'perut', 'dompet', 'program', 'makan', 'bergizi', 'gratis', 'bukti', 'pemerintah', 'nggak', 'mainmain', 'kesejahteraan', 'akar', 'rumput', 'nggak', 'gaya', 'kerja', 'nyata', 'el', 'rumi', 'syifa', 'hadju', 'manohara']</t>
  </si>
  <si>
    <t>['rakyat', 'butuh', 'solusi', 'langsung', 'perut', 'dompet', 'program', 'makan', 'bergizi', 'gratis', 'bukti', 'pemerintah', 'tidak', 'mainmain', 'kesejahteraan', 'akar', 'rumput', 'tidak', 'gaya', 'kerja', 'nyata', 'el', 'rumi', 'syifa', 'hadju', 'manohara']</t>
  </si>
  <si>
    <t>['rakyat', 'butuh', 'solusi', 'langsung', 'perut', 'dompet', 'program', 'makan', 'gizi', 'gratis', 'bukti', 'perintah', 'tidak', 'mainmain', 'sejahtera', 'akar', 'rumput', 'tidak', 'gaya', 'kerja', 'nyata', 'el', 'rumi', 'syifa', 'hadju', 'manohara']</t>
  </si>
  <si>
    <t>personel babinsa jajaran kodim sidrap melaksanakan kegiatan pendampingan penyaluran program makan bergizi gratis di wilayah kabupaten sidrap senin</t>
  </si>
  <si>
    <t>['personel', 'babinsa', 'jajaran', 'kodim', 'sidrap', 'melaksanakan', 'kegiatan', 'pendampingan', 'penyaluran', 'program', 'makan', 'bergizi', 'gratis', 'di', 'wilayah', 'kabupaten', 'sidrap', 'senin']</t>
  </si>
  <si>
    <t>['personel', 'babinsa', 'jajaran', 'kodim', 'sidrap', 'melaksanakan', 'kegiatan', 'pendampingan', 'penyaluran', 'program', 'makan', 'bergizi', 'gratis', 'wilayah', 'kabupaten', 'sidrap', 'senin']</t>
  </si>
  <si>
    <t>['personel', 'babinsa', 'jajar', 'kodim', 'sidrap', 'laksana', 'giat', 'damping', 'salur', 'program', 'makan', 'gizi', 'gratis', 'wilayah', 'kabupaten', 'sidrap', 'senin']</t>
  </si>
  <si>
    <t>makan bergizi gratis investasi masa depan bangsa</t>
  </si>
  <si>
    <t>['makan', 'bergizi', 'gratis', 'investasi', 'masa', 'depan', 'bangsa']</t>
  </si>
  <si>
    <t>['makan', 'bergizi', 'gratis', 'investasi', 'bangsa']</t>
  </si>
  <si>
    <t>['makan', 'gizi', 'gratis', 'investasi', 'bangsa']</t>
  </si>
  <si>
    <t>berkat program makan bergizi gratis ia bisa makan sehat tanpa biaya harapannya program ini terus berlanjut karena sangat berdampak nyata bagi kesehatan dan kebahagiaan siswa di seluruh indonesia</t>
  </si>
  <si>
    <t>['berkat', 'program', 'makan', 'bergizi', 'gratis', 'ia', 'bisa', 'makan', 'sehat', 'tanpa', 'biaya', 'harapannya', 'program', 'ini', 'terus', 'berlanjut', 'karena', 'sangat', 'berdampak', 'nyata', 'bagi', 'kesehatan', 'dan', 'kebahagiaan', 'siswa', 'di', 'seluruh', 'indonesia']</t>
  </si>
  <si>
    <t>&lt;FreqDist with 26 samples and 28 outcomes&gt;</t>
  </si>
  <si>
    <t>['berkat', 'program', 'makan', 'bergizi', 'gratis', 'makan', 'sehat', 'biaya', 'harapannya', 'program', 'berlanjut', 'berdampak', 'nyata', 'kesehatan', 'kebahagiaan', 'siswa', 'indonesia']</t>
  </si>
  <si>
    <t>['berkat', 'program', 'makan', 'gizi', 'gratis', 'makan', 'sehat', 'biaya', 'harap', 'program', 'lanjut', 'dampak', 'nyata', 'sehat', 'bahagia', 'siswa', 'indonesia']</t>
  </si>
  <si>
    <t>guys ada pernyataan dari appmbgi yang menurut gue adalah salah satu yang paling perlu dikritisi dengan sangat teliti hari ini appmbgi asosiasi pengusaha dan pengelola dapur makan bergizi gratis indonesia baru saja mengklaim dua hal sekaligus satu mbg berjalan mulus tanpa</t>
  </si>
  <si>
    <t>['guys', 'ada', 'pernyataan', 'dari', 'appmbgi', 'yang', 'menurut', 'gue', 'adalah', 'salah', 'satu', 'yang', 'paling', 'perlu', 'dikritisi', 'dengan', 'sangat', 'teliti', 'hari', 'ini', 'appmbgi', 'asosiasi', 'pengusaha', 'dan', 'pengelola', 'dapur', 'makan', 'bergizi', 'gratis', 'indonesia', 'baru', 'saja', 'mengklaim', 'dua', 'hal', 'sekaligus', 'satu', 'mbg', 'berjalan', 'mulus', 'tanpa']</t>
  </si>
  <si>
    <t>&lt;FreqDist with 38 samples and 41 outcomes&gt;</t>
  </si>
  <si>
    <t>['guys', 'pernyataan', 'appmbgi', 'gue', 'salah', 'dikritisi', 'teliti', 'appmbgi', 'asosiasi', 'pengusaha', 'pengelola', 'dapur', 'makan', 'bergizi', 'gratis', 'indonesia', 'mengklaim', 'mbg', 'berjalan', 'mulus']</t>
  </si>
  <si>
    <t>['teman', 'pernyataan', 'appmbgi', 'aku', 'salah', 'dikritisi', 'teliti', 'appmbgi', 'asosiasi', 'pengusaha', 'pengelola', 'dapur', 'makan', 'bergizi', 'gratis', 'indonesia', 'mengklaim', 'mbg', 'berjalan', 'mulus']</t>
  </si>
  <si>
    <t>['teman', 'nyata', 'appmbgi', 'aku', 'salah', 'kritisi', 'teliti', 'appmbgi', 'asosiasi', 'usaha', 'kelola', 'dapur', 'makan', 'gizi', 'gratis', 'indonesia', 'klaim', 'mbg', 'jalan', 'mulus']</t>
  </si>
  <si>
    <t>rk bgn jagonya bikin program makan bergizi gratis rumah bersubsidi eksklusif yang gratis buat anak yang subsidi buat pegawai yang nggak dapet apaapa guru yang ngajarin anak terlalu asuuu</t>
  </si>
  <si>
    <t>['rk', 'bgn', 'jagonya', 'bikin', 'program', 'makan', 'bergizi', 'gratis', 'rumah', 'bersubsidi', 'eksklusif', 'yang', 'gratis', 'buat', 'anak', 'yang', 'subsidi', 'buat', 'pegawai', 'yang', 'nggak', 'dapet', 'apaapa', 'guru', 'yang', 'ngajarin', 'anak', 'terlalu', 'asuuu']</t>
  </si>
  <si>
    <t>['rk', 'bgn', 'jagonya', 'program', 'makan', 'bergizi', 'gratis', 'rumah', 'bersubsidi', 'eksklusif', 'gratis', 'anak', 'subsidi', 'pegawai', 'nggak', 'dapet', 'apaapa', 'guru', 'ngajarin', 'anak', 'asuuu']</t>
  </si>
  <si>
    <t>['rk', 'bgn', 'jagonya', 'program', 'makan', 'bergizi', 'gratis', 'rumah', 'bersubsidi', 'eksklusif', 'gratis', 'anak', 'subsidi', 'pegawai', 'tidak', 'dapat', 'apaapa', 'guru', 'ngajarin', 'anak', 'asuuu']</t>
  </si>
  <si>
    <t>['rk', 'bgn', 'jago', 'program', 'makan', 'gizi', 'gratis', 'rumah', 'subsidi', 'eksklusif', 'gratis', 'anak', 'subsidi', 'pegawai', 'tidak', 'dapat', 'apaapa', 'guru', 'ngajarin', 'anak', 'asuuu']</t>
  </si>
  <si>
    <t>sampang seorang warga mengabarkan bahwa sejumlah murid sdn bira tengah sokobanah sampang mengalami reaksi alergi kulit setelah mengonsumsi menu makan bergizi gratis mbg pada rabu</t>
  </si>
  <si>
    <t>['sampang', 'seorang', 'warga', 'mengabarkan', 'bahwa', 'sejumlah', 'murid', 'sdn', 'bira', 'tengah', 'sokobanah', 'sampang', 'mengalami', 'reaksi', 'alergi', 'kulit', 'setelah', 'mengonsumsi', 'menu', 'makan', 'bergizi', 'gratis', 'mbg', 'pada', 'rabu']</t>
  </si>
  <si>
    <t>&lt;FreqDist with 24 samples and 25 outcomes&gt;</t>
  </si>
  <si>
    <t>['sampang', 'warga', 'mengabarkan', 'murid', 'sdn', 'bira', 'sokobanah', 'sampang', 'mengalami', 'reaksi', 'alergi', 'kulit', 'mengonsumsi', 'menu', 'makan', 'bergizi', 'gratis', 'mbg', 'rabu']</t>
  </si>
  <si>
    <t>['sampang', 'warga', 'mengabarkan', 'siswa', 'sdn', 'bira', 'sokobanah', 'sampang', 'mengalami', 'reaksi', 'alergi', 'kulit', 'mengonsumsi', 'menu', 'makan', 'bergizi', 'gratis', 'mbg', 'rabu']</t>
  </si>
  <si>
    <t>['sampang', 'warga', 'abar', 'siswa', 'sdn', 'bira', 'sokobanah', 'sampang', 'alami', 'reaksi', 'alergi', 'kulit', 'konsumsi', 'menu', 'makan', 'gizi', 'gratis', 'mbg', 'rabu']</t>
  </si>
  <si>
    <t>yang nulis program makan bergizi mengambil anggaran pendidikan dan kesehatan bukan saya tapi buku ini</t>
  </si>
  <si>
    <t>['yang', 'nulis', 'program', 'makan', 'bergizi', 'mengambil', 'anggaran', 'pendidikan', 'dan', 'kesehatan', 'bukan', 'saya', 'tapi', 'buku', 'ini']</t>
  </si>
  <si>
    <t>['nulis', 'program', 'makan', 'bergizi', 'mengambil', 'anggaran', 'pendidikan', 'kesehatan', 'buku']</t>
  </si>
  <si>
    <t>['nulis', 'program', 'makan', 'gizi', 'ambil', 'anggar', 'didik', 'sehat', 'buku']</t>
  </si>
  <si>
    <t>garing program makan gratis nabi sulaiman juga gagal pada akhirnya</t>
  </si>
  <si>
    <t>['garing', 'program', 'makan', 'gratis', 'nabi', 'sulaiman', 'juga', 'gagal', 'pada', 'akhirnya']</t>
  </si>
  <si>
    <t>['garing', 'program', 'makan', 'gratis', 'nabi', 'sulaiman', 'gagal']</t>
  </si>
  <si>
    <t>baca di sini wakil kepala badan gizi nasional bgn bidang komunikasi publik dan investigasi nanik sudaryati deyang menjelaskan kronologi meninggalnya seorang balita di cianjur jawa barat yang disebut karena mengonsumsi makan bergizi gratis mbg ac</t>
  </si>
  <si>
    <t>['baca', 'di', 'sini', 'wakil', 'kepala', 'badan', 'gizi', 'nasional', 'bgn', 'bidang', 'komunikasi', 'publik', 'dan', 'investigasi', 'nanik', 'sudaryati', 'deyang', 'menjelaskan', 'kronologi', 'meninggalnya', 'seorang', 'balita', 'di', 'cianjur', 'jawa', 'barat', 'yang', 'disebut', 'karena', 'mengonsumsi', 'makan', 'bergizi', 'gratis', 'mbg', 'ac']</t>
  </si>
  <si>
    <t>['baca', 'wakil', 'kepala', 'badan', 'gizi', 'nasional', 'bgn', 'bidang', 'komunikasi', 'publik', 'investigasi', 'nanik', 'sudaryati', 'deyang', 'kronologi', 'meninggalnya', 'balita', 'cianjur', 'jawa', 'barat', 'mengonsumsi', 'makan', 'bergizi', 'gratis', 'mbg', 'ac']</t>
  </si>
  <si>
    <t>['baca', 'wakil', 'kepala', 'badan', 'gizi', 'nasional', 'bgn', 'bidang', 'komunikasi', 'publik', 'investigasi', 'nanik', 'sudaryati', 'deyang', 'kronologi', 'tinggal', 'balita', 'cianjur', 'jawa', 'barat', 'konsumsi', 'makan', 'gizi', 'gratis', 'mbg', 'ac']</t>
  </si>
  <si>
    <t>fokus mbg diperjelas untuk memastikan program makan bergizi gratis benarbenar tepat sasaran bagi anak yang paling membutuhkan dan memberi dampak nyata bagi generasi sehat indonesia</t>
  </si>
  <si>
    <t>['fokus', 'mbg', 'diperjelas', 'untuk', 'memastikan', 'program', 'makan', 'bergizi', 'gratis', 'benarbenar', 'tepat', 'sasaran', 'bagi', 'anak', 'yang', 'paling', 'membutuhkan', 'dan', 'memberi', 'dampak', 'nyata', 'bagi', 'generasi', 'sehat', 'indonesia']</t>
  </si>
  <si>
    <t>['fokus', 'mbg', 'diperjelas', 'program', 'makan', 'bergizi', 'gratis', 'benarbenar', 'sasaran', 'anak', 'membutuhkan', 'dampak', 'nyata', 'generasi', 'sehat', 'indonesia']</t>
  </si>
  <si>
    <t>['fokus', 'mbg', 'jelas', 'program', 'makan', 'gizi', 'gratis', 'benarbenar', 'sasar', 'anak', 'butuh', 'dampak', 'nyata', 'generasi', 'sehat', 'indonesia']</t>
  </si>
  <si>
    <t>yang penting mbg makan bergizi gratis</t>
  </si>
  <si>
    <t>['yang', 'penting', 'mbg', 'makan', 'bergizi', 'gratis']</t>
  </si>
  <si>
    <t>&lt;FreqDist with 6 samples and 6 outcomes&gt;</t>
  </si>
  <si>
    <t>['mbg', 'makan', 'bergizi', 'gratis']</t>
  </si>
  <si>
    <t>['mbg', 'makan', 'gizi', 'gratis']</t>
  </si>
  <si>
    <t>suplai dapur mbg di jabodetabek omzet pedagang buah di pasar kramat jati meroket jakarta gandi fanani salah satu pedagang buah di pasar kramat jati jakarta timur merasakan peningkatan penjualan sejak kehadiran program makan bergizi gratis mbg pada awal tahun</t>
  </si>
  <si>
    <t>['suplai', 'dapur', 'mbg', 'di', 'jabodetabek', 'omzet', 'pedagang', 'buah', 'di', 'pasar', 'kramat', 'jati', 'meroket', 'jakarta', 'gandi', 'fanani', 'salah', 'satu', 'pedagang', 'buah', 'di', 'pasar', 'kramat', 'jati', 'jakarta', 'timur', 'merasakan', 'peningkatan', 'penjualan', 'sejak', 'kehadiran', 'program', 'makan', 'bergizi', 'gratis', 'mbg', 'pada', 'awal', 'tahun']</t>
  </si>
  <si>
    <t>&lt;FreqDist with 30 samples and 39 outcomes&gt;</t>
  </si>
  <si>
    <t>['suplai', 'dapur', 'mbg', 'jabodetabek', 'omzet', 'pedagang', 'buah', 'pasar', 'kramat', 'jati', 'meroket', 'jakarta', 'gandi', 'fanani', 'salah', 'pedagang', 'buah', 'pasar', 'kramat', 'jati', 'jakarta', 'timur', 'merasakan', 'peningkatan', 'penjualan', 'kehadiran', 'program', 'makan', 'bergizi', 'gratis', 'mbg']</t>
  </si>
  <si>
    <t>['suplai', 'dapur', 'mbg', 'jabodetabek', 'omzet', 'dagang', 'buah', 'pasar', 'kramat', 'jati', 'roket', 'jakarta', 'gandi', 'fanani', 'salah', 'dagang', 'buah', 'pasar', 'kramat', 'jati', 'jakarta', 'timur', 'rasa', 'tingkat', 'jual', 'hadir', 'program', 'makan', 'gizi', 'gratis', 'mbg']</t>
  </si>
  <si>
    <t>program makan bergizi gratis mbg turut mendorong peningkatan permintaan bahan pangan lokal</t>
  </si>
  <si>
    <t>['program', 'makan', 'bergizi', 'gratis', 'mbg', 'turut', 'mendorong', 'peningkatan', 'permintaan', 'bahan', 'pangan', 'lokal']</t>
  </si>
  <si>
    <t>['program', 'makan', 'bergizi', 'gratis', 'mbg', 'mendorong', 'peningkatan', 'permintaan', 'bahan', 'pangan', 'lokal']</t>
  </si>
  <si>
    <t>['program', 'makan', 'gizi', 'gratis', 'mbg', 'dorong', 'tingkat', 'minta', 'bahan', 'pangan', 'lokal']</t>
  </si>
  <si>
    <t>polres tabalong bagikan makan bergizi gratis wujud nyata kepedulian untuk generasi muda polres tabalong melalui satuan pelayanan pemenuhan gizi sppg sebagai wujud kepedulian terhadap kesehatan generasi muda dengan mendistribusikan</t>
  </si>
  <si>
    <t>['polres', 'tabalong', 'bagikan', 'makan', 'bergizi', 'gratis', 'wujud', 'nyata', 'kepedulian', 'untuk', 'generasi', 'muda', 'polres', 'tabalong', 'melalui', 'satuan', 'pelayanan', 'pemenuhan', 'gizi', 'sppg', 'sebagai', 'wujud', 'kepedulian', 'terhadap', 'kesehatan', 'generasi', 'muda', 'dengan', 'mendistribusikan']</t>
  </si>
  <si>
    <t>['polres', 'tabalong', 'bagikan', 'makan', 'bergizi', 'gratis', 'wujud', 'nyata', 'kepedulian', 'generasi', 'muda', 'polres', 'tabalong', 'satuan', 'pelayanan', 'pemenuhan', 'gizi', 'sppg', 'wujud', 'kepedulian', 'kesehatan', 'generasi', 'muda', 'mendistribusikan']</t>
  </si>
  <si>
    <t>['polres', 'tabalong', 'bagi', 'makan', 'gizi', 'gratis', 'wujud', 'nyata', 'peduli', 'generasi', 'muda', 'polres', 'tabalong', 'satu', 'layan', 'penuh', 'gizi', 'sppg', 'wujud', 'peduli', 'sehat', 'generasi', 'muda', 'distribusi']</t>
  </si>
  <si>
    <t>program makan bergizi gratis bukan hanya soal kuantitas tapi kualitas yang utama endipat wijaya turun langsung ke batam untuk memastikan operasional dapur bergizi berjalan sesuai standar higienis dan nutrisi yang telah ditetapkan</t>
  </si>
  <si>
    <t>['program', 'makan', 'bergizi', 'gratis', 'bukan', 'hanya', 'soal', 'kuantitas', 'tapi', 'kualitas', 'yang', 'utama', 'endipat', 'wijaya', 'turun', 'langsung', 'ke', 'batam', 'untuk', 'memastikan', 'operasional', 'dapur', 'bergizi', 'berjalan', 'sesuai', 'standar', 'higienis', 'dan', 'nutrisi', 'yang', 'telah', 'ditetapkan']</t>
  </si>
  <si>
    <t>['program', 'makan', 'bergizi', 'gratis', 'kuantitas', 'kualitas', 'utama', 'endipat', 'wijaya', 'turun', 'langsung', 'batam', 'operasional', 'dapur', 'bergizi', 'berjalan', 'sesuai', 'standar', 'higienis', 'nutrisi', 'ditetapkan']</t>
  </si>
  <si>
    <t>['program', 'makan', 'gizi', 'gratis', 'kuantitas', 'kualitas', 'utama', 'endipat', 'wijaya', 'turun', 'langsung', 'batam', 'operasional', 'dapur', 'gizi', 'jalan', 'sesuai', 'standar', 'higienis', 'nutrisi', 'tetap']</t>
  </si>
  <si>
    <t>data akurat program tepat sasaran bersama kita perkuat sinergi untuk keberhasilan program makan bergizi gratis netimistifa</t>
  </si>
  <si>
    <t>['data', 'akurat', 'program', 'tepat', 'sasaran', 'bersama', 'kita', 'perkuat', 'sinergi', 'untuk', 'keberhasilan', 'program', 'makan', 'bergizi', 'gratis', 'netimistifa']</t>
  </si>
  <si>
    <t>&lt;FreqDist with 15 samples and 16 outcomes&gt;</t>
  </si>
  <si>
    <t>['data', 'akurat', 'program', 'sasaran', 'perkuat', 'sinergi', 'keberhasilan', 'program', 'makan', 'bergizi', 'gratis', 'netimistifa']</t>
  </si>
  <si>
    <t>['data', 'akurat', 'program', 'sasar', 'kuat', 'sinergi', 'hasil', 'program', 'makan', 'gizi', 'gratis', 'netimistifa']</t>
  </si>
  <si>
    <t>program makan bergizi gratis mbg mengubah nasib daniel rio ananta mantan kernet buah lepas di surakarta menjadi juru masak berpenghasilan tetap di sppg manahan setelah menemukan lowongan melalui media sosial daniel memulai karier sebagai petugas kebersihan lalu naik</t>
  </si>
  <si>
    <t>['program', 'makan', 'bergizi', 'gratis', 'mbg', 'mengubah', 'nasib', 'daniel', 'rio', 'ananta', 'mantan', 'kernet', 'buah', 'lepas', 'di', 'surakarta', 'menjadi', 'juru', 'masak', 'berpenghasilan', 'tetap', 'di', 'sppg', 'manahan', 'setelah', 'menemukan', 'lowongan', 'melalui', 'media', 'sosial', 'daniel', 'memulai', 'karier', 'sebagai', 'petugas', 'kebersihan', 'lalu', 'naik']</t>
  </si>
  <si>
    <t>['program', 'makan', 'bergizi', 'gratis', 'mbg', 'mengubah', 'nasib', 'daniel', 'rio', 'ananta', 'mantan', 'kernet', 'buah', 'lepas', 'surakarta', 'juru', 'masak', 'berpenghasilan', 'sppg', 'manahan', 'menemukan', 'lowongan', 'media', 'sosial', 'daniel', 'karier', 'petugas', 'kebersihan']</t>
  </si>
  <si>
    <t>['program', 'makan', 'gizi', 'gratis', 'mbg', 'ubah', 'nasib', 'daniel', 'rio', 'ananta', 'mantan', 'kernet', 'buah', 'lepas', 'surakarta', 'juru', 'masak', 'hasil', 'sppg', 'manah', 'temu', 'lowong', 'media', 'sosial', 'daniel', 'karier', 'tugas', 'bersih']</t>
  </si>
  <si>
    <t>dukung makan bergizi gratis anak sehat hari ini masa depan bangsa lebih kuat investasi terbaik untuk generasi emas</t>
  </si>
  <si>
    <t>['dukung', 'makan', 'bergizi', 'gratis', 'anak', 'sehat', 'hari', 'ini', 'masa', 'depan', 'bangsa', 'lebih', 'kuat', 'investasi', 'terbaik', 'untuk', 'generasi', 'emas']</t>
  </si>
  <si>
    <t>['dukung', 'makan', 'bergizi', 'gratis', 'anak', 'sehat', 'bangsa', 'kuat', 'investasi', 'terbaik', 'generasi', 'emas']</t>
  </si>
  <si>
    <t>['dukung', 'makan', 'gizi', 'gratis', 'anak', 'sehat', 'bangsa', 'kuat', 'investasi', 'baik', 'generasi', 'emas']</t>
  </si>
  <si>
    <t>hmmm makan seafood sih karena hidup di laut kalau hidupnya hidup jokowi itu termasuk makan bergizi gratis</t>
  </si>
  <si>
    <t>['hmmm', 'makan', 'seafood', 'sih', 'karena', 'hidup', 'di', 'laut', 'kalau', 'hidupnya', 'hidup', 'jokowi', 'itu', 'termasuk', 'makan', 'bergizi', 'gratis']</t>
  </si>
  <si>
    <t>&lt;FreqDist with 15 samples and 17 outcomes&gt;</t>
  </si>
  <si>
    <t>['hmmm', 'makan', 'seafood', 'hidup', 'laut', 'hidupnya', 'hidup', 'jokowi', 'makan', 'bergizi', 'gratis']</t>
  </si>
  <si>
    <t>['hmmm', 'makan', 'seafood', 'hidup', 'laut', 'hidup', 'hidup', 'jokowi', 'makan', 'gizi', 'gratis']</t>
  </si>
  <si>
    <t>prabowo evaluasi program makan bergizi gratis agar lebih tepat sasaran fokus mbg diperjelas</t>
  </si>
  <si>
    <t>['prabowo', 'evaluasi', 'program', 'makan', 'bergizi', 'gratis', 'agar', 'lebih', 'tepat', 'sasaran', 'fokus', 'mbg', 'diperjelas']</t>
  </si>
  <si>
    <t>['prabowo', 'evaluasi', 'program', 'makan', 'bergizi', 'gratis', 'sasaran', 'fokus', 'mbg', 'diperjelas']</t>
  </si>
  <si>
    <t>['prabowo', 'evaluasi', 'program', 'makan', 'gizi', 'gratis', 'sasar', 'fokus', 'mbg', 'jelas']</t>
  </si>
  <si>
    <t>pemerintah melakukan evaluasi menyeluruh untuk memastikan program makan bergizi gratis tepat sasaran dan lebih efektif fokus mbg diperjelas</t>
  </si>
  <si>
    <t>['pemerintah', 'melakukan', 'evaluasi', 'menyeluruh', 'untuk', 'memastikan', 'program', 'makan', 'bergizi', 'gratis', 'tepat', 'sasaran', 'dan', 'lebih', 'efektif', 'fokus', 'mbg', 'diperjelas']</t>
  </si>
  <si>
    <t>['pemerintah', 'evaluasi', 'program', 'makan', 'bergizi', 'gratis', 'sasaran', 'efektif', 'fokus', 'mbg', 'diperjelas']</t>
  </si>
  <si>
    <t>['perintah', 'evaluasi', 'program', 'makan', 'gizi', 'gratis', 'sasar', 'efektif', 'fokus', 'mbg', 'jelas']</t>
  </si>
  <si>
    <t>kebijakan prabowo gas pol makan bergizi amp infrastruktur di ini pak prabowo emang lagi kencengkencengnya ngejalankan program makan bergizi gratis targetnya nggak mainmain mau nyentuh puluhan juta anak secara bertahap masalahnya program ini butuh duit gede banget</t>
  </si>
  <si>
    <t>['kebijakan', 'prabowo', 'gas', 'pol', 'makan', 'bergizi', 'amp', 'infrastruktur', 'di', 'ini', 'pak', 'prabowo', 'emang', 'lagi', 'kencengkencengnya', 'ngejalankan', 'program', 'makan', 'bergizi', 'gratis', 'targetnya', 'nggak', 'mainmain', 'mau', 'nyentuh', 'puluhan', 'juta', 'anak', 'secara', 'bertahap', 'masalahnya', 'program', 'ini', 'butuh', 'duit', 'gede', 'banget']</t>
  </si>
  <si>
    <t>['kebijakan', 'prabowo', 'gas', 'pol', 'makan', 'bergizi', 'infrastruktur', 'prabowo', 'emang', 'kencengkencengnya', 'ngejalankan', 'program', 'makan', 'bergizi', 'gratis', 'targetnya', 'nggak', 'mainmain', 'nyentuh', 'puluhan', 'juta', 'anak', 'bertahap', 'program', 'butuh', 'duit', 'gede', 'banget']</t>
  </si>
  <si>
    <t>['kebijakan', 'prabowo', 'gas', 'pol', 'makan', 'bergizi', 'infrastruktur', 'prabowo', 'memang', 'kencengkencengnya', 'ngejalankan', 'program', 'makan', 'bergizi', 'gratis', 'targetnya', 'tidak', 'mainmain', 'nyentuh', 'puluhan', 'juta', 'anak', 'bertahap', 'program', 'butuh', 'uang', 'gede', 'sekali']</t>
  </si>
  <si>
    <t>['bijak', 'prabowo', 'gas', 'pol', 'makan', 'gizi', 'infrastruktur', 'prabowo', 'memang', 'kencengkencengnya', 'ngejalankan', 'program', 'makan', 'gizi', 'gratis', 'target', 'tidak', 'mainmain', 'nyentuh', 'puluh', 'juta', 'anak', 'tahap', 'program', 'butuh', 'uang', 'gede', 'sekali']</t>
  </si>
  <si>
    <t>menteri koordinator bidang pemberdayaan masyarakat abdul muhaimin iskandar mengatakan bahwa program mbg merupakan salah satu program prioritas pemerintah yang paling berdampak bagi masyarakat luas yang paling berdampak tentu program makan bergizi gratis kata menko muhaimin</t>
  </si>
  <si>
    <t>['menteri', 'koordinator', 'bidang', 'pemberdayaan', 'masyarakat', 'abdul', 'muhaimin', 'iskandar', 'mengatakan', 'bahwa', 'program', 'mbg', 'merupakan', 'salah', 'satu', 'program', 'prioritas', 'pemerintah', 'yang', 'paling', 'berdampak', 'bagi', 'masyarakat', 'luas', 'yang', 'paling', 'berdampak', 'tentu', 'program', 'makan', 'bergizi', 'gratis', 'kata', 'menko', 'muhaimin']</t>
  </si>
  <si>
    <t>['menteri', 'koordinator', 'bidang', 'pemberdayaan', 'masyarakat', 'abdul', 'muhaimin', 'iskandar', 'program', 'mbg', 'salah', 'program', 'prioritas', 'pemerintah', 'berdampak', 'masyarakat', 'luas', 'berdampak', 'program', 'makan', 'bergizi', 'gratis', 'menko', 'muhaimin']</t>
  </si>
  <si>
    <t>['menteri', 'koordinator', 'bidang', 'daya', 'masyarakat', 'abdul', 'muhaimin', 'iskandar', 'program', 'mbg', 'salah', 'program', 'prioritas', 'perintah', 'dampak', 'masyarakat', 'luas', 'dampak', 'program', 'makan', 'gizi', 'gratis', 'menko', 'muhaimin']</t>
  </si>
  <si>
    <t>dukungan masyarakat sangat diperlukan agar program makan bergizi gratis berjalan optimal melalui fokus mbg diperjelas pelaksanaan program dapat lebih terarah transparan dan memberikan manfaat nyata bagi penerima</t>
  </si>
  <si>
    <t>['dukungan', 'masyarakat', 'sangat', 'diperlukan', 'agar', 'program', 'makan', 'bergizi', 'gratis', 'berjalan', 'optimal', 'melalui', 'fokus', 'mbg', 'diperjelas', 'pelaksanaan', 'program', 'dapat', 'lebih', 'terarah', 'transparan', 'dan', 'memberikan', 'manfaat', 'nyata', 'bagi', 'penerima']</t>
  </si>
  <si>
    <t>['dukungan', 'masyarakat', 'program', 'makan', 'bergizi', 'gratis', 'berjalan', 'optimal', 'fokus', 'mbg', 'diperjelas', 'pelaksanaan', 'program', 'terarah', 'transparan', 'manfaat', 'nyata', 'penerima']</t>
  </si>
  <si>
    <t>['dukung', 'masyarakat', 'program', 'makan', 'gizi', 'gratis', 'jalan', 'optimal', 'fokus', 'mbg', 'jelas', 'laksana', 'program', 'arah', 'transparan', 'manfaat', 'nyata', 'terima']</t>
  </si>
  <si>
    <t>program makan bergizi gratis mbg turut mendorong peningkatan ekonomi pedagang di pasar kramat jati jakarta timur dengan naiknya permintaan buah untuk kebutuhan dapur mbg di wilayah jabodetabek salah satu pedagang gandi fanani mengaku tokonya kini menyuplai buah ke</t>
  </si>
  <si>
    <t>['program', 'makan', 'bergizi', 'gratis', 'mbg', 'turut', 'mendorong', 'peningkatan', 'ekonomi', 'pedagang', 'di', 'pasar', 'kramat', 'jati', 'jakarta', 'timur', 'dengan', 'naiknya', 'permintaan', 'buah', 'untuk', 'kebutuhan', 'dapur', 'mbg', 'di', 'wilayah', 'jabodetabek', 'salah', 'satu', 'pedagang', 'gandi', 'fanani', 'mengaku', 'tokonya', 'kini', 'menyuplai', 'buah', 'ke']</t>
  </si>
  <si>
    <t>['program', 'makan', 'bergizi', 'gratis', 'mbg', 'mendorong', 'peningkatan', 'ekonomi', 'pedagang', 'pasar', 'kramat', 'jati', 'jakarta', 'timur', 'naiknya', 'permintaan', 'buah', 'kebutuhan', 'dapur', 'mbg', 'wilayah', 'jabodetabek', 'salah', 'pedagang', 'gandi', 'fanani', 'mengaku', 'tokonya', 'menyuplai', 'buah']</t>
  </si>
  <si>
    <t>['program', 'makan', 'gizi', 'gratis', 'mbg', 'dorong', 'tingkat', 'ekonomi', 'dagang', 'pasar', 'kramat', 'jati', 'jakarta', 'timur', 'naik', 'minta', 'buah', 'butuh', 'dapur', 'mbg', 'wilayah', 'jabodetabek', 'salah', 'dagang', 'gandi', 'fanani', 'aku', 'toko', 'suplai', 'buah']</t>
  </si>
  <si>
    <t>ada saja ya akalnya orang yg makan duit bergizi gratis</t>
  </si>
  <si>
    <t>['ada', 'saja', 'ya', 'akalnya', 'orang', 'yg', 'makan', 'duit', 'bergizi', 'gratis']</t>
  </si>
  <si>
    <t>['akalnya', 'orang', 'makan', 'duit', 'bergizi', 'gratis']</t>
  </si>
  <si>
    <t>['akalnya', 'orang', 'makan', 'uang', 'bergizi', 'gratis']</t>
  </si>
  <si>
    <t>['akal', 'orang', 'makan', 'uang', 'gizi', 'gratis']</t>
  </si>
  <si>
    <t>baca di sini mobil pengangkut program makanan bergizi gratis mbg menabrak tiga rumah warga di jalan raya desa donomulyo malang setelah hilang kendali pada senin polisi memastikan tidak ada korban jiwa dalam kecelakaan tersebut namun</t>
  </si>
  <si>
    <t>['baca', 'di', 'sini', 'mobil', 'pengangkut', 'program', 'makanan', 'bergizi', 'gratis', 'mbg', 'menabrak', 'tiga', 'rumah', 'warga', 'di', 'jalan', 'raya', 'desa', 'donomulyo', 'malang', 'setelah', 'hilang', 'kendali', 'pada', 'senin', 'polisi', 'memastikan', 'tidak', 'ada', 'korban', 'jiwa', 'dalam', 'kecelakaan', 'tersebut', 'namun']</t>
  </si>
  <si>
    <t>['baca', 'mobil', 'pengangkut', 'program', 'makanan', 'bergizi', 'gratis', 'mbg', 'menabrak', 'rumah', 'warga', 'jalan', 'raya', 'desa', 'donomulyo', 'malang', 'hilang', 'kendali', 'senin', 'polisi', 'korban', 'jiwa', 'kecelakaan']</t>
  </si>
  <si>
    <t>['baca', 'mobil', 'angkut', 'program', 'makan', 'gizi', 'gratis', 'mbg', 'tabrak', 'rumah', 'warga', 'jalan', 'raya', 'desa', 'donomulyo', 'malang', 'hilang', 'kendali', 'senin', 'polisi', 'korban', 'jiwa', 'celaka']</t>
  </si>
  <si>
    <t>rpt cuma buat aplikasi absensi mbg proyek it makan bergizi gratis disorot karena anggarannya dinilai terlalu besar pemerintah bilang sistem sipgn iot dibutuhkan agar distribusi tepat sasaran dan cegah penyalahgunaan</t>
  </si>
  <si>
    <t>['rpt', 'cuma', 'buat', 'aplikasi', 'absensi', 'mbg', 'proyek', 'it', 'makan', 'bergizi', 'gratis', 'disorot', 'karena', 'anggarannya', 'dinilai', 'terlalu', 'besar', 'pemerintah', 'bilang', 'sistem', 'sipgn', 'iot', 'dibutuhkan', 'agar', 'distribusi', 'tepat', 'sasaran', 'dan', 'cegah', 'penyalahgunaan']</t>
  </si>
  <si>
    <t>['rpt', 'aplikasi', 'absensi', 'mbg', 'proyek', 'it', 'makan', 'bergizi', 'gratis', 'disorot', 'anggarannya', 'dinilai', 'pemerintah', 'sistem', 'sipgn', 'iot', 'dibutuhkan', 'distribusi', 'sasaran', 'cegah', 'penyalahgunaan']</t>
  </si>
  <si>
    <t>['rpt', 'aplikasi', 'absensi', 'mbg', 'proyek', 'it', 'makan', 'gizi', 'gratis', 'sorot', 'anggar', 'nilai', 'perintah', 'sistem', 'sipgn', 'iot', 'butuh', 'distribusi', 'sasar', 'cegah', 'penyalahgunaan']</t>
  </si>
  <si>
    <t>makan basi gratis ga usah pemerintah di mana klo makanan udh basi jangankan dikasih gratis dibuang klo perlu ini jelas anggaran duit rakyat tujuannya bergizi ternyata basi untung sekolah skrg lbh teliti kalo ga keracunan massal lagi sampai kapan ini</t>
  </si>
  <si>
    <t>['makan', 'basi', 'gratis', 'ga', 'usah', 'pemerintah', 'di', 'mana', 'klo', 'makanan', 'udh', 'basi', 'jangankan', 'dikasih', 'gratis', 'dibuang', 'klo', 'perlu', 'ini', 'jelas', 'anggaran', 'duit', 'rakyat', 'tujuannya', 'bergizi', 'ternyata', 'basi', 'untung', 'sekolah', 'skrg', 'lbh', 'teliti', 'kalo', 'ga', 'keracunan', 'massal', 'lagi', 'sampai', 'kapan', 'ini']</t>
  </si>
  <si>
    <t>&lt;FreqDist with 34 samples and 40 outcomes&gt;</t>
  </si>
  <si>
    <t>['makan', 'basi', 'gratis', 'pemerintah', 'makanan', 'udh', 'basi', 'dikasih', 'gratis', 'dibuang', 'anggaran', 'duit', 'rakyat', 'tujuannya', 'bergizi', 'basi', 'untung', 'sekolah', 'skrg', 'lbh', 'teliti', 'keracunan', 'massal']</t>
  </si>
  <si>
    <t>['makan', 'basi', 'gratis', 'pemerintah', 'makanan', 'sudah', 'basi', 'dikasih', 'gratis', 'dibuang', 'anggaran', 'uang', 'rakyat', 'tujuannya', 'bergizi', 'basi', 'untung', 'sekolah', 'sekarang', 'lebih', 'teliti', 'keracunan', 'massal']</t>
  </si>
  <si>
    <t>['makan', 'basi', 'gratis', 'perintah', 'makan', 'sudah', 'basi', 'kasih', 'gratis', 'buang', 'anggar', 'uang', 'rakyat', 'tuju', 'gizi', 'basi', 'untung', 'sekolah', 'sekarang', 'lebih', 'teliti', 'racun', 'massal']</t>
  </si>
  <si>
    <t>masa depan generasi muda lagi trending katanya cerah sama program pemerintah tapi realitanya anak muda sekarang lebih sibuk jadi zombie scroll  daripada bangun negara program makan bergizi gratis bagus tapi besok generasi kita yang bayar hutangnya siapa yang bikin masa</t>
  </si>
  <si>
    <t>['masa', 'depan', 'generasi', 'muda', 'lagi', 'trending', 'katanya', 'cerah', 'sama', 'program', 'pemerintah', 'tapi', 'realitanya', 'anak', 'muda', 'sekarang', 'lebih', 'sibuk', 'jadi', 'zombie', 'scroll', 'daripada', 'bangun', 'negara', 'program', 'makan', 'bergizi', 'gratis', 'bagus', 'tapi', 'besok', 'generasi', 'kita', 'yang', 'bayar', 'hutangnya', 'siapa', 'yang', 'bikin', 'masa']</t>
  </si>
  <si>
    <t>['generasi', 'muda', 'trending', 'cerah', 'program', 'pemerintah', 'realitanya', 'anak', 'muda', 'sibuk', 'zombie', 'scroll', 'bangun', 'negara', 'program', 'makan', 'bergizi', 'gratis', 'bagus', 'besok', 'generasi', 'bayar', 'hutangnya']</t>
  </si>
  <si>
    <t>['generasi', 'muda', 'populer', 'cerah', 'program', 'pemerintah', 'realitanya', 'anak', 'muda', 'sibuk', 'zombie', 'gulir', 'bangun', 'negara', 'program', 'makan', 'bergizi', 'gratis', 'bagus', 'besok', 'generasi', 'bayar', 'hutangnya']</t>
  </si>
  <si>
    <t>['generasi', 'muda', 'populer', 'cerah', 'program', 'perintah', 'realitanya', 'anak', 'muda', 'sibuk', 'zombie', 'gulir', 'bangun', 'negara', 'program', 'makan', 'gizi', 'gratis', 'bagus', 'besok', 'generasi', 'bayar', 'hutang']</t>
  </si>
  <si>
    <t>gizi tercukupi kualitas diawasi ketat distribusi dipantau secara digital dan ekonomi lapisan paling bawah ikut terangkat program makan bergizi gratis adalah paket lengkap untuk masa depan</t>
  </si>
  <si>
    <t>['gizi', 'tercukupi', 'kualitas', 'diawasi', 'ketat', 'distribusi', 'dipantau', 'secara', 'digital', 'dan', 'ekonomi', 'lapisan', 'paling', 'bawah', 'ikut', 'terangkat', 'program', 'makan', 'bergizi', 'gratis', 'adalah', 'paket', 'lengkap', 'untuk', 'masa', 'depan']</t>
  </si>
  <si>
    <t>['gizi', 'tercukupi', 'kualitas', 'diawasi', 'ketat', 'distribusi', 'dipantau', 'digital', 'ekonomi', 'lapisan', 'terangkat', 'program', 'makan', 'bergizi', 'gratis', 'paket', 'lengkap']</t>
  </si>
  <si>
    <t>['gizi', 'cukup', 'kualitas', 'awas', 'ketat', 'distribusi', 'pantau', 'digital', 'ekonomi', 'lapis', 'angkat', 'program', 'makan', 'gizi', 'gratis', 'paket', 'lengkap']</t>
  </si>
  <si>
    <t>bangfu basi yg jelas kalo kita komplen bakal ditanggepin dan ga ada tu mangkas duid pendidikan demi makan yg katanya bergizi gratis orang mereka juga berpendidikan</t>
  </si>
  <si>
    <t>['bangfu', 'basi', 'yg', 'jelas', 'kalo', 'kita', 'komplen', 'bakal', 'ditanggepin', 'dan', 'ga', 'ada', 'tu', 'mangkas', 'duid', 'pendidikan', 'demi', 'makan', 'yg', 'katanya', 'bergizi', 'gratis', 'orang', 'mereka', 'juga', 'berpendidikan']</t>
  </si>
  <si>
    <t>['bangfu', 'basi', 'komplen', 'ditanggepin', 'tu', 'mangkas', 'duid', 'pendidikan', 'makan', 'bergizi', 'gratis', 'orang', 'berpendidikan']</t>
  </si>
  <si>
    <t>['bangfu', 'basi', 'komplen', 'ditanggepin', 'itu', 'mangkas', 'uang', 'pendidikan', 'makan', 'bergizi', 'gratis', 'orang', 'berpendidikan']</t>
  </si>
  <si>
    <t>['bangfu', 'basi', 'komplen', 'ditanggepin', 'itu', 'mangkas', 'uang', 'didik', 'makan', 'gizi', 'gratis', 'orang', 'didik']</t>
  </si>
  <si>
    <t>makan bergizi gratis dirombak presiden prabowo fokus mbg diperjelas</t>
  </si>
  <si>
    <t>['makan', 'bergizi', 'gratis', 'dirombak', 'presiden', 'prabowo', 'fokus', 'mbg', 'diperjelas']</t>
  </si>
  <si>
    <t>['makan', 'gizi', 'gratis', 'rombak', 'presiden', 'prabowo', 'fokus', 'mbg', 'jelas']</t>
  </si>
  <si>
    <t>bukan lagi sekadar pembagian luas kini fokus mbg diperjelas pemerintah melakukan evaluasi menyeluruh agar program makan bergizi gratis memprioritaskan anakanak yang kurang gizi dan berisiko stunting mari dukung langkah ini agar manfaatnya benarbenar tepat sasaran</t>
  </si>
  <si>
    <t>['bukan', 'lagi', 'sekadar', 'pembagian', 'luas', 'kini', 'fokus', 'mbg', 'diperjelas', 'pemerintah', 'melakukan', 'evaluasi', 'menyeluruh', 'agar', 'program', 'makan', 'bergizi', 'gratis', 'memprioritaskan', 'anakanak', 'yang', 'kurang', 'gizi', 'dan', 'berisiko', 'stunting', 'mari', 'dukung', 'langkah', 'ini', 'agar', 'manfaatnya', 'benarbenar', 'tepat', 'sasaran']</t>
  </si>
  <si>
    <t>['pembagian', 'luas', 'fokus', 'mbg', 'diperjelas', 'pemerintah', 'evaluasi', 'program', 'makan', 'bergizi', 'gratis', 'memprioritaskan', 'anakanak', 'gizi', 'berisiko', 'stunting', 'mari', 'dukung', 'langkah', 'manfaatnya', 'benarbenar', 'sasaran']</t>
  </si>
  <si>
    <t>['bagi', 'luas', 'fokus', 'mbg', 'jelas', 'perintah', 'evaluasi', 'program', 'makan', 'gizi', 'gratis', 'prioritas', 'anakanak', 'gizi', 'risiko', 'stunting', 'mari', 'dukung', 'langkah', 'manfaat', 'benarbenar', 'sasar']</t>
  </si>
  <si>
    <t>menteri koordinator pemberdayaan masyarakat menko pm muhaimin iskandar atau cak imin mengatakan program makan bergizi gratis mbg menjadi salah satu yang berdampak untuk menekan angka kemiskinan ekstrem hal itu dia ungkapkan usai rapat evaluasi</t>
  </si>
  <si>
    <t>['menteri', 'koordinator', 'pemberdayaan', 'masyarakat', 'menko', 'pm', 'muhaimin', 'iskandar', 'atau', 'cak', 'imin', 'mengatakan', 'program', 'makan', 'bergizi', 'gratis', 'mbg', 'menjadi', 'salah', 'satu', 'yang', 'berdampak', 'untuk', 'menekan', 'angka', 'kemiskinan', 'ekstrem', 'hal', 'itu', 'dia', 'ungkapkan', 'usai', 'rapat', 'evaluasi']</t>
  </si>
  <si>
    <t>['menteri', 'koordinator', 'pemberdayaan', 'masyarakat', 'menko', 'pm', 'muhaimin', 'iskandar', 'cak', 'imin', 'program', 'makan', 'bergizi', 'gratis', 'mbg', 'salah', 'berdampak', 'menekan', 'angka', 'kemiskinan', 'ekstrem', 'ungkapkan', 'rapat', 'evaluasi']</t>
  </si>
  <si>
    <t>['menteri', 'koordinator', 'daya', 'masyarakat', 'menko', 'pm', 'muhaimin', 'iskandar', 'cak', 'imin', 'program', 'makan', 'gizi', 'gratis', 'mbg', 'salah', 'dampak', 'tekan', 'angka', 'miskin', 'ekstrem', 'ungkap', 'rapat', 'evaluasi']</t>
  </si>
  <si>
    <t>kabar duka datang dari kabupaten cianjur jawa barat setelah seorang balita berinisial mab disebut meninggal dunia usai menyantap menu makan bergizi gratis mbg</t>
  </si>
  <si>
    <t>['kabar', 'duka', 'datang', 'dari', 'kabupaten', 'cianjur', 'jawa', 'barat', 'setelah', 'seorang', 'balita', 'berinisial', 'mab', 'disebut', 'meninggal', 'dunia', 'usai', 'menyantap', 'menu', 'makan', 'bergizi', 'gratis', 'mbg']</t>
  </si>
  <si>
    <t>['kabar', 'duka', 'kabupaten', 'cianjur', 'jawa', 'barat', 'balita', 'berinisial', 'mab', 'meninggal', 'dunia', 'menyantap', 'menu', 'makan', 'bergizi', 'gratis', 'mbg']</t>
  </si>
  <si>
    <t>['kabar', 'duka', 'kabupaten', 'cianjur', 'jawa', 'barat', 'balita', 'inisial', 'mab', 'tinggal', 'dunia', 'santap', 'menu', 'makan', 'gizi', 'gratis', 'mbg']</t>
  </si>
  <si>
    <t>program makan bergizi gratis mbg tidak hanya berperan dalam meningkatkan asupan gizi masyarakat tetapi mendorong terbentuknya rantai pasok pasar lokal berbasis komunitas seperti di kelurahan punden kabupaten blora jawa tengah budidaya lele yg dikelola koperasi warga kini</t>
  </si>
  <si>
    <t>['program', 'makan', 'bergizi', 'gratis', 'mbg', 'tidak', 'hanya', 'berperan', 'dalam', 'meningkatkan', 'asupan', 'gizi', 'masyarakat', 'tetapi', 'mendorong', 'terbentuknya', 'rantai', 'pasok', 'pasar', 'lokal', 'berbasis', 'komunitas', 'seperti', 'di', 'kelurahan', 'punden', 'kabupaten', 'blora', 'jawa', 'tengah', 'budidaya', 'lele', 'yg', 'dikelola', 'koperasi', 'warga', 'kini']</t>
  </si>
  <si>
    <t>&lt;FreqDist with 37 samples and 37 outcomes&gt;</t>
  </si>
  <si>
    <t>['program', 'makan', 'bergizi', 'gratis', 'mbg', 'berperan', 'meningkatkan', 'asupan', 'gizi', 'masyarakat', 'mendorong', 'terbentuknya', 'rantai', 'pasok', 'pasar', 'lokal', 'berbasis', 'komunitas', 'kelurahan', 'punden', 'kabupaten', 'blora', 'jawa', 'budidaya', 'lele', 'dikelola', 'koperasi', 'warga']</t>
  </si>
  <si>
    <t>['program', 'makan', 'gizi', 'gratis', 'mbg', 'peran', 'tingkat', 'asupan', 'gizi', 'masyarakat', 'dorong', 'bentuk', 'rantai', 'pasok', 'pasar', 'lokal', 'bas', 'komunitas', 'lurah', 'punden', 'kabupaten', 'blora', 'jawa', 'budidaya', 'lele', 'kelola', 'koperasi', 'warga']</t>
  </si>
  <si>
    <t>pemerintah terus mengevaluasi dan meningkatkan kualitas layanan program makan bergizi gratis</t>
  </si>
  <si>
    <t>['pemerintah', 'terus', 'mengevaluasi', 'dan', 'meningkatkan', 'kualitas', 'layanan', 'program', 'makan', 'bergizi', 'gratis']</t>
  </si>
  <si>
    <t>['pemerintah', 'mengevaluasi', 'meningkatkan', 'kualitas', 'layanan', 'program', 'makan', 'bergizi', 'gratis']</t>
  </si>
  <si>
    <t>['perintah', 'evaluasi', 'tingkat', 'kualitas', 'layan', 'program', 'makan', 'gizi', 'gratis']</t>
  </si>
  <si>
    <t>lihat senyum anak ini saat menerima bantuan makanan bergizi dari program mbg bgn trs berupaya agar distribusi makanan bergizi gratis tepat sasaran ke penduduk miskin amp daerah rawan pangan tiap piring makanan yg terdistribusi adlh harapan baru utk masa depan yg lebih sehat</t>
  </si>
  <si>
    <t>['lihat', 'senyum', 'anak', 'ini', 'saat', 'menerima', 'bantuan', 'makanan', 'bergizi', 'dari', 'program', 'mbg', 'bgn', 'trs', 'berupaya', 'agar', 'distribusi', 'makanan', 'bergizi', 'gratis', 'tepat', 'sasaran', 'ke', 'penduduk', 'miskin', 'amp', 'daerah', 'rawan', 'pangan', 'tiap', 'piring', 'makanan', 'yg', 'terdistribusi', 'adlh', 'harapan', 'baru', 'utk', 'masa', 'depan', 'yg', 'lebih', 'sehat']</t>
  </si>
  <si>
    <t>&lt;FreqDist with 39 samples and 43 outcomes&gt;</t>
  </si>
  <si>
    <t>['lihat', 'senyum', 'anak', 'menerima', 'bantuan', 'makanan', 'bergizi', 'program', 'mbg', 'bgn', 'trs', 'berupaya', 'distribusi', 'makanan', 'bergizi', 'gratis', 'sasaran', 'penduduk', 'miskin', 'daerah', 'rawan', 'pangan', 'piring', 'makanan', 'terdistribusi', 'adlh', 'harapan', 'sehat']</t>
  </si>
  <si>
    <t>['lihat', 'senyum', 'anak', 'menerima', 'bantuan', 'makanan', 'bergizi', 'program', 'mbg', 'bgn', 'terus', 'berupaya', 'distribusi', 'makanan', 'bergizi', 'gratis', 'sasaran', 'penduduk', 'miskin', 'daerah', 'rawan', 'pangan', 'piring', 'makanan', 'terdistribusi', 'adalah', 'harapan', 'sehat']</t>
  </si>
  <si>
    <t>['lihat', 'senyum', 'anak', 'terima', 'bantu', 'makan', 'gizi', 'program', 'mbg', 'bgn', 'terus', 'upaya', 'distribusi', 'makan', 'gizi', 'gratis', 'sasar', 'duduk', 'miskin', 'daerah', 'rawan', 'pangan', 'piring', 'makan', 'distribusi', 'adalah', 'harap', 'sehat']</t>
  </si>
  <si>
    <t>andai saja ceo embegeh itu lebih memprioritaskan pendidikan seperti mas pram ini daripada makan siang bergizi gratis tapi bnyk tidak bergizinya dan tidak gratis juga karena itu duit pajak rakyat yg berakhir di jamban</t>
  </si>
  <si>
    <t>['andai', 'saja', 'ceo', 'embegeh', 'itu', 'lebih', 'memprioritaskan', 'pendidikan', 'seperti', 'mas', 'pram', 'ini', 'daripada', 'makan', 'siang', 'bergizi', 'gratis', 'tapi', 'bnyk', 'tidak', 'bergizinya', 'dan', 'tidak', 'gratis', 'juga', 'karena', 'itu', 'duit', 'pajak', 'rakyat', 'yg', 'berakhir', 'di', 'jamban']</t>
  </si>
  <si>
    <t>['andai', 'ceo', 'embegeh', 'memprioritaskan', 'pendidikan', 'mas', 'pram', 'makan', 'siang', 'bergizi', 'gratis', 'bnyk', 'bergizinya', 'gratis', 'duit', 'pajak', 'rakyat', 'jamban']</t>
  </si>
  <si>
    <t>['andai', 'ceo', 'embegeh', 'memprioritaskan', 'pendidikan', 'kakak', 'pram', 'makan', 'siang', 'bergizi', 'gratis', 'banyak', 'bergizinya', 'gratis', 'uang', 'pajak', 'rakyat', 'jamban']</t>
  </si>
  <si>
    <t>['andai', 'ceo', 'embegeh', 'prioritas', 'didik', 'kakak', 'pram', 'makan', 'siang', 'gizi', 'gratis', 'banyak', 'gizi', 'gratis', 'uang', 'pajak', 'rakyat', 'jamban']</t>
  </si>
  <si>
    <t>sobatkom program makan bergizi gratis mbg bukan hanya tentang pemenuhan gizi tetapi juga tentang membangun ekosistem yang berkelanjutan</t>
  </si>
  <si>
    <t>['sobatkom', 'program', 'makan', 'bergizi', 'gratis', 'mbg', 'bukan', 'hanya', 'tentang', 'pemenuhan', 'gizi', 'tetapi', 'juga', 'tentang', 'membangun', 'ekosistem', 'yang', 'berkelanjutan']</t>
  </si>
  <si>
    <t>['sobatkom', 'program', 'makan', 'bergizi', 'gratis', 'mbg', 'pemenuhan', 'gizi', 'membangun', 'ekosistem', 'berkelanjutan']</t>
  </si>
  <si>
    <t>['sobatkom', 'program', 'makan', 'gizi', 'gratis', 'mbg', 'penuh', 'gizi', 'bangun', 'ekosistem', 'lanjut']</t>
  </si>
  <si>
    <t>pemerintah menghentikan sementara operasional satuan pelayanan pemenuhan gizi sppg setelah ditemukan adanya pengurangan porsi dalam pelaksanaan program makan bergizi gratis langkah ini diambil sebagai bentuk evaluasi dan penegakan standar guna memastikan kualitas serta</t>
  </si>
  <si>
    <t>['pemerintah', 'menghentikan', 'sementara', 'operasional', 'satuan', 'pelayanan', 'pemenuhan', 'gizi', 'sppg', 'setelah', 'ditemukan', 'adanya', 'pengurangan', 'porsi', 'dalam', 'pelaksanaan', 'program', 'makan', 'bergizi', 'gratis', 'langkah', 'ini', 'diambil', 'sebagai', 'bentuk', 'evaluasi', 'dan', 'penegakan', 'standar', 'guna', 'memastikan', 'kualitas', 'serta']</t>
  </si>
  <si>
    <t>&lt;FreqDist with 33 samples and 33 outcomes&gt;</t>
  </si>
  <si>
    <t>['pemerintah', 'menghentikan', 'operasional', 'satuan', 'pelayanan', 'pemenuhan', 'gizi', 'sppg', 'ditemukan', 'pengurangan', 'porsi', 'pelaksanaan', 'program', 'makan', 'bergizi', 'gratis', 'langkah', 'diambil', 'bentuk', 'evaluasi', 'penegakan', 'standar', 'kualitas']</t>
  </si>
  <si>
    <t>['perintah', 'henti', 'operasional', 'satu', 'layan', 'penuh', 'gizi', 'sppg', 'temu', 'kurang', 'porsi', 'laksana', 'program', 'makan', 'gizi', 'gratis', 'langkah', 'ambil', 'bentuk', 'evaluasi', 'tega', 'standar', 'kualitas']</t>
  </si>
  <si>
    <t>apa alasannya makan siang gratis di china efektif sedangkan makan siang gratis di indonesia masih terbilang belum efektif apakah karena kita baru menjalankan program ini atau karena hal lain bukan tapi lebih karena indonesia tidak tau diri coba lihat berapa apbn nya china</t>
  </si>
  <si>
    <t>['apa', 'alasannya', 'makan', 'siang', 'gratis', 'di', 'china', 'efektif', 'sedangkan', 'makan', 'siang', 'gratis', 'di', 'indonesia', 'masih', 'terbilang', 'belum', 'efektif', 'apakah', 'karena', 'kita', 'baru', 'menjalankan', 'program', 'ini', 'atau', 'karena', 'hal', 'lain', 'bukan', 'tapi', 'lebih', 'karena', 'indonesia', 'tidak', 'tau', 'diri', 'coba', 'lihat', 'berapa', 'apbn', 'nya', 'china']</t>
  </si>
  <si>
    <t>&lt;FreqDist with 34 samples and 43 outcomes&gt;</t>
  </si>
  <si>
    <t>['alasannya', 'makan', 'siang', 'gratis', 'china', 'efektif', 'makan', 'siang', 'gratis', 'indonesia', 'terbilang', 'efektif', 'menjalankan', 'program', 'indonesia', 'coba', 'lihat', 'apbn', 'china']</t>
  </si>
  <si>
    <t>['alas', 'makan', 'siang', 'gratis', 'china', 'efektif', 'makan', 'siang', 'gratis', 'indonesia', 'bilang', 'efektif', 'jalan', 'program', 'indonesia', 'coba', 'lihat', 'apbn', 'china']</t>
  </si>
  <si>
    <t>program makan bergizi gratis mbg berdampak positif bagi gizi siswa namun memicu keprihatinan terkait beban kerja guru dan ketimpangan gaji guru seringkali harus mengawasi distribusi makan bahkan ada laporan gaji honorer jauh di bawah staf pendukung program di jakarta</t>
  </si>
  <si>
    <t>['program', 'makan', 'bergizi', 'gratis', 'mbg', 'berdampak', 'positif', 'bagi', 'gizi', 'siswa', 'namun', 'memicu', 'keprihatinan', 'terkait', 'beban', 'kerja', 'guru', 'dan', 'ketimpangan', 'gaji', 'guru', 'seringkali', 'harus', 'mengawasi', 'distribusi', 'makan', 'bahkan', 'ada', 'laporan', 'gaji', 'honorer', 'jauh', 'di', 'bawah', 'staf', 'pendukung', 'program', 'di', 'jakarta']</t>
  </si>
  <si>
    <t>['program', 'makan', 'bergizi', 'gratis', 'mbg', 'berdampak', 'positif', 'gizi', 'siswa', 'memicu', 'keprihatinan', 'terkait', 'beban', 'kerja', 'guru', 'ketimpangan', 'gaji', 'guru', 'seringkali', 'mengawasi', 'distribusi', 'makan', 'laporan', 'gaji', 'honorer', 'staf', 'pendukung', 'program', 'jakarta']</t>
  </si>
  <si>
    <t>['program', 'makan', 'gizi', 'gratis', 'mbg', 'dampak', 'positif', 'gizi', 'siswa', 'picu', 'prihatin', 'kait', 'beban', 'kerja', 'guru', 'timpang', 'gaji', 'guru', 'seringkali', 'awas', 'distribusi', 'makan', 'lapor', 'gaji', 'honorer', 'staf', 'dukung', 'program', 'jakarta']</t>
  </si>
  <si>
    <t>nxttou apbn total anggaran pendidikan mencapai sekitar rp triliun masih memenuhi amanat apbn dari jumlah tersebut porsi yang cukup besar dialokasikan ke badan gizi nasional bgn untuk menjalankan program makan bergizi gratis mbg yaitu sekitar rp triliun</t>
  </si>
  <si>
    <t>['nxttou', 'apbn', 'total', 'anggaran', 'pendidikan', 'mencapai', 'sekitar', 'rp', 'triliun', 'masih', 'memenuhi', 'amanat', 'apbn', 'dari', 'jumlah', 'tersebut', 'porsi', 'yang', 'cukup', 'besar', 'dialokasikan', 'ke', 'badan', 'gizi', 'nasional', 'bgn', 'untuk', 'menjalankan', 'program', 'makan', 'bergizi', 'gratis', 'mbg', 'yaitu', 'sekitar', 'rp', 'triliun']</t>
  </si>
  <si>
    <t>['nxttou', 'apbn', 'total', 'anggaran', 'pendidikan', 'mencapai', 'rp', 'triliun', 'memenuhi', 'amanat', 'apbn', 'porsi', 'dialokasikan', 'badan', 'gizi', 'nasional', 'bgn', 'menjalankan', 'program', 'makan', 'bergizi', 'gratis', 'mbg', 'rp', 'triliun']</t>
  </si>
  <si>
    <t>['nxttou', 'apbn', 'total', 'anggar', 'didik', 'capai', 'rp', 'triliun', 'penuh', 'amanat', 'apbn', 'porsi', 'alokasi', 'badan', 'gizi', 'nasional', 'bgn', 'jalan', 'program', 'makan', 'gizi', 'gratis', 'mbg', 'rp', 'triliun']</t>
  </si>
  <si>
    <t>bagaimana jika program makan bergizi gratis justru menciptakan wabah yang mengubah anakanak sekolah menjadi pemangsa manusia kami sedang menggarap film pendek berjudul jam makan siang sebuah cerita tentang kebijakan yang dipaksakan anggaran yang dipotong dan</t>
  </si>
  <si>
    <t>['bagaimana', 'jika', 'program', 'makan', 'bergizi', 'gratis', 'justru', 'menciptakan', 'wabah', 'yang', 'mengubah', 'anakanak', 'sekolah', 'menjadi', 'pemangsa', 'manusia', 'kami', 'sedang', 'menggarap', 'film', 'pendek', 'berjudul', 'jam', 'makan', 'siang', 'sebuah', 'cerita', 'tentang', 'kebijakan', 'yang', 'dipaksakan', 'anggaran', 'yang', 'dipotong', 'dan']</t>
  </si>
  <si>
    <t>['program', 'makan', 'bergizi', 'gratis', 'menciptakan', 'wabah', 'mengubah', 'anakanak', 'sekolah', 'pemangsa', 'manusia', 'menggarap', 'film', 'pendek', 'berjudul', 'jam', 'makan', 'siang', 'cerita', 'kebijakan', 'dipaksakan', 'anggaran', 'dipotong']</t>
  </si>
  <si>
    <t>['program', 'makan', 'gizi', 'gratis', 'cipta', 'wabah', 'ubah', 'anakanak', 'sekolah', 'mangsa', 'manusia', 'garap', 'film', 'pendek', 'judul', 'jam', 'makan', 'siang', 'cerita', 'bijak', 'paksa', 'anggar', 'potong']</t>
  </si>
  <si>
    <t>pemerintah memperkuat implementasi program makan bergizi gratis melalui integrasi sistem digital guna memastikan ketepatan sasaran efisiensi distribusi dan transparansi endtoend</t>
  </si>
  <si>
    <t>['pemerintah', 'memperkuat', 'implementasi', 'program', 'makan', 'bergizi', 'gratis', 'melalui', 'integrasi', 'sistem', 'digital', 'guna', 'memastikan', 'ketepatan', 'sasaran', 'efisiensi', 'distribusi', 'dan', 'transparansi', 'endtoend']</t>
  </si>
  <si>
    <t>['pemerintah', 'memperkuat', 'implementasi', 'program', 'makan', 'bergizi', 'gratis', 'integrasi', 'sistem', 'digital', 'ketepatan', 'sasaran', 'efisiensi', 'distribusi', 'transparansi', 'endtoend']</t>
  </si>
  <si>
    <t>['perintah', 'kuat', 'implementasi', 'program', 'makan', 'gizi', 'gratis', 'integrasi', 'sistem', 'digital', 'tepat', 'sasar', 'efisiensi', 'distribusi', 'transparansi', 'endtoend']</t>
  </si>
  <si>
    <t>personel babinsa jajaran kodim sidrap melaksanakan kegiatan pendampingan penyaluran program makan bergizi gratis di wilayah kabupaten sidrap selasa</t>
  </si>
  <si>
    <t>['personel', 'babinsa', 'jajaran', 'kodim', 'sidrap', 'melaksanakan', 'kegiatan', 'pendampingan', 'penyaluran', 'program', 'makan', 'bergizi', 'gratis', 'di', 'wilayah', 'kabupaten', 'sidrap', 'selasa']</t>
  </si>
  <si>
    <t>['personel', 'babinsa', 'jajaran', 'kodim', 'sidrap', 'melaksanakan', 'kegiatan', 'pendampingan', 'penyaluran', 'program', 'makan', 'bergizi', 'gratis', 'wilayah', 'kabupaten', 'sidrap', 'selasa']</t>
  </si>
  <si>
    <t>['personel', 'babinsa', 'jajar', 'kodim', 'sidrap', 'laksana', 'giat', 'damping', 'salur', 'program', 'makan', 'gizi', 'gratis', 'wilayah', 'kabupaten', 'sidrap', 'selasa']</t>
  </si>
  <si>
    <t>mbg harus tepat sasaran wakil gubernur banten achmad dimyati natakusumah menegaskan program makan bergizi gratis mbg harus dijalankan dengan orientasi sosial fokusnya jelas program ini untuk pemenuhan gizi masyarakat bukan untuk kepentingan bisnis hal yang perlu dijaga</t>
  </si>
  <si>
    <t>['mbg', 'harus', 'tepat', 'sasaran', 'wakil', 'gubernur', 'banten', 'achmad', 'dimyati', 'natakusumah', 'menegaskan', 'program', 'makan', 'bergizi', 'gratis', 'mbg', 'harus', 'dijalankan', 'dengan', 'orientasi', 'sosial', 'fokusnya', 'jelas', 'program', 'ini', 'untuk', 'pemenuhan', 'gizi', 'masyarakat', 'bukan', 'untuk', 'kepentingan', 'bisnis', 'hal', 'yang', 'perlu', 'dijaga']</t>
  </si>
  <si>
    <t>['mbg', 'sasaran', 'wakil', 'gubernur', 'banten', 'achmad', 'dimyati', 'natakusumah', 'program', 'makan', 'bergizi', 'gratis', 'mbg', 'dijalankan', 'orientasi', 'sosial', 'fokusnya', 'program', 'pemenuhan', 'gizi', 'masyarakat', 'kepentingan', 'bisnis', 'dijaga']</t>
  </si>
  <si>
    <t>['mbg', 'sasar', 'wakil', 'gubernur', 'banten', 'achmad', 'dimyati', 'natakusumah', 'program', 'makan', 'gizi', 'gratis', 'mbg', 'jalan', 'orientasi', 'sosial', 'fokus', 'program', 'penuh', 'gizi', 'masyarakat', 'penting', 'bisnis', 'jaga']</t>
  </si>
  <si>
    <t>sebelumnya mbg sempat dijalankan hingga hari di sejumlah daerah lalu diseragamkan menjadi hari mengikuti hari sekolah kini kembali disesuaikan menjadi hari dengan pertimbangan efektivitas distribusi serta efisiensi anggaran negara</t>
  </si>
  <si>
    <t>['sebelumnya', 'mbg', 'sempat', 'dijalankan', 'hingga', 'hari', 'di', 'sejumlah', 'daerah', 'lalu', 'diseragamkan', 'menjadi', 'hari', 'mengikuti', 'hari', 'sekolah', 'kini', 'kembali', 'disesuaikan', 'menjadi', 'hari', 'dengan', 'pertimbangan', 'efektivitas', 'distribusi', 'serta', 'efisiensi', 'anggaran', 'negara']</t>
  </si>
  <si>
    <t>&lt;FreqDist with 25 samples and 29 outcomes&gt;</t>
  </si>
  <si>
    <t>['mbg', 'dijalankan', 'daerah', 'diseragamkan', 'mengikuti', 'sekolah', 'disesuaikan', 'pertimbangan', 'efektivitas', 'distribusi', 'efisiensi', 'anggaran', 'negara']</t>
  </si>
  <si>
    <t>['mbg', 'jalan', 'daerah', 'seragam', 'ikut', 'sekolah', 'sesuai', 'timbang', 'efektivitas', 'distribusi', 'efisiensi', 'anggar', 'negara']</t>
  </si>
  <si>
    <t>program makan bergizi gratis mbg kini disesuaikan menjadi hari dalam seminggu kebijakan ini merupakan bagian dari penajaman anggaran agar program tetap berjalan namun lebih efisien dan terukur</t>
  </si>
  <si>
    <t>['program', 'makan', 'bergizi', 'gratis', 'mbg', 'kini', 'disesuaikan', 'menjadi', 'hari', 'dalam', 'seminggu', 'kebijakan', 'ini', 'merupakan', 'bagian', 'dari', 'penajaman', 'anggaran', 'agar', 'program', 'tetap', 'berjalan', 'namun', 'lebih', 'efisien', 'dan', 'terukur']</t>
  </si>
  <si>
    <t>['program', 'makan', 'bergizi', 'gratis', 'mbg', 'disesuaikan', 'seminggu', 'kebijakan', 'penajaman', 'anggaran', 'program', 'berjalan', 'efisien', 'terukur']</t>
  </si>
  <si>
    <t>['program', 'makan', 'gizi', 'gratis', 'mbg', 'sesuai', 'minggu', 'bijak', 'najam', 'anggar', 'program', 'jalan', 'efisien', 'ukur']</t>
  </si>
  <si>
    <t>program makan bergizi gratis ini ironis anggaran besar niatnya bantu yang paling membutuhkan tapi yang kenyang malah yang bukan yang membutuhkan menurut riset program ini dari awal belum matang dan sekarang makin kelihatan implementasinya melenceng</t>
  </si>
  <si>
    <t>['program', 'makan', 'bergizi', 'gratis', 'ini', 'ironis', 'anggaran', 'besar', 'niatnya', 'bantu', 'yang', 'paling', 'membutuhkan', 'tapi', 'yang', 'kenyang', 'malah', 'yang', 'bukan', 'yang', 'membutuhkan', 'menurut', 'riset', 'program', 'ini', 'dari', 'awal', 'belum', 'matang', 'dan', 'sekarang', 'makin', 'kelihatan', 'implementasinya', 'melenceng']</t>
  </si>
  <si>
    <t>&lt;FreqDist with 29 samples and 35 outcomes&gt;</t>
  </si>
  <si>
    <t>['program', 'makan', 'bergizi', 'gratis', 'ironis', 'anggaran', 'niatnya', 'bantu', 'membutuhkan', 'kenyang', 'membutuhkan', 'riset', 'program', 'matang', 'implementasinya', 'melenceng']</t>
  </si>
  <si>
    <t>['program', 'makan', 'gizi', 'gratis', 'ironis', 'anggar', 'niat', 'bantu', 'butuh', 'kenyang', 'butuh', 'riset', 'program', 'matang', 'implementasi', 'lenceng']</t>
  </si>
  <si>
    <t>program makan bergizi gratis di sman kota tegal kembali berjalan setelah sempat terhenti selama satu bulan melalui sppg polri kejambon kota tegal sebanyak siswa kembali menerima asupan makanan bergizi pada penyaluran perdana program tersebuthan</t>
  </si>
  <si>
    <t>['program', 'makan', 'bergizi', 'gratis', 'di', 'sman', 'kota', 'tegal', 'kembali', 'berjalan', 'setelah', 'sempat', 'terhenti', 'selama', 'satu', 'bulan', 'melalui', 'sppg', 'polri', 'kejambon', 'kota', 'tegal', 'sebanyak', 'siswa', 'kembali', 'menerima', 'asupan', 'makanan', 'bergizi', 'pada', 'penyaluran', 'perdana', 'program', 'tersebuthan']</t>
  </si>
  <si>
    <t>['program', 'makan', 'bergizi', 'gratis', 'sman', 'kota', 'tegal', 'berjalan', 'terhenti', 'sppg', 'polri', 'kejambon', 'kota', 'tegal', 'siswa', 'menerima', 'asupan', 'makanan', 'bergizi', 'penyaluran', 'perdana', 'program', 'tersebuthan']</t>
  </si>
  <si>
    <t>['program', 'makan', 'gizi', 'gratis', 'sman', 'kota', 'tegal', 'jalan', 'henti', 'sppg', 'polri', 'jambon', 'kota', 'tegal', 'siswa', 'terima', 'asupan', 'makan', 'gizi', 'salur', 'perdana', 'program', 'tersebuthan']</t>
  </si>
  <si>
    <t>karena itu di ruang publik dari tema makan bergizi gratis ketimpangan sosial sekolah rakyat hingga geopolitik dll</t>
  </si>
  <si>
    <t>['karena', 'itu', 'di', 'ruang', 'publik', 'dari', 'tema', 'makan', 'bergizi', 'gratis', 'ketimpangan', 'sosial', 'sekolah', 'rakyat', 'hingga', 'geopolitik', 'dll']</t>
  </si>
  <si>
    <t>['ruang', 'publik', 'tema', 'makan', 'bergizi', 'gratis', 'ketimpangan', 'sosial', 'sekolah', 'rakyat', 'geopolitik', 'dll']</t>
  </si>
  <si>
    <t>['ruang', 'publik', 'tema', 'makan', 'bergizi', 'gratis', 'ketimpangan', 'sosial', 'sekolah', 'rakyat', 'geopolitik', 'dsb']</t>
  </si>
  <si>
    <t>['ruang', 'publik', 'tema', 'makan', 'gizi', 'gratis', 'timpang', 'sosial', 'sekolah', 'rakyat', 'geopolitik', 'dsb']</t>
  </si>
  <si>
    <t>jalanpejuang ya sudah kalau prioritas berhemat maka hentikan saja program beranggaran besar jika prioritas untuk pemenuhan gizi ya mana cukup bergizi jika hanya diberi makan kali per minggu padahal dalam sehari butuh makan kali sehari</t>
  </si>
  <si>
    <t>['jalanpejuang', 'ya', 'sudah', 'kalau', 'prioritas', 'berhemat', 'maka', 'hentikan', 'saja', 'program', 'beranggaran', 'besar', 'jika', 'prioritas', 'untuk', 'pemenuhan', 'gizi', 'ya', 'mana', 'cukup', 'bergizi', 'jika', 'hanya', 'diberi', 'makan', 'kali', 'per', 'minggu', 'padahal', 'dalam', 'sehari', 'butuh', 'makan', 'kali', 'sehari']</t>
  </si>
  <si>
    <t>['jalanpejuang', 'prioritas', 'berhemat', 'hentikan', 'program', 'beranggaran', 'prioritas', 'pemenuhan', 'gizi', 'bergizi', 'makan', 'kali', 'minggu', 'sehari', 'butuh', 'makan', 'kali', 'sehari']</t>
  </si>
  <si>
    <t>['jalanpejuang', 'prioritas', 'hemat', 'henti', 'program', 'anggar', 'prioritas', 'penuh', 'gizi', 'gizi', 'makan', 'kali', 'minggu', 'hari', 'butuh', 'makan', 'kali', 'hari']</t>
  </si>
  <si>
    <t>setiap hari jam wib umum santunan anak yatim tiap hari gratis makan bergizi rumah yatim hafiz open donatur bca kcu kalimalang norek an trisnosri utami instagram</t>
  </si>
  <si>
    <t>['setiap', 'hari', 'jam', 'wib', 'umum', 'santunan', 'anak', 'yatim', 'tiap', 'hari', 'gratis', 'makan', 'bergizi', 'rumah', 'yatim', 'hafiz', 'open', 'donatur', 'bca', 'kcu', 'kalimalang', 'norek', 'an', 'trisnosri', 'utami', 'instagram']</t>
  </si>
  <si>
    <t>['jam', 'wib', 'santunan', 'anak', 'yatim', 'gratis', 'makan', 'bergizi', 'rumah', 'yatim', 'hafiz', 'open', 'donatur', 'bca', 'kcu', 'kalimalang', 'norek', 'an', 'trisnosri', 'utami', 'instagram']</t>
  </si>
  <si>
    <t>['jam', 'wib', 'santunan', 'anak', 'yatim', 'gratis', 'makan', 'bergizi', 'rumah', 'yatim', 'hafiz', 'buka', 'donatur', 'bca', 'kcu', 'kalimalang', 'norek', 'an', 'trisnosri', 'utami', 'instagram']</t>
  </si>
  <si>
    <t>['jam', 'wib', 'santun', 'anak', 'yatim', 'gratis', 'makan', 'gizi', 'rumah', 'yatim', 'hafiz', 'buka', 'donatur', 'bca', 'kcu', 'kalimalang', 'norek', 'an', 'trisnosri', 'utami', 'instagram']</t>
  </si>
  <si>
    <t>innalillahi wa inna ilaihi rojiun kabar duka datang dari kabupaten cianjur setelah seorang balita berinisial mab dilaporkan meninggal dunia usai mengonsumsi menu makan bergizi gratis mbg korban merupakan satu dari warga kecamatan leles yang mengalami keracunan massal</t>
  </si>
  <si>
    <t>['innalillahi', 'wa', 'inna', 'ilaihi', 'rojiun', 'kabar', 'duka', 'datang', 'dari', 'kabupaten', 'cianjur', 'setelah', 'seorang', 'balita', 'berinisial', 'mab', 'dilaporkan', 'meninggal', 'dunia', 'usai', 'mengonsumsi', 'menu', 'makan', 'bergizi', 'gratis', 'mbg', 'korban', 'merupakan', 'satu', 'dari', 'warga', 'kecamatan', 'leles', 'yang', 'mengalami', 'keracunan', 'massal']</t>
  </si>
  <si>
    <t>['innalillahi', 'wa', 'inna', 'ilaihi', 'rojiun', 'kabar', 'duka', 'kabupaten', 'cianjur', 'balita', 'berinisial', 'mab', 'dilaporkan', 'meninggal', 'dunia', 'mengonsumsi', 'menu', 'makan', 'bergizi', 'gratis', 'mbg', 'korban', 'warga', 'kecamatan', 'leles', 'mengalami', 'keracunan', 'massal']</t>
  </si>
  <si>
    <t>['innalillahi', 'whatsapp', 'inna', 'ilaihi', 'rojiun', 'kabar', 'duka', 'kabupaten', 'cianjur', 'balita', 'berinisial', 'mab', 'dilaporkan', 'meninggal', 'dunia', 'mengonsumsi', 'menu', 'makan', 'bergizi', 'gratis', 'mbg', 'korban', 'warga', 'kecamatan', 'leles', 'mengalami', 'keracunan', 'massal']</t>
  </si>
  <si>
    <t>['innalillahi', 'whatsapp', 'inna', 'ilaihi', 'rojiun', 'kabar', 'duka', 'kabupaten', 'cianjur', 'balita', 'inisial', 'mab', 'lapor', 'tinggal', 'dunia', 'konsumsi', 'menu', 'makan', 'gizi', 'gratis', 'mbg', 'korban', 'warga', 'camat', 'leles', 'alami', 'racun', 'massal']</t>
  </si>
  <si>
    <t>nkr buzzer mbgprogram yg habisin apbn hny utk sekali makan itupun jauuuh dr yg lu katakan bergizi tinggi air rasa susu buah sepotong paha ayam ca sayuran semangkuk kecil nasilu pikir bisa penuhi gizinya smtr ayah dphk sebabkan ayah ibu  kakakny lapar drmh are  happy</t>
  </si>
  <si>
    <t>['nkr', 'buzzer', 'mbgprogram', 'yg', 'habisin', 'apbn', 'hny', 'utk', 'sekali', 'makan', 'itupun', 'jauuuh', 'dr', 'yg', 'lu', 'katakan', 'bergizi', 'tinggi', 'air', 'rasa', 'susu', 'buah', 'sepotong', 'paha', 'ayam', 'ca', 'sayuran', 'semangkuk', 'kecil', 'nasilu', 'pikir', 'bisa', 'penuhi', 'gizinya', 'smtr', 'ayah', 'dphk', 'sebabkan', 'ayah', 'ibu', 'kakakny', 'lapar', 'drmh', 'are', 'happy']</t>
  </si>
  <si>
    <t>&lt;FreqDist with 43 samples and 45 outcomes&gt;</t>
  </si>
  <si>
    <t>['nkr', 'buzzer', 'mbgprogram', 'habisin', 'apbn', 'hny', 'makan', 'itupun', 'jauuuh', 'dr', 'lu', 'bergizi', 'air', 'susu', 'buah', 'sepotong', 'paha', 'ayam', 'ca', 'sayuran', 'semangkuk', 'nasilu', 'pikir', 'penuhi', 'gizinya', 'smtr', 'ayah', 'dphk', 'sebabkan', 'ayah', 'kakakny', 'lapar', 'drmh', 'are', 'happy']</t>
  </si>
  <si>
    <t>['nkr', 'buzzer', 'mbgprogram', 'habisin', 'apbn', 'hny', 'makan', 'itupun', 'jauuuh', 'dari', 'lu', 'bergizi', 'air', 'susu', 'buah', 'sepotong', 'paha', 'ayam', 'ca', 'sayuran', 'semangkuk', 'nasilu', 'pikir', 'penuhi', 'gizinya', 'smtr', 'bapak', 'dphk', 'sebabkan', 'bapak', 'kakakny', 'lapar', 'drmh', 'are', 'senang']</t>
  </si>
  <si>
    <t>['nkr', 'buzzer', 'mbgprogram', 'habisin', 'apbn', 'hny', 'makan', 'itu', 'jauuuh', 'dari', 'lu', 'gizi', 'air', 'susu', 'buah', 'potong', 'paha', 'ayam', 'ca', 'sayur', 'semangkuk', 'nasilu', 'pikir', 'penuh', 'gizi', 'smtr', 'bapak', 'dphk', 'sebab', 'bapak', 'kakakny', 'lapar', 'drmh', 'are', 'senang']</t>
  </si>
  <si>
    <t>dunia kini menoleh ke indonesia sebuah pencapaian membanggakan bagi badan gizi nasional bgn di mana negaranegara asean kini resmi menjadikan program makan bergizi gratis mbg indonesia sebagai model percontohan tingkat regional</t>
  </si>
  <si>
    <t>['dunia', 'kini', 'menoleh', 'ke', 'indonesia', 'sebuah', 'pencapaian', 'membanggakan', 'bagi', 'badan', 'gizi', 'nasional', 'bgn', 'di', 'mana', 'negaranegara', 'asean', 'kini', 'resmi', 'menjadikan', 'program', 'makan', 'bergizi', 'gratis', 'mbg', 'indonesia', 'sebagai', 'model', 'percontohan', 'tingkat', 'regional']</t>
  </si>
  <si>
    <t>&lt;FreqDist with 29 samples and 31 outcomes&gt;</t>
  </si>
  <si>
    <t>['dunia', 'menoleh', 'indonesia', 'pencapaian', 'membanggakan', 'badan', 'gizi', 'nasional', 'bgn', 'negaranegara', 'asean', 'resmi', 'menjadikan', 'program', 'makan', 'bergizi', 'gratis', 'mbg', 'indonesia', 'model', 'percontohan', 'tingkat', 'regional']</t>
  </si>
  <si>
    <t>['dunia', 'toleh', 'indonesia', 'capai', 'bangga', 'badan', 'gizi', 'nasional', 'bgn', 'negaranegara', 'asean', 'resmi', 'jadi', 'program', 'makan', 'gizi', 'gratis', 'mbg', 'indonesia', 'model', 'contoh', 'tingkat', 'regional']</t>
  </si>
  <si>
    <t>mbg tahun program gizi diminta berlanjut lintas pemerintahan asosiasi pengusaha dan pengelola dapur makan bergizi gratis appmbgi mendorong agar program makan bergizi gratis mbg bisa berjalan hingga tahun ke depan</t>
  </si>
  <si>
    <t>['mbg', 'tahun', 'program', 'gizi', 'diminta', 'berlanjut', 'lintas', 'pemerintahan', 'asosiasi', 'pengusaha', 'dan', 'pengelola', 'dapur', 'makan', 'bergizi', 'gratis', 'appmbgi', 'mendorong', 'agar', 'program', 'makan', 'bergizi', 'gratis', 'mbg', 'bisa', 'berjalan', 'hingga', 'tahun', 'ke', 'depan']</t>
  </si>
  <si>
    <t>&lt;FreqDist with 24 samples and 30 outcomes&gt;</t>
  </si>
  <si>
    <t>['mbg', 'program', 'gizi', 'berlanjut', 'lintas', 'pemerintahan', 'asosiasi', 'pengusaha', 'pengelola', 'dapur', 'makan', 'bergizi', 'gratis', 'appmbgi', 'mendorong', 'program', 'makan', 'bergizi', 'gratis', 'mbg', 'berjalan']</t>
  </si>
  <si>
    <t>['mbg', 'program', 'gizi', 'lanjut', 'lintas', 'perintah', 'asosiasi', 'usaha', 'kelola', 'dapur', 'makan', 'gizi', 'gratis', 'appmbgi', 'dorong', 'program', 'makan', 'gizi', 'gratis', 'mbg', 'jalan']</t>
  </si>
  <si>
    <t>prabowo berhalusinasi soal mbg pernyataan prabowo yang mengklaim program makan bergizi gratis mbg indonesia jauh lebih unggul daripada program serupa di jepang dan eropa sungguh mencengangkan dengan menyebut distribusi miliar porsi dan tingkat keracunan hanya</t>
  </si>
  <si>
    <t>['prabowo', 'berhalusinasi', 'soal', 'mbg', 'pernyataan', 'prabowo', 'yang', 'mengklaim', 'program', 'makan', 'bergizi', 'gratis', 'mbg', 'indonesia', 'jauh', 'lebih', 'unggul', 'daripada', 'program', 'serupa', 'di', 'jepang', 'dan', 'eropa', 'sungguh', 'mencengangkan', 'dengan', 'menyebut', 'distribusi', 'miliar', 'porsi', 'dan', 'tingkat', 'keracunan', 'hanya']</t>
  </si>
  <si>
    <t>['prabowo', 'berhalusinasi', 'mbg', 'pernyataan', 'prabowo', 'mengklaim', 'program', 'makan', 'bergizi', 'gratis', 'mbg', 'indonesia', 'unggul', 'program', 'jepang', 'eropa', 'sungguh', 'mencengangkan', 'menyebut', 'distribusi', 'miliar', 'porsi', 'tingkat', 'keracunan']</t>
  </si>
  <si>
    <t>['prabowo', 'halusinasi', 'mbg', 'nyata', 'prabowo', 'klaim', 'program', 'makan', 'gizi', 'gratis', 'mbg', 'indonesia', 'unggul', 'program', 'jepang', 'eropa', 'sungguh', 'cengang', 'sebut', 'distribusi', 'miliar', 'porsi', 'tingkat', 'racun']</t>
  </si>
  <si>
    <t>perut kenyang prestasi datang lewat program makan bergizi gratis mbg kebutuhan nutrisi anakanak terpenuhi dengan baik</t>
  </si>
  <si>
    <t>['perut', 'kenyang', 'prestasi', 'datang', 'lewat', 'program', 'makan', 'bergizi', 'gratis', 'mbg', 'kebutuhan', 'nutrisi', 'anakanak', 'terpenuhi', 'dengan', 'baik']</t>
  </si>
  <si>
    <t>['perut', 'kenyang', 'prestasi', 'program', 'makan', 'bergizi', 'gratis', 'mbg', 'kebutuhan', 'nutrisi', 'anakanak', 'terpenuhi']</t>
  </si>
  <si>
    <t>['perut', 'kenyang', 'prestasi', 'program', 'makan', 'gizi', 'gratis', 'mbg', 'butuh', 'nutrisi', 'anakanak', 'penuh']</t>
  </si>
  <si>
    <t>program makan bergizi gratis mbg</t>
  </si>
  <si>
    <t>['program', 'makan', 'bergizi', 'gratis', 'mbg']</t>
  </si>
  <si>
    <t>&lt;FreqDist with 5 samples and 5 outcomes&gt;</t>
  </si>
  <si>
    <t>['program', 'makan', 'gizi', 'gratis', 'mbg']</t>
  </si>
  <si>
    <t>di papua mbg bukan sekadar makan siang gratis program ini bikin semangat sekolah naik siswa makin rajin datang dan mimpi anakanak makin dekat digapai perut kenyang semangat terbang</t>
  </si>
  <si>
    <t>['di', 'papua', 'mbg', 'bukan', 'sekadar', 'makan', 'siang', 'gratis', 'program', 'ini', 'bikin', 'semangat', 'sekolah', 'naik', 'siswa', 'makin', 'rajin', 'datang', 'dan', 'mimpi', 'anakanak', 'makin', 'dekat', 'digapai', 'perut', 'kenyang', 'semangat', 'terbang']</t>
  </si>
  <si>
    <t>['papua', 'mbg', 'makan', 'siang', 'gratis', 'program', 'semangat', 'sekolah', 'siswa', 'rajin', 'mimpi', 'anakanak', 'digapai', 'perut', 'kenyang', 'semangat', 'terbang']</t>
  </si>
  <si>
    <t>['papua', 'mbg', 'makan', 'siang', 'gratis', 'program', 'semangat', 'sekolah', 'siswa', 'rajin', 'mimpi', 'anakanak', 'gapai', 'perut', 'kenyang', 'semangat', 'terbang']</t>
  </si>
  <si>
    <t>program makan bergizi gratis mbg terbukti membawa dampak nyata di pesisir danau sentani papua kehadiran program ini bikin para siswa makin semangat berangkat ke sekolah gak cuma soal nutrisi tapi juga memicu motivasi belajar demi meraih citacita</t>
  </si>
  <si>
    <t>['program', 'makan', 'bergizi', 'gratis', 'mbg', 'terbukti', 'membawa', 'dampak', 'nyata', 'di', 'pesisir', 'danau', 'sentani', 'papua', 'kehadiran', 'program', 'ini', 'bikin', 'para', 'siswa', 'makin', 'semangat', 'berangkat', 'ke', 'sekolah', 'gak', 'cuma', 'soal', 'nutrisi', 'tapi', 'juga', 'memicu', 'motivasi', 'belajar', 'demi', 'meraih', 'citacita']</t>
  </si>
  <si>
    <t>['program', 'makan', 'bergizi', 'gratis', 'mbg', 'terbukti', 'membawa', 'dampak', 'nyata', 'pesisir', 'danau', 'sentani', 'papua', 'kehadiran', 'program', 'siswa', 'semangat', 'berangkat', 'sekolah', 'nutrisi', 'memicu', 'motivasi', 'belajar', 'meraih', 'citacita']</t>
  </si>
  <si>
    <t>['program', 'makan', 'gizi', 'gratis', 'mbg', 'bukti', 'bawa', 'dampak', 'nyata', 'pesisir', 'danau', 'sentani', 'papua', 'hadir', 'program', 'siswa', 'semangat', 'berangkat', 'sekolah', 'nutrisi', 'picu', 'motivasi', 'ajar', 'raih', 'citacita']</t>
  </si>
  <si>
    <t>mbg bukan cuma soal makan gratis tapi game changer buat anakanak papua mereka jadi lebih rajin ke sekolah lebih fokus belajar karena nggak lagi lapar ditambah menu yang lezat dan bergizi bikin semangat belajar makin naik</t>
  </si>
  <si>
    <t>['mbg', 'bukan', 'cuma', 'soal', 'makan', 'gratis', 'tapi', 'game', 'changer', 'buat', 'anakanak', 'papua', 'mereka', 'jadi', 'lebih', 'rajin', 'ke', 'sekolah', 'lebih', 'fokus', 'belajar', 'karena', 'nggak', 'lagi', 'lapar', 'ditambah', 'menu', 'yang', 'lezat', 'dan', 'bergizi', 'bikin', 'semangat', 'belajar', 'makin', 'naik']</t>
  </si>
  <si>
    <t>['mbg', 'makan', 'gratis', 'game', 'changer', 'anakanak', 'papua', 'rajin', 'sekolah', 'fokus', 'belajar', 'nggak', 'lapar', 'ditambah', 'menu', 'lezat', 'bergizi', 'semangat', 'belajar']</t>
  </si>
  <si>
    <t>['mbg', 'makan', 'gratis', 'game', 'changer', 'anakanak', 'papua', 'rajin', 'sekolah', 'fokus', 'belajar', 'tidak', 'lapar', 'ditambah', 'menu', 'lezat', 'bergizi', 'semangat', 'belajar']</t>
  </si>
  <si>
    <t>['mbg', 'makan', 'gratis', 'game', 'changer', 'anakanak', 'papua', 'rajin', 'sekolah', 'fokus', 'ajar', 'tidak', 'lapar', 'tambah', 'menu', 'lezat', 'gizi', 'semangat', 'ajar']</t>
  </si>
  <si>
    <t>saat di dalam negeri masih banyak yang ragu asean justru sudah mulai melirik dan belajar dari program makan bergizi gratis mbg indonesia</t>
  </si>
  <si>
    <t>['saat', 'di', 'dalam', 'negeri', 'masih', 'banyak', 'yang', 'ragu', 'asean', 'justru', 'sudah', 'mulai', 'melirik', 'dan', 'belajar', 'dari', 'program', 'makan', 'bergizi', 'gratis', 'mbg', 'indonesia']</t>
  </si>
  <si>
    <t>['negeri', 'ragu', 'asean', 'melirik', 'belajar', 'program', 'makan', 'bergizi', 'gratis', 'mbg', 'indonesia']</t>
  </si>
  <si>
    <t>['negeri', 'ragu', 'asean', 'lirik', 'ajar', 'program', 'makan', 'gizi', 'gratis', 'mbg', 'indonesia']</t>
  </si>
  <si>
    <t>mbg makan bergizi gratis menerapkan prinsip variasi menu agar kebutuhan nutrisi anak terpenuhi secara beragam variasi ini penting untuk mencegah kebosanan sekaligus memastikan asupan gizi lebih lengkap</t>
  </si>
  <si>
    <t>['mbg', 'makan', 'bergizi', 'gratis', 'menerapkan', 'prinsip', 'variasi', 'menu', 'agar', 'kebutuhan', 'nutrisi', 'anak', 'terpenuhi', 'secara', 'beragam', 'variasi', 'ini', 'penting', 'untuk', 'mencegah', 'kebosanan', 'sekaligus', 'memastikan', 'asupan', 'gizi', 'lebih', 'lengkap']</t>
  </si>
  <si>
    <t>['mbg', 'makan', 'bergizi', 'gratis', 'menerapkan', 'prinsip', 'variasi', 'menu', 'kebutuhan', 'nutrisi', 'anak', 'terpenuhi', 'beragam', 'variasi', 'mencegah', 'kebosanan', 'asupan', 'gizi', 'lengkap']</t>
  </si>
  <si>
    <t>['mbg', 'makan', 'gizi', 'gratis', 'terap', 'prinsip', 'variasi', 'menu', 'butuh', 'nutrisi', 'anak', 'penuh', 'agam', 'variasi', 'cegah', 'bosan', 'asupan', 'gizi', 'lengkap']</t>
  </si>
  <si>
    <t>pemerintah memastikan bahwa setiap rupiah dalam anggaran makan bergizi gratis digunakan secara transparan dan akuntabel</t>
  </si>
  <si>
    <t>['pemerintah', 'memastikan', 'bahwa', 'setiap', 'rupiah', 'dalam', 'anggaran', 'makan', 'bergizi', 'gratis', 'digunakan', 'secara', 'transparan', 'dan', 'akuntabel']</t>
  </si>
  <si>
    <t>['pemerintah', 'rupiah', 'anggaran', 'makan', 'bergizi', 'gratis', 'transparan', 'akuntabel']</t>
  </si>
  <si>
    <t>['perintah', 'rupiah', 'anggar', 'makan', 'gizi', 'gratis', 'transparan', 'akuntabel']</t>
  </si>
  <si>
    <t>keberlanjutan program makan bergizi gratis adalah tanggung jawab bersama demi mewujudkan indonesia yang lebih hebat</t>
  </si>
  <si>
    <t>['keberlanjutan', 'program', 'makan', 'bergizi', 'gratis', 'adalah', 'tanggung', 'jawab', 'bersama', 'demi', 'mewujudkan', 'indonesia', 'yang', 'lebih', 'hebat']</t>
  </si>
  <si>
    <t>['keberlanjutan', 'program', 'makan', 'bergizi', 'gratis', 'tanggung', 'mewujudkan', 'indonesia', 'hebat']</t>
  </si>
  <si>
    <t>['lanjut', 'program', 'makan', 'gizi', 'gratis', 'tanggung', 'wujud', 'indonesia', 'hebat']</t>
  </si>
  <si>
    <t>program makan bergizi gratis tidak hanya memberi makan tapi juga mengedukasi siswa tentang pentingnya pola makan sehat seumur hidup</t>
  </si>
  <si>
    <t>['program', 'makan', 'bergizi', 'gratis', 'tidak', 'hanya', 'memberi', 'makan', 'tapi', 'juga', 'mengedukasi', 'siswa', 'tentang', 'pentingnya', 'pola', 'makan', 'sehat', 'seumur', 'hidup']</t>
  </si>
  <si>
    <t>['program', 'makan', 'bergizi', 'gratis', 'makan', 'mengedukasi', 'siswa', 'pola', 'makan', 'sehat', 'seumur', 'hidup']</t>
  </si>
  <si>
    <t>['program', 'makan', 'gizi', 'gratis', 'makan', 'edukasi', 'siswa', 'pola', 'makan', 'sehat', 'umur', 'hidup']</t>
  </si>
  <si>
    <t>ekonom malaysia menyebut program makan bergizi gratis sebagai investasi besar bagi masa depan tepat sekali karena anak yang sehat dan tercukupi gizinya hari ini adalah tenaga produktif dan generasi unggul di masa depan</t>
  </si>
  <si>
    <t>['ekonom', 'malaysia', 'menyebut', 'program', 'makan', 'bergizi', 'gratis', 'sebagai', 'investasi', 'besar', 'bagi', 'masa', 'depan', 'tepat', 'sekali', 'karena', 'anak', 'yang', 'sehat', 'dan', 'tercukupi', 'gizinya', 'hari', 'ini', 'adalah', 'tenaga', 'produktif', 'dan', 'generasi', 'unggul', 'di', 'masa', 'depan']</t>
  </si>
  <si>
    <t>['ekonom', 'malaysia', 'menyebut', 'program', 'makan', 'bergizi', 'gratis', 'investasi', 'anak', 'sehat', 'tercukupi', 'gizinya', 'tenaga', 'produktif', 'generasi', 'unggul']</t>
  </si>
  <si>
    <t>['ekonom', 'malaysia', 'sebut', 'program', 'makan', 'gizi', 'gratis', 'investasi', 'anak', 'sehat', 'cukup', 'gizi', 'tenaga', 'produktif', 'generasi', 'unggul']</t>
  </si>
  <si>
    <t>kepala bgn ajak kampus bangun dapur makan bergizi gratis</t>
  </si>
  <si>
    <t>['kepala', 'bgn', 'ajak', 'kampus', 'bangun', 'dapur', 'makan', 'bergizi', 'gratis']</t>
  </si>
  <si>
    <t>['kepala', 'bgn', 'ajak', 'kampus', 'bangun', 'dapur', 'makan', 'gizi', 'gratis']</t>
  </si>
  <si>
    <t>program makan bergizi gratis mbg ternyata punya dampak luar biasa di papua di wilayah pesisir danau sentani semangat anakanak untuk bersekolah meningkat drastis</t>
  </si>
  <si>
    <t>['program', 'makan', 'bergizi', 'gratis', 'mbg', 'ternyata', 'punya', 'dampak', 'luar', 'biasa', 'di', 'papua', 'di', 'wilayah', 'pesisir', 'danau', 'sentani', 'semangat', 'anakanak', 'untuk', 'bersekolah', 'meningkat', 'drastis']</t>
  </si>
  <si>
    <t>['program', 'makan', 'bergizi', 'gratis', 'mbg', 'dampak', 'papua', 'wilayah', 'pesisir', 'danau', 'sentani', 'semangat', 'anakanak', 'bersekolah', 'meningkat', 'drastis']</t>
  </si>
  <si>
    <t>['program', 'makan', 'gizi', 'gratis', 'mbg', 'dampak', 'papua', 'wilayah', 'pesisir', 'danau', 'sentani', 'semangat', 'anakanak', 'sekolah', 'tingkat', 'drastis']</t>
  </si>
  <si>
    <t>program makan bergizi gratis terbukti efektif meningkatkan kepuasan dan kesejahteraan masyarakat</t>
  </si>
  <si>
    <t>['program', 'makan', 'bergizi', 'gratis', 'terbukti', 'efektif', 'meningkatkan', 'kepuasan', 'dan', 'kesejahteraan', 'masyarakat']</t>
  </si>
  <si>
    <t>['program', 'makan', 'bergizi', 'gratis', 'terbukti', 'efektif', 'meningkatkan', 'kepuasan', 'kesejahteraan', 'masyarakat']</t>
  </si>
  <si>
    <t>['program', 'makan', 'gizi', 'gratis', 'bukti', 'efektif', 'tingkat', 'puas', 'sejahtera', 'masyarakat']</t>
  </si>
  <si>
    <t>kebijakan makan bergizi gratis menghadirkan manfaat nyata bagi peningkatan kualitas hidup masyarakat</t>
  </si>
  <si>
    <t>['kebijakan', 'makan', 'bergizi', 'gratis', 'menghadirkan', 'manfaat', 'nyata', 'bagi', 'peningkatan', 'kualitas', 'hidup', 'masyarakat']</t>
  </si>
  <si>
    <t>['kebijakan', 'makan', 'bergizi', 'gratis', 'menghadirkan', 'manfaat', 'nyata', 'peningkatan', 'kualitas', 'hidup', 'masyarakat']</t>
  </si>
  <si>
    <t>['bijak', 'makan', 'gizi', 'gratis', 'hadir', 'manfaat', 'nyata', 'tingkat', 'kualitas', 'hidup', 'masyarakat']</t>
  </si>
  <si>
    <t>pemerintahan prabowogibran menunjukkan efektivitas program melalui makan bergizi gratis yang dirasakan langsung oleh masyarakat</t>
  </si>
  <si>
    <t>['pemerintahan', 'prabowogibran', 'menunjukkan', 'efektivitas', 'program', 'melalui', 'makan', 'bergizi', 'gratis', 'yang', 'dirasakan', 'langsung', 'oleh', 'masyarakat']</t>
  </si>
  <si>
    <t>['pemerintahan', 'prabowogibran', 'efektivitas', 'program', 'makan', 'bergizi', 'gratis', 'dirasakan', 'langsung', 'masyarakat']</t>
  </si>
  <si>
    <t>['perintah', 'prabowogibran', 'efektivitas', 'program', 'makan', 'gizi', 'gratis', 'rasa', 'langsung', 'masyarakat']</t>
  </si>
  <si>
    <t>program makan bergizi gratis menjadi solusi nyata dalam meningkatkan kesejahteraan dan kualitas gizi masyarakat</t>
  </si>
  <si>
    <t>['program', 'makan', 'bergizi', 'gratis', 'menjadi', 'solusi', 'nyata', 'dalam', 'meningkatkan', 'kesejahteraan', 'dan', 'kualitas', 'gizi', 'masyarakat']</t>
  </si>
  <si>
    <t>['program', 'makan', 'bergizi', 'gratis', 'solusi', 'nyata', 'meningkatkan', 'kesejahteraan', 'kualitas', 'gizi', 'masyarakat']</t>
  </si>
  <si>
    <t>['program', 'makan', 'gizi', 'gratis', 'solusi', 'nyata', 'tingkat', 'sejahtera', 'kualitas', 'gizi', 'masyarakat']</t>
  </si>
  <si>
    <t>ekonom global asal malaysia shan saeed menilai program makan bergizi gratis mbg bukan sekadar bantuan sosial melainkan investasi besar bagi masa depan indonesia</t>
  </si>
  <si>
    <t>['ekonom', 'global', 'asal', 'malaysia', 'shan', 'saeed', 'menilai', 'program', 'makan', 'bergizi', 'gratis', 'mbg', 'bukan', 'sekadar', 'bantuan', 'sosial', 'melainkan', 'investasi', 'besar', 'bagi', 'masa', 'depan', 'indonesia']</t>
  </si>
  <si>
    <t>['ekonom', 'global', 'malaysia', 'shan', 'saeed', 'menilai', 'program', 'makan', 'bergizi', 'gratis', 'mbg', 'bantuan', 'sosial', 'investasi', 'indonesia']</t>
  </si>
  <si>
    <t>['ekonom', 'global', 'malaysia', 'shan', 'saeed', 'nilai', 'program', 'makan', 'gizi', 'gratis', 'mbg', 'bantu', 'sosial', 'investasi', 'indonesia']</t>
  </si>
  <si>
    <t>efektivitas makan bergizi gratis terlihat dari meningkatnya kepuasan masyarakat terhadap program pemerintah</t>
  </si>
  <si>
    <t>['efektivitas', 'makan', 'bergizi', 'gratis', 'terlihat', 'dari', 'meningkatnya', 'kepuasan', 'masyarakat', 'terhadap', 'program', 'pemerintah']</t>
  </si>
  <si>
    <t>['efektivitas', 'makan', 'bergizi', 'gratis', 'meningkatnya', 'kepuasan', 'masyarakat', 'program', 'pemerintah']</t>
  </si>
  <si>
    <t>['efektivitas', 'makan', 'gizi', 'gratis', 'tingkat', 'puas', 'masyarakat', 'program', 'perintah']</t>
  </si>
  <si>
    <t>presiden prabowo subianto meninjau langsung hasil revitalisasi sekolah serta pelaksanaan program makan bergizi gratis mbg di sman cilacap pada rabu prabowo melihat kondisi fasilitas sekolah pasca revitalisasi serta berinteraksi dengan siswa dan tenaga pendidik</t>
  </si>
  <si>
    <t>['presiden', 'prabowo', 'subianto', 'meninjau', 'langsung', 'hasil', 'revitalisasi', 'sekolah', 'serta', 'pelaksanaan', 'program', 'makan', 'bergizi', 'gratis', 'mbg', 'di', 'sman', 'cilacap', 'pada', 'rabu', 'prabowo', 'melihat', 'kondisi', 'fasilitas', 'sekolah', 'pasca', 'revitalisasi', 'serta', 'berinteraksi', 'dengan', 'siswa', 'dan', 'tenaga', 'pendidik']</t>
  </si>
  <si>
    <t>['presiden', 'prabowo', 'subianto', 'meninjau', 'langsung', 'hasil', 'revitalisasi', 'sekolah', 'pelaksanaan', 'program', 'makan', 'bergizi', 'gratis', 'mbg', 'sman', 'cilacap', 'rabu', 'prabowo', 'kondisi', 'fasilitas', 'sekolah', 'pasca', 'revitalisasi', 'berinteraksi', 'siswa', 'tenaga', 'pendidik']</t>
  </si>
  <si>
    <t>['presiden', 'prabowo', 'subianto', 'tinjau', 'langsung', 'hasil', 'revitalisasi', 'sekolah', 'laksana', 'program', 'makan', 'gizi', 'gratis', 'mbg', 'sman', 'cilacap', 'rabu', 'prabowo', 'kondisi', 'fasilitas', 'sekolah', 'pasca', 'revitalisasi', 'interaksi', 'siswa', 'tenaga', 'didik']</t>
  </si>
  <si>
    <t>program makan bergizi gratis memberikan dampak positif bagi kesejahteraan masyarakat secara luas</t>
  </si>
  <si>
    <t>['program', 'makan', 'bergizi', 'gratis', 'memberikan', 'dampak', 'positif', 'bagi', 'kesejahteraan', 'masyarakat', 'secara', 'luas']</t>
  </si>
  <si>
    <t>['program', 'makan', 'bergizi', 'gratis', 'dampak', 'positif', 'kesejahteraan', 'masyarakat', 'luas']</t>
  </si>
  <si>
    <t>['program', 'makan', 'gizi', 'gratis', 'dampak', 'positif', 'sejahtera', 'masyarakat', 'luas']</t>
  </si>
  <si>
    <t>makan bergizi gratis menjadi bukti nyata program pemerintah yang efektif dan dirasakan manfaatnya</t>
  </si>
  <si>
    <t>['makan', 'bergizi', 'gratis', 'menjadi', 'bukti', 'nyata', 'program', 'pemerintah', 'yang', 'efektif', 'dan', 'dirasakan', 'manfaatnya']</t>
  </si>
  <si>
    <t>['makan', 'bergizi', 'gratis', 'bukti', 'nyata', 'program', 'pemerintah', 'efektif', 'dirasakan', 'manfaatnya']</t>
  </si>
  <si>
    <t>['makan', 'gizi', 'gratis', 'bukti', 'nyata', 'program', 'perintah', 'efektif', 'rasa', 'manfaat']</t>
  </si>
  <si>
    <t>program makan bergizi gratis mendukung peningkatan kesejahteraan masyarakat melalui akses gizi yang lebih baik</t>
  </si>
  <si>
    <t>['program', 'makan', 'bergizi', 'gratis', 'mendukung', 'peningkatan', 'kesejahteraan', 'masyarakat', 'melalui', 'akses', 'gizi', 'yang', 'lebih', 'baik']</t>
  </si>
  <si>
    <t>['program', 'makan', 'bergizi', 'gratis', 'mendukung', 'peningkatan', 'kesejahteraan', 'masyarakat', 'akses', 'gizi']</t>
  </si>
  <si>
    <t>['program', 'makan', 'gizi', 'gratis', 'dukung', 'tingkat', 'sejahtera', 'masyarakat', 'akses', 'gizi']</t>
  </si>
  <si>
    <t>efektivitas program makan bergizi gratis menunjukkan komitmen pemerintah dalam meningkatkan kepuasan publik</t>
  </si>
  <si>
    <t>['efektivitas', 'program', 'makan', 'bergizi', 'gratis', 'menunjukkan', 'komitmen', 'pemerintah', 'dalam', 'meningkatkan', 'kepuasan', 'publik']</t>
  </si>
  <si>
    <t>['efektivitas', 'program', 'makan', 'bergizi', 'gratis', 'komitmen', 'pemerintah', 'meningkatkan', 'kepuasan', 'publik']</t>
  </si>
  <si>
    <t>['efektivitas', 'program', 'makan', 'gizi', 'gratis', 'komitmen', 'perintah', 'tingkat', 'puas', 'publik']</t>
  </si>
  <si>
    <t>program ini investasi sumber daya manusia bukan beban yang harus dipangkas sembarangan lebih baik cari efisiensi di tempat lain daripada potong hak anakanak makan bergizi</t>
  </si>
  <si>
    <t>['program', 'ini', 'investasi', 'sumber', 'daya', 'manusia', 'bukan', 'beban', 'yang', 'harus', 'dipangkas', 'sembarangan', 'lebih', 'baik', 'cari', 'efisiensi', 'di', 'tempat', 'lain', 'daripada', 'potong', 'hak', 'anakanak', 'makan', 'bergizi']</t>
  </si>
  <si>
    <t>['program', 'investasi', 'sumber', 'daya', 'manusia', 'beban', 'dipangkas', 'sembarangan', 'cari', 'efisiensi', 'potong', 'hak', 'anakanak', 'makan', 'bergizi']</t>
  </si>
  <si>
    <t>['program', 'investasi', 'sumber', 'daya', 'manusia', 'beban', 'pangkas', 'sembarang', 'cari', 'efisiensi', 'potong', 'hak', 'anakanak', 'makan', 'gizi']</t>
  </si>
  <si>
    <t>asean mulai melirik indonesia justru melangkah lebih dulu dari program makan bergizi kita bukan cuma bergerakkita jadi inspirasi dulu diragukan sekarang jadi rujukan dari lokal untuk regional dari ide jadi solusi nyata</t>
  </si>
  <si>
    <t>['asean', 'mulai', 'melirik', 'indonesia', 'justru', 'melangkah', 'lebih', 'dulu', 'dari', 'program', 'makan', 'bergizi', 'kita', 'bukan', 'cuma', 'bergerakkita', 'jadi', 'inspirasi', 'dulu', 'diragukan', 'sekarang', 'jadi', 'rujukan', 'dari', 'lokal', 'untuk', 'regional', 'dari', 'ide', 'jadi', 'solusi', 'nyata']</t>
  </si>
  <si>
    <t>&lt;FreqDist with 27 samples and 32 outcomes&gt;</t>
  </si>
  <si>
    <t>['asean', 'melirik', 'indonesia', 'melangkah', 'program', 'makan', 'bergizi', 'bergerakkita', 'inspirasi', 'diragukan', 'rujukan', 'lokal', 'regional', 'ide', 'solusi', 'nyata']</t>
  </si>
  <si>
    <t>['asean', 'lirik', 'indonesia', 'lang', 'program', 'makan', 'gizi', 'bergerakkita', 'inspirasi', 'ragu', 'rujuk', 'lokal', 'regional', 'ide', 'solusi', 'nyata']</t>
  </si>
  <si>
    <t>indonesia kini bukan lagi pengikut tapi trendsetter gizi di asia tenggara program makan bergizi gratis mbg jadi bukti nyata bahwa manajemen bangsa kita mampu jadi kiblat bagi negara tetangga dari indonesia untuk asean</t>
  </si>
  <si>
    <t>['indonesia', 'kini', 'bukan', 'lagi', 'pengikut', 'tapi', 'trendsetter', 'gizi', 'di', 'asia', 'tenggara', 'program', 'makan', 'bergizi', 'gratis', 'mbg', 'jadi', 'bukti', 'nyata', 'bahwa', 'manajemen', 'bangsa', 'kita', 'mampu', 'jadi', 'kiblat', 'bagi', 'negara', 'tetangga', 'dari', 'indonesia', 'untuk', 'asean']</t>
  </si>
  <si>
    <t>['indonesia', 'pengikut', 'trendsetter', 'gizi', 'asia', 'tenggara', 'program', 'makan', 'bergizi', 'gratis', 'mbg', 'bukti', 'nyata', 'manajemen', 'bangsa', 'kiblat', 'negara', 'tetangga', 'indonesia', 'asean']</t>
  </si>
  <si>
    <t>['indonesia', 'ikut', 'trendsetter', 'gizi', 'asia', 'tenggara', 'program', 'makan', 'gizi', 'gratis', 'mbg', 'bukti', 'nyata', 'manajemen', 'bangsa', 'kiblat', 'negara', 'tetangga', 'indonesia', 'asean']</t>
  </si>
  <si>
    <t>program makan bergizi gratis yang dianggap beban negara oleh sekelompok orang ternyata adalah harapan bagi anak anak indonesia dan penerima manfaat lainnya melihat besarnya harapan maka adalah pilihan terbaik bekasi pppa munchen liga champions nih</t>
  </si>
  <si>
    <t>['program', 'makan', 'bergizi', 'gratis', 'yang', 'dianggap', 'beban', 'negara', 'oleh', 'sekelompok', 'orang', 'ternyata', 'adalah', 'harapan', 'bagi', 'anak', 'anak', 'indonesia', 'dan', 'penerima', 'manfaat', 'lainnya', 'melihat', 'besarnya', 'harapan', 'maka', 'adalah', 'pilihan', 'terbaik', 'bekasi', 'pppa', 'munchen', 'liga', 'champions', 'nih']</t>
  </si>
  <si>
    <t>['program', 'makan', 'bergizi', 'gratis', 'dianggap', 'beban', 'negara', 'sekelompok', 'orang', 'harapan', 'anak', 'anak', 'indonesia', 'penerima', 'manfaat', 'besarnya', 'harapan', 'pilihan', 'terbaik', 'bekasi', 'pppa', 'munchen', 'liga', 'champions']</t>
  </si>
  <si>
    <t>['program', 'makan', 'gizi', 'gratis', 'anggap', 'beban', 'negara', 'kelompok', 'orang', 'harap', 'anak', 'anak', 'indonesia', 'terima', 'manfaat', 'besar', 'harap', 'pilih', 'baik', 'bekas', 'pppa', 'munchen', 'liga', 'champions']</t>
  </si>
  <si>
    <t>manfaat program makan bergizi gratis itu mampu menekan gangguan belajar akibat rasa lapar dan siswa dapat lebih fokus untuk menyimak pelajaran</t>
  </si>
  <si>
    <t>['manfaat', 'program', 'makan', 'bergizi', 'gratis', 'itu', 'mampu', 'menekan', 'gangguan', 'belajar', 'akibat', 'rasa', 'lapar', 'dan', 'siswa', 'dapat', 'lebih', 'fokus', 'untuk', 'menyimak', 'pelajaran']</t>
  </si>
  <si>
    <t>['manfaat', 'program', 'makan', 'bergizi', 'gratis', 'menekan', 'gangguan', 'belajar', 'akibat', 'lapar', 'siswa', 'fokus', 'menyimak', 'pelajaran']</t>
  </si>
  <si>
    <t>['manfaat', 'program', 'makan', 'gizi', 'gratis', 'tekan', 'ganggu', 'ajar', 'akibat', 'lapar', 'siswa', 'fokus', 'simak', 'ajar']</t>
  </si>
  <si>
    <t>cukup masjid pas jumat an atau minggu pagi kasih makan gratis dr infak donatur mbg dr negara kan dr pajak lebih baik pajak utk membangun infrastructure yg rusak di daerah dan menciptakan iklim ekonomi yg kondusif shg ortu bs mmberikan makan bergizi amp menyekolahkan anaknya</t>
  </si>
  <si>
    <t>['cukup', 'masjid', 'pas', 'jumat', 'an', 'atau', 'minggu', 'pagi', 'kasih', 'makan', 'gratis', 'dr', 'infak', 'donatur', 'mbg', 'dr', 'negara', 'kan', 'dr', 'pajak', 'lebih', 'baik', 'pajak', 'utk', 'membangun', 'infrastructure', 'yg', 'rusak', 'di', 'daerah', 'dan', 'menciptakan', 'iklim', 'ekonomi', 'yg', 'kondusif', 'shg', 'ortu', 'bs', 'mmberikan', 'makan', 'bergizi', 'amp', 'menyekolahkan', 'anaknya']</t>
  </si>
  <si>
    <t>&lt;FreqDist with 40 samples and 45 outcomes&gt;</t>
  </si>
  <si>
    <t>['masjid', 'pas', 'jumat', 'an', 'minggu', 'pagi', 'kasih', 'makan', 'gratis', 'dr', 'infak', 'donatur', 'mbg', 'dr', 'negara', 'dr', 'pajak', 'pajak', 'membangun', 'infrastructure', 'rusak', 'daerah', 'menciptakan', 'iklim', 'ekonomi', 'kondusif', 'shg', 'ortu', 'bs', 'mmberikan', 'makan', 'bergizi', 'menyekolahkan', 'anaknya']</t>
  </si>
  <si>
    <t>['masjid', 'pas', 'jumat', 'an', 'minggu', 'pagi', 'kasih', 'makan', 'gratis', 'dari', 'infak', 'donatur', 'mbg', 'dari', 'negara', 'dari', 'pajak', 'pajak', 'membangun', 'infrastructure', 'rusak', 'daerah', 'menciptakan', 'iklim', 'ekonomi', 'kondusif', 'shg', 'orang tua', 'bisa', 'mmberikan', 'makan', 'bergizi', 'menyekolahkan', 'anaknya']</t>
  </si>
  <si>
    <t>['masjid', 'pas', 'jumat', 'an', 'minggu', 'pagi', 'kasih', 'makan', 'gratis', 'dari', 'infak', 'donatur', 'mbg', 'dari', 'negara', 'dari', 'pajak', 'pajak', 'bangun', 'infrastructure', 'rusak', 'daerah', 'cipta', 'iklim', 'ekonomi', 'kondusif', 'shg', 'orang tua', 'bisa', 'mmberikan', 'makan', 'gizi', 'sekolah', 'anak']</t>
  </si>
  <si>
    <t>program makan bergizi gratis sukses besar jutaan penerima manfaat lapangan kerja kebuka ekonomi lokal stonks</t>
  </si>
  <si>
    <t>['program', 'makan', 'bergizi', 'gratis', 'sukses', 'besar', 'jutaan', 'penerima', 'manfaat', 'lapangan', 'kerja', 'kebuka', 'ekonomi', 'lokal', 'stonks']</t>
  </si>
  <si>
    <t>['program', 'makan', 'bergizi', 'gratis', 'sukses', 'jutaan', 'penerima', 'manfaat', 'lapangan', 'kerja', 'kebuka', 'ekonomi', 'lokal', 'stonks']</t>
  </si>
  <si>
    <t>['program', 'makan', 'gizi', 'gratis', 'sukses', 'juta', 'terima', 'manfaat', 'lapang', 'kerja', 'buka', 'ekonomi', 'lokal', 'stonks']</t>
  </si>
  <si>
    <t>program makan bergizi gratis di banten terus membuktikan hasil nyata lebih dari juta penerima manfaat ribuan lapangan kerja terbuka dan ekonomi lokal bergerak gizi terpenuhi generasi banten makin kuat</t>
  </si>
  <si>
    <t>['program', 'makan', 'bergizi', 'gratis', 'di', 'banten', 'terus', 'membuktikan', 'hasil', 'nyata', 'lebih', 'dari', 'juta', 'penerima', 'manfaat', 'ribuan', 'lapangan', 'kerja', 'terbuka', 'dan', 'ekonomi', 'lokal', 'bergerak', 'gizi', 'terpenuhi', 'generasi', 'banten', 'makin', 'kuat']</t>
  </si>
  <si>
    <t>['program', 'makan', 'bergizi', 'gratis', 'banten', 'membuktikan', 'hasil', 'nyata', 'juta', 'penerima', 'manfaat', 'ribuan', 'lapangan', 'kerja', 'terbuka', 'ekonomi', 'lokal', 'bergerak', 'gizi', 'terpenuhi', 'generasi', 'banten', 'kuat']</t>
  </si>
  <si>
    <t>['program', 'makan', 'gizi', 'gratis', 'banten', 'bukti', 'hasil', 'nyata', 'juta', 'terima', 'manfaat', 'ribu', 'lapang', 'kerja', 'buka', 'ekonomi', 'lokal', 'gerak', 'gizi', 'penuh', 'generasi', 'banten', 'kuat']</t>
  </si>
  <si>
    <t>program makan bergizi gratis mbg bukan cuma soal makan gratis badan gizi nasional bgn menyebut program ini ikut mendorong perputaran ekonomi daerah lewat anggaran jumbo rp triliun</t>
  </si>
  <si>
    <t>['program', 'makan', 'bergizi', 'gratis', 'mbg', 'bukan', 'cuma', 'soal', 'makan', 'gratis', 'badan', 'gizi', 'nasional', 'bgn', 'menyebut', 'program', 'ini', 'ikut', 'mendorong', 'perputaran', 'ekonomi', 'daerah', 'lewat', 'anggaran', 'jumbo', 'rp', 'triliun']</t>
  </si>
  <si>
    <t>&lt;FreqDist with 24 samples and 27 outcomes&gt;</t>
  </si>
  <si>
    <t>['program', 'makan', 'bergizi', 'gratis', 'mbg', 'makan', 'gratis', 'badan', 'gizi', 'nasional', 'bgn', 'menyebut', 'program', 'mendorong', 'perputaran', 'ekonomi', 'daerah', 'anggaran', 'jumbo', 'rp', 'triliun']</t>
  </si>
  <si>
    <t>['program', 'makan', 'gizi', 'gratis', 'mbg', 'makan', 'gratis', 'badan', 'gizi', 'nasional', 'bgn', 'sebut', 'program', 'dorong', 'putar', 'ekonomi', 'daerah', 'anggar', 'jumbo', 'rp', 'triliun']</t>
  </si>
  <si>
    <t>gak cuma kasih makan tapi juga kasih kepastian dengan evaluasi ini program makan bergizi gratis makin transparan dan akuntabel kita dukung penuh</t>
  </si>
  <si>
    <t>['gak', 'cuma', 'kasih', 'makan', 'tapi', 'juga', 'kasih', 'kepastian', 'dengan', 'evaluasi', 'ini', 'program', 'makan', 'bergizi', 'gratis', 'makin', 'transparan', 'dan', 'akuntabel', 'kita', 'dukung', 'penuh']</t>
  </si>
  <si>
    <t>&lt;FreqDist with 20 samples and 22 outcomes&gt;</t>
  </si>
  <si>
    <t>['kasih', 'makan', 'kasih', 'kepastian', 'evaluasi', 'program', 'makan', 'bergizi', 'gratis', 'transparan', 'akuntabel', 'dukung', 'penuh']</t>
  </si>
  <si>
    <t>['kasih', 'makan', 'kasih', 'pasti', 'evaluasi', 'program', 'makan', 'gizi', 'gratis', 'transparan', 'akuntabel', 'dukung', 'penuh']</t>
  </si>
  <si>
    <t>presiden subianto melakukan inspeksi mendadak terhadap hasil revitalisasi sekolah serta pelaksanaan program makan bergizi gratis mbg di sman cilacap jawa tengah rabu</t>
  </si>
  <si>
    <t>['presiden', 'subianto', 'melakukan', 'inspeksi', 'mendadak', 'terhadap', 'hasil', 'revitalisasi', 'sekolah', 'serta', 'pelaksanaan', 'program', 'makan', 'bergizi', 'gratis', 'mbg', 'di', 'sman', 'cilacap', 'jawa', 'tengah', 'rabu']</t>
  </si>
  <si>
    <t>['presiden', 'subianto', 'inspeksi', 'mendadak', 'hasil', 'revitalisasi', 'sekolah', 'pelaksanaan', 'program', 'makan', 'bergizi', 'gratis', 'mbg', 'sman', 'cilacap', 'jawa', 'rabu']</t>
  </si>
  <si>
    <t>['presiden', 'subianto', 'inspeksi', 'dadak', 'hasil', 'revitalisasi', 'sekolah', 'laksana', 'program', 'makan', 'gizi', 'gratis', 'mbg', 'sman', 'cilacap', 'jawa', 'rabu']</t>
  </si>
  <si>
    <t>menuju masa depan yang lebih sehat program makan bergizi gratis mbg di tahun fokus pada anakanak dalam seribu hari pertama kehidupan bersama kita pastikan gizi yang tepat sasaran</t>
  </si>
  <si>
    <t>['menuju', 'masa', 'depan', 'yang', 'lebih', 'sehat', 'program', 'makan', 'bergizi', 'gratis', 'mbg', 'di', 'tahun', 'fokus', 'pada', 'anakanak', 'dalam', 'seribu', 'hari', 'pertama', 'kehidupan', 'bersama', 'kita', 'pastikan', 'gizi', 'yang', 'tepat', 'sasaran']</t>
  </si>
  <si>
    <t>['sehat', 'program', 'makan', 'bergizi', 'gratis', 'mbg', 'fokus', 'anakanak', 'seribu', 'kehidupan', 'pastikan', 'gizi', 'sasaran']</t>
  </si>
  <si>
    <t>['sehat', 'program', 'makan', 'gizi', 'gratis', 'mbg', 'fokus', 'anakanak', 'ribu', 'hidup', 'pasti', 'gizi', 'sasar']</t>
  </si>
  <si>
    <t>selengkapnya</t>
  </si>
  <si>
    <t>['selengkapnya']</t>
  </si>
  <si>
    <t>&lt;FreqDist with 1 samples and 1 outcomes&gt;</t>
  </si>
  <si>
    <t>['lengkap']</t>
  </si>
  <si>
    <t>senyum anakanak papua merekah berkat program makan bergizi gratis kini mereka lebih bersemangat berangkat sekolah dan belajar karena asupan gizi yang terjamin harapan baru sedang tumbuh di bumi cendrawasih untuk masa depan indonesia yang lebih cerah</t>
  </si>
  <si>
    <t>['senyum', 'anakanak', 'papua', 'merekah', 'berkat', 'program', 'makan', 'bergizi', 'gratis', 'kini', 'mereka', 'lebih', 'bersemangat', 'berangkat', 'sekolah', 'dan', 'belajar', 'karena', 'asupan', 'gizi', 'yang', 'terjamin', 'harapan', 'baru', 'sedang', 'tumbuh', 'di', 'bumi', 'cendrawasih', 'untuk', 'masa', 'depan', 'indonesia', 'yang', 'lebih', 'cerah']</t>
  </si>
  <si>
    <t>['senyum', 'anakanak', 'papua', 'merekah', 'berkat', 'program', 'makan', 'bergizi', 'gratis', 'bersemangat', 'berangkat', 'sekolah', 'belajar', 'asupan', 'gizi', 'terjamin', 'harapan', 'tumbuh', 'bumi', 'cendrawasih', 'indonesia', 'cerah']</t>
  </si>
  <si>
    <t>['senyum', 'anakanak', 'papua', 'mere', 'berkat', 'program', 'makan', 'gizi', 'gratis', 'semangat', 'berangkat', 'sekolah', 'ajar', 'asupan', 'gizi', 'jamin', 'harap', 'tumbuh', 'bumi', 'cendrawasih', 'indonesia', 'cerah']</t>
  </si>
  <si>
    <t>program makan bergizi gratis di sukoharjo membuka pintu inklusivitas rohmat riyadi seorang penyandang disabilitas kini punya penghasilan tetap dengan bekerja di dapur mbg bukti nyata bahwa program ini membawa manfaat ekonomi dan martabat bagi sesama</t>
  </si>
  <si>
    <t>['program', 'makan', 'bergizi', 'gratis', 'di', 'sukoharjo', 'membuka', 'pintu', 'inklusivitas', 'rohmat', 'riyadi', 'seorang', 'penyandang', 'disabilitas', 'kini', 'punya', 'penghasilan', 'tetap', 'dengan', 'bekerja', 'di', 'dapur', 'mbg', 'bukti', 'nyata', 'bahwa', 'program', 'ini', 'membawa', 'manfaat', 'ekonomi', 'dan', 'martabat', 'bagi', 'sesama']</t>
  </si>
  <si>
    <t>['program', 'makan', 'bergizi', 'gratis', 'sukoharjo', 'membuka', 'pintu', 'inklusivitas', 'rohmat', 'riyadi', 'penyandang', 'disabilitas', 'penghasilan', 'dapur', 'mbg', 'bukti', 'nyata', 'program', 'membawa', 'manfaat', 'ekonomi', 'martabat']</t>
  </si>
  <si>
    <t>['program', 'makan', 'gizi', 'gratis', 'sukoharjo', 'buka', 'pintu', 'inklusivitas', 'rohmat', 'riyadi', 'sandang', 'disabilitas', 'hasil', 'dapur', 'mbg', 'bukti', 'nyata', 'program', 'bawa', 'manfaat', 'ekonomi', 'martabat']</t>
  </si>
  <si>
    <t>indonesia kembali membuktikan kepemimpinannya di kancah regional melalui program makan bergizi gratis mbg kita tidak hanya membangun generasi emas di dalam negeri tapi juga menjadi kiblat gizi bagi negaranegara tetangga di asean</t>
  </si>
  <si>
    <t>['indonesia', 'kembali', 'membuktikan', 'kepemimpinannya', 'di', 'kancah', 'regional', 'melalui', 'program', 'makan', 'bergizi', 'gratis', 'mbg', 'kita', 'tidak', 'hanya', 'membangun', 'generasi', 'emas', 'di', 'dalam', 'negeri', 'tapi', 'juga', 'menjadi', 'kiblat', 'gizi', 'bagi', 'negaranegara', 'tetangga', 'di', 'asean']</t>
  </si>
  <si>
    <t>['indonesia', 'membuktikan', 'kepemimpinannya', 'kancah', 'regional', 'program', 'makan', 'bergizi', 'gratis', 'mbg', 'membangun', 'generasi', 'emas', 'negeri', 'kiblat', 'gizi', 'negaranegara', 'tetangga', 'asean']</t>
  </si>
  <si>
    <t>['indonesia', 'bukti', 'pimpin', 'kancah', 'regional', 'program', 'makan', 'gizi', 'gratis', 'mbg', 'bangun', 'generasi', 'emas', 'negeri', 'kiblat', 'gizi', 'negaranegara', 'tetangga', 'asean']</t>
  </si>
  <si>
    <t>anggota dpr ri fraksi gerindra maruf mubarok gus mamak melakukan kunjungan kerja pengawasan ke sppg jatirejoyoso malang kunjungan ini bertujuan memastikan kualitas dan standar program makan bergizi gratis mbg terjaga demi kesejahteraan masyarakat</t>
  </si>
  <si>
    <t>['anggota', 'dpr', 'ri', 'fraksi', 'gerindra', 'maruf', 'mubarok', 'gus', 'mamak', 'melakukan', 'kunjungan', 'kerja', 'pengawasan', 'ke', 'sppg', 'jatirejoyoso', 'malang', 'kunjungan', 'ini', 'bertujuan', 'memastikan', 'kualitas', 'dan', 'standar', 'program', 'makan', 'bergizi', 'gratis', 'mbg', 'terjaga', 'demi', 'kesejahteraan', 'masyarakat']</t>
  </si>
  <si>
    <t>['anggota', 'dpr', 'ri', 'fraksi', 'gerindra', 'maruf', 'mubarok', 'gus', 'mamak', 'kunjungan', 'kerja', 'pengawasan', 'sppg', 'jatirejoyoso', 'malang', 'kunjungan', 'bertujuan', 'kualitas', 'standar', 'program', 'makan', 'bergizi', 'gratis', 'mbg', 'terjaga', 'kesejahteraan', 'masyarakat']</t>
  </si>
  <si>
    <t>['anggota', 'dpr', 'ri', 'fraksi', 'gerindra', 'maruf', 'mubarok', 'gus', 'mamak', 'kunjung', 'kerja', 'awas', 'sppg', 'jatirejoyoso', 'malang', 'kunjung', 'tuju', 'kualitas', 'standar', 'program', 'makan', 'gizi', 'gratis', 'mbg', 'jaga', 'sejahtera', 'masyarakat']</t>
  </si>
  <si>
    <t>program makan bergizi gratis mbg yang didorong asosiasi pengusaha dapur buat lanjut sampai tahun ini bikin gelenggeleng apalagi kalau anggarannya segede itu</t>
  </si>
  <si>
    <t>['program', 'makan', 'bergizi', 'gratis', 'mbg', 'yang', 'didorong', 'asosiasi', 'pengusaha', 'dapur', 'buat', 'lanjut', 'sampai', 'tahun', 'ini', 'bikin', 'gelenggeleng', 'apalagi', 'kalau', 'anggarannya', 'segede', 'itu']</t>
  </si>
  <si>
    <t>['program', 'makan', 'bergizi', 'gratis', 'mbg', 'didorong', 'asosiasi', 'pengusaha', 'dapur', 'gelenggeleng', 'anggarannya', 'segede']</t>
  </si>
  <si>
    <t>['program', 'makan', 'gizi', 'gratis', 'mbg', 'dorong', 'asosiasi', 'usaha', 'dapur', 'gelenggeleng', 'anggar', 'gede']</t>
  </si>
  <si>
    <t>di tengah keraguan dalam negeri justru kawasan asean mulai melirik dan belajar dari indonesia program makan bergizi gratis mbg kini tak lagi sekadar inisiatif nasional tetapi telah menjadi contoh praktik terbaik yang dibagikan ke berbagai negara di asia</t>
  </si>
  <si>
    <t>['di', 'tengah', 'keraguan', 'dalam', 'negeri', 'justru', 'kawasan', 'asean', 'mulai', 'melirik', 'dan', 'belajar', 'dari', 'indonesia', 'program', 'makan', 'bergizi', 'gratis', 'mbg', 'kini', 'tak', 'lagi', 'sekadar', 'inisiatif', 'nasional', 'tetapi', 'telah', 'menjadi', 'contoh', 'praktik', 'terbaik', 'yang', 'dibagikan', 'ke', 'berbagai', 'negara', 'di', 'asia']</t>
  </si>
  <si>
    <t>['keraguan', 'negeri', 'kawasan', 'asean', 'melirik', 'belajar', 'indonesia', 'program', 'makan', 'bergizi', 'gratis', 'mbg', 'inisiatif', 'nasional', 'contoh', 'praktik', 'terbaik', 'dibagikan', 'negara', 'asia']</t>
  </si>
  <si>
    <t>['ragu', 'negeri', 'kawasan', 'asean', 'lirik', 'ajar', 'indonesia', 'program', 'makan', 'gizi', 'gratis', 'mbg', 'inisiatif', 'nasional', 'contoh', 'praktik', 'baik', 'bagi', 'negara', 'asia']</t>
  </si>
  <si>
    <t>banten juta menerima program makan bergizi ayo dukung</t>
  </si>
  <si>
    <t>['banten', 'juta', 'menerima', 'program', 'makan', 'bergizi', 'ayo', 'dukung']</t>
  </si>
  <si>
    <t>['banten', 'juta', 'terima', 'program', 'makan', 'gizi', 'ayo', 'dukung']</t>
  </si>
  <si>
    <t>makan bergizi gratis mbg beneran jadi harapan baru buat adekadek di papua liat deh senyum mereka pas makan jadi makin semangat sekolah amp belajar programnya gacor parah buat masa depan anak bangsa</t>
  </si>
  <si>
    <t>['makan', 'bergizi', 'gratis', 'mbg', 'beneran', 'jadi', 'harapan', 'baru', 'buat', 'adekadek', 'di', 'papua', 'liat', 'deh', 'senyum', 'mereka', 'pas', 'makan', 'jadi', 'makin', 'semangat', 'sekolah', 'amp', 'belajar', 'programnya', 'gacor', 'parah', 'buat', 'masa', 'depan', 'anak', 'bangsa']</t>
  </si>
  <si>
    <t>['makan', 'bergizi', 'gratis', 'mbg', 'beneran', 'harapan', 'adekadek', 'papua', 'liat', 'deh', 'senyum', 'pas', 'makan', 'semangat', 'sekolah', 'belajar', 'programnya', 'gacor', 'parah', 'anak', 'bangsa']</t>
  </si>
  <si>
    <t>['makan', 'bergizi', 'gratis', 'mbg', 'beneran', 'harapan', 'adekadek', 'papua', 'lihat', 'deh', 'senyum', 'pas', 'makan', 'semangat', 'sekolah', 'belajar', 'programnya', 'gacor', 'parah', 'anak', 'bangsa']</t>
  </si>
  <si>
    <t>['makan', 'gizi', 'gratis', 'mbg', 'beneran', 'harap', 'adekadek', 'papua', 'lihat', 'deh', 'senyum', 'pas', 'makan', 'semangat', 'sekolah', 'ajar', 'program', 'gacor', 'parah', 'anak', 'bangsa']</t>
  </si>
  <si>
    <t>makan bergizi gratis bukan sekadar bantuan tetapi bagian dari transformasi gizi bangsa yang diperkuat oleh pilar mbg kuat untuk meningkatkan kualitas sdm</t>
  </si>
  <si>
    <t>['makan', 'bergizi', 'gratis', 'bukan', 'sekadar', 'bantuan', 'tetapi', 'bagian', 'dari', 'transformasi', 'gizi', 'bangsa', 'yang', 'diperkuat', 'oleh', 'pilar', 'mbg', 'kuat', 'untuk', 'meningkatkan', 'kualitas', 'sdm']</t>
  </si>
  <si>
    <t>['makan', 'bergizi', 'gratis', 'bantuan', 'transformasi', 'gizi', 'bangsa', 'diperkuat', 'pilar', 'mbg', 'kuat', 'meningkatkan', 'kualitas', 'sdm']</t>
  </si>
  <si>
    <t>['makan', 'gizi', 'gratis', 'bantu', 'transformasi', 'gizi', 'bangsa', 'kuat', 'pilar', 'mbg', 'kuat', 'tingkat', 'kualitas', 'sdm']</t>
  </si>
  <si>
    <t>siswa terlihat sangat bahagia menyambut program makan bergizi gratis karena membantu pemenuhan nutrisi mereka setiap hari sekolah demi mewujudkan generasi</t>
  </si>
  <si>
    <t>['siswa', 'terlihat', 'sangat', 'bahagia', 'menyambut', 'program', 'makan', 'bergizi', 'gratis', 'karena', 'membantu', 'pemenuhan', 'nutrisi', 'mereka', 'setiap', 'hari', 'sekolah', 'demi', 'mewujudkan', 'generasi']</t>
  </si>
  <si>
    <t>['siswa', 'bahagia', 'menyambut', 'program', 'makan', 'bergizi', 'gratis', 'membantu', 'pemenuhan', 'nutrisi', 'sekolah', 'mewujudkan', 'generasi']</t>
  </si>
  <si>
    <t>['siswa', 'bahagia', 'sambut', 'program', 'makan', 'gizi', 'gratis', 'bantu', 'penuh', 'nutrisi', 'sekolah', 'wujud', 'generasi']</t>
  </si>
  <si>
    <t>kayanya kalo aku masih kuliah bakalan ambil judul skripsi implementasi kebijakan program makan bergizi gratis mbg dalam perspektif good governance di indonesia tapi abis itu mati karna penguji ketua prodi terus penguji wakil ketua prodi magister langsung mati ditempat sy</t>
  </si>
  <si>
    <t>['kayanya', 'kalo', 'aku', 'masih', 'kuliah', 'bakalan', 'ambil', 'judul', 'skripsi', 'implementasi', 'kebijakan', 'program', 'makan', 'bergizi', 'gratis', 'mbg', 'dalam', 'perspektif', 'good', 'governance', 'di', 'indonesia', 'tapi', 'abis', 'itu', 'mati', 'karna', 'penguji', 'ketua', 'prodi', 'terus', 'penguji', 'wakil', 'ketua', 'prodi', 'magister', 'langsung', 'mati', 'ditempat', 'sy']</t>
  </si>
  <si>
    <t>['kayanya', 'kuliah', 'ambil', 'judul', 'skripsi', 'implementasi', 'kebijakan', 'program', 'makan', 'bergizi', 'gratis', 'mbg', 'perspektif', 'good', 'governance', 'indonesia', 'abis', 'mati', 'karna', 'penguji', 'ketua', 'prodi', 'penguji', 'wakil', 'ketua', 'prodi', 'magister', 'langsung', 'mati', 'ditempat', 'sy']</t>
  </si>
  <si>
    <t>['seperti', 'kuliah', 'ambil', 'judul', 'skripsi', 'implementasi', 'kebijakan', 'program', 'makan', 'bergizi', 'gratis', 'mbg', 'perspektif', 'good', 'governance', 'indonesia', 'habis', 'mati', 'karena', 'penguji', 'ketua', 'prodi', 'penguji', 'wakil', 'ketua', 'prodi', 'magister', 'langsung', 'mati', 'ditempat', 'sy']</t>
  </si>
  <si>
    <t>['seperti', 'kuliah', 'ambil', 'judul', 'skripsi', 'implementasi', 'bijak', 'program', 'makan', 'gizi', 'gratis', 'mbg', 'perspektif', 'good', 'governance', 'indonesia', 'habis', 'mati', 'karena', 'uji', 'ketua', 'prodi', 'uji', 'wakil', 'ketua', 'prodi', 'magister', 'langsung', 'mati', 'tempat', 'sy']</t>
  </si>
  <si>
    <t>babinsa letawa pastikan program makan bergizi tepat sasaran penerima manfaat terlayani</t>
  </si>
  <si>
    <t>['babinsa', 'letawa', 'pastikan', 'program', 'makan', 'bergizi', 'tepat', 'sasaran', 'penerima', 'manfaat', 'terlayani']</t>
  </si>
  <si>
    <t>['babinsa', 'letawa', 'pastikan', 'program', 'makan', 'bergizi', 'sasaran', 'penerima', 'manfaat', 'terlayani']</t>
  </si>
  <si>
    <t>['babinsa', 'letawa', 'pasti', 'program', 'makan', 'gizi', 'sasar', 'terima', 'manfaat', 'layan']</t>
  </si>
  <si>
    <t>siapa yg ngotot ingin hentikan mbg tentu lawan politik yg kalah pilpres lalu sekarang anak sekolah makin goat belajar krn dapat makan bergizi gratis</t>
  </si>
  <si>
    <t>['siapa', 'yg', 'ngotot', 'ingin', 'hentikan', 'mbg', 'tentu', 'lawan', 'politik', 'yg', 'kalah', 'pilpres', 'lalu', 'sekarang', 'anak', 'sekolah', 'makin', 'goat', 'belajar', 'krn', 'dapat', 'makan', 'bergizi', 'gratis']</t>
  </si>
  <si>
    <t>&lt;FreqDist with 23 samples and 24 outcomes&gt;</t>
  </si>
  <si>
    <t>['ngotot', 'hentikan', 'mbg', 'lawan', 'politik', 'kalah', 'pilpres', 'anak', 'sekolah', 'goat', 'belajar', 'makan', 'bergizi', 'gratis']</t>
  </si>
  <si>
    <t>['ngotot', 'henti', 'mbg', 'lawan', 'politik', 'kalah', 'pilpres', 'anak', 'sekolah', 'goat', 'ajar', 'makan', 'gizi', 'gratis']</t>
  </si>
  <si>
    <t>reaksi haru siswa saat mengira program berakhir menunjukkan betapa berartinya makan bergizi gratis bagi mereka program ini nyata membantu meringankan beban ekonomi keluarga di sekolah bekasi turut ka argo bromo anggrek</t>
  </si>
  <si>
    <t>['reaksi', 'haru', 'siswa', 'saat', 'mengira', 'program', 'berakhir', 'menunjukkan', 'betapa', 'berartinya', 'makan', 'bergizi', 'gratis', 'bagi', 'mereka', 'program', 'ini', 'nyata', 'membantu', 'meringankan', 'beban', 'ekonomi', 'keluarga', 'di', 'sekolah', 'bekasi', 'turut', 'ka', 'argo', 'bromo', 'anggrek']</t>
  </si>
  <si>
    <t>['reaksi', 'haru', 'siswa', 'program', 'betapa', 'berartinya', 'makan', 'bergizi', 'gratis', 'program', 'nyata', 'membantu', 'meringankan', 'beban', 'ekonomi', 'keluarga', 'sekolah', 'bekasi', 'ka', 'argo', 'bromo', 'anggrek']</t>
  </si>
  <si>
    <t>['reaksi', 'haru', 'siswa', 'program', 'betapa', 'berartinya', 'makan', 'bergizi', 'gratis', 'program', 'nyata', 'membantu', 'meringankan', 'beban', 'ekonomi', 'keluarga', 'sekolah', 'bekasi', 'kakak', 'argo', 'bromo', 'anggrek']</t>
  </si>
  <si>
    <t>['reaksi', 'haru', 'siswa', 'program', 'betapa', 'arti', 'makan', 'gizi', 'gratis', 'program', 'nyata', 'bantu', 'ringan', 'beban', 'ekonomi', 'keluarga', 'sekolah', 'bekas', 'kakak', 'argo', 'bromo', 'anggrek']</t>
  </si>
  <si>
    <t>kunjungan tersebut untuk meninjau hasil revitalisasi bangunan sekolah sekaligus mengecek pelaksanaan program makan bergizi gratis mbg</t>
  </si>
  <si>
    <t>['kunjungan', 'tersebut', 'untuk', 'meninjau', 'hasil', 'revitalisasi', 'bangunan', 'sekolah', 'sekaligus', 'mengecek', 'pelaksanaan', 'program', 'makan', 'bergizi', 'gratis', 'mbg']</t>
  </si>
  <si>
    <t>['kunjungan', 'meninjau', 'hasil', 'revitalisasi', 'bangunan', 'sekolah', 'mengecek', 'pelaksanaan', 'program', 'makan', 'bergizi', 'gratis', 'mbg']</t>
  </si>
  <si>
    <t>['kunjung', 'tinjau', 'hasil', 'revitalisasi', 'bangun', 'sekolah', 'ecek', 'laksana', 'program', 'makan', 'gizi', 'gratis', 'mbg']</t>
  </si>
  <si>
    <t>kerjasama strategis dapur mitra memastikan setiap sarana prasarana yang digunakan sudah standar operasional terbaik demi menjamin keberhasilan program makan bergizi gratis untuk generasi masa depan</t>
  </si>
  <si>
    <t>['kerjasama', 'strategis', 'dapur', 'mitra', 'memastikan', 'setiap', 'sarana', 'prasarana', 'yang', 'digunakan', 'sudah', 'standar', 'operasional', 'terbaik', 'demi', 'menjamin', 'keberhasilan', 'program', 'makan', 'bergizi', 'gratis', 'untuk', 'generasi', 'masa', 'depan']</t>
  </si>
  <si>
    <t>['kerjasama', 'strategis', 'dapur', 'mitra', 'sarana', 'prasarana', 'standar', 'operasional', 'terbaik', 'menjamin', 'keberhasilan', 'program', 'makan', 'bergizi', 'gratis', 'generasi']</t>
  </si>
  <si>
    <t>['kerjasama', 'strategis', 'dapur', 'mitra', 'sarana', 'prasarana', 'standar', 'operasional', 'baik', 'jamin', 'hasil', 'program', 'makan', 'gizi', 'gratis', 'generasi']</t>
  </si>
  <si>
    <t>jangan hari sabtu doang hapus makan bergizi gratis udah anggaran bakal selamat</t>
  </si>
  <si>
    <t>['jangan', 'hari', 'sabtu', 'doang', 'hapus', 'makan', 'bergizi', 'gratis', 'udah', 'anggaran', 'bakal', 'selamat']</t>
  </si>
  <si>
    <t>['sabtu', 'doang', 'hapus', 'makan', 'bergizi', 'gratis', 'udah', 'anggaran', 'selamat']</t>
  </si>
  <si>
    <t>['sabtu', 'doang', 'hapus', 'makan', 'bergizi', 'gratis', 'sudah', 'anggaran', 'selamat']</t>
  </si>
  <si>
    <t>['sabtu', 'doang', 'hapus', 'makan', 'gizi', 'gratis', 'sudah', 'anggar', 'selamat']</t>
  </si>
  <si>
    <t>bismillah kepada yth pimpinan kpk ppatk serta menkeu apakah benar program mbg makan bergizi gratis adlh proyek yg lebih dikuasai anggota dewan kepolisian aparatur negara individu yg memiliki akses ke lingkaran penguasa tolong dilakukan audit amp investigasi</t>
  </si>
  <si>
    <t>['bismillah', 'kepada', 'yth', 'pimpinan', 'kpk', 'ppatk', 'serta', 'menkeu', 'apakah', 'benar', 'program', 'mbg', 'makan', 'bergizi', 'gratis', 'adlh', 'proyek', 'yg', 'lebih', 'dikuasai', 'anggota', 'dewan', 'kepolisian', 'aparatur', 'negara', 'individu', 'yg', 'memiliki', 'akses', 'ke', 'lingkaran', 'penguasa', 'tolong', 'dilakukan', 'audit', 'amp', 'investigasi']</t>
  </si>
  <si>
    <t>['bismillah', 'yth', 'pimpinan', 'kpk', 'ppatk', 'menkeu', 'program', 'mbg', 'makan', 'bergizi', 'gratis', 'adlh', 'proyek', 'dikuasai', 'anggota', 'dewan', 'kepolisian', 'aparatur', 'negara', 'individu', 'memiliki', 'akses', 'lingkaran', 'penguasa', 'tolong', 'audit', 'investigasi']</t>
  </si>
  <si>
    <t>['bismillah', 'yth', 'pimpinan', 'kpk', 'ppatk', 'menkeu', 'program', 'mbg', 'makan', 'bergizi', 'gratis', 'adalah', 'proyek', 'dikuasai', 'anggota', 'dewan', 'kepolisian', 'aparatur', 'negara', 'individu', 'memiliki', 'akses', 'lingkaran', 'penguasa', 'tolong', 'audit', 'investigasi']</t>
  </si>
  <si>
    <t>['bismillah', 'yth', 'pimpin', 'kpk', 'ppatk', 'menkeu', 'program', 'mbg', 'makan', 'gizi', 'gratis', 'adalah', 'proyek', 'asai', 'anggota', 'dewan', 'polisi', 'aparatur', 'negara', 'individu', 'milik', 'akses', 'lingkar', 'kuasa', 'tolong', 'audit', 'investigasi']</t>
  </si>
  <si>
    <t>makan bergizi gratis</t>
  </si>
  <si>
    <t>['makan', 'bergizi', 'gratis']</t>
  </si>
  <si>
    <t>&lt;FreqDist with 3 samples and 3 outcomes&gt;</t>
  </si>
  <si>
    <t>['makan', 'gizi', 'gratis']</t>
  </si>
  <si>
    <t>bukan sekadar makan gratis banyak yang tanya kenapa sih mbg makan bergizi gratis jadi kunci buat masa depan indonesia jawabannya simpelt perut kenyang otak cemerlang kesenjangan pun berkurang</t>
  </si>
  <si>
    <t>['bukan', 'sekadar', 'makan', 'gratis', 'banyak', 'yang', 'tanya', 'kenapa', 'sih', 'mbg', 'makan', 'bergizi', 'gratis', 'jadi', 'kunci', 'buat', 'masa', 'depan', 'indonesia', 'jawabannya', 'simpelt', 'perut', 'kenyang', 'otak', 'cemerlang', 'kesenjangan', 'pun', 'berkurang']</t>
  </si>
  <si>
    <t>['makan', 'gratis', 'mbg', 'makan', 'bergizi', 'gratis', 'kunci', 'indonesia', 'jawabannya', 'simpelt', 'perut', 'kenyang', 'otak', 'cemerlang', 'kesenjangan', 'berkurang']</t>
  </si>
  <si>
    <t>['makan', 'gratis', 'mbg', 'makan', 'gizi', 'gratis', 'kunci', 'indonesia', 'jawab', 'simpelt', 'perut', 'kenyang', 'otak', 'cemerlang', 'senjang', 'kurang']</t>
  </si>
  <si>
    <t>gonku iki asli makan bergizi gratis duduk makan beracun gratis dannn gk pake duit pajak masake</t>
  </si>
  <si>
    <t>['gonku', 'iki', 'asli', 'makan', 'bergizi', 'gratis', 'duduk', 'makan', 'beracun', 'gratis', 'dannn', 'gk', 'pake', 'duit', 'pajak', 'masake']</t>
  </si>
  <si>
    <t>&lt;FreqDist with 14 samples and 16 outcomes&gt;</t>
  </si>
  <si>
    <t>['gonku', 'ini', 'asli', 'makan', 'bergizi', 'gratis', 'duduk', 'makan', 'beracun', 'gratis', 'dannn', 'tidak', 'pakai', 'uang', 'pajak', 'masake']</t>
  </si>
  <si>
    <t>['gonku', 'ini', 'asli', 'makan', 'gizi', 'gratis', 'duduk', 'makan', 'racun', 'gratis', 'dannn', 'tidak', 'pakai', 'uang', 'pajak', 'masake']</t>
  </si>
  <si>
    <t>program mbg prabowo dibilang konyol amp dzalim oleh kh marzuki mustamar masa anak orang kaya di sekolah elit dipaksa makan siang gratis standar ribu bisabisa cuma diliatin doang anggaran negara kok dipaksain buat yang gak butuh</t>
  </si>
  <si>
    <t>['program', 'mbg', 'prabowo', 'dibilang', 'konyol', 'amp', 'dzalim', 'oleh', 'kh', 'marzuki', 'mustamar', 'masa', 'anak', 'orang', 'kaya', 'di', 'sekolah', 'elit', 'dipaksa', 'makan', 'siang', 'gratis', 'standar', 'ribu', 'bisabisa', 'cuma', 'diliatin', 'doang', 'anggaran', 'negara', 'kok', 'dipaksain', 'buat', 'yang', 'gak', 'butuh']</t>
  </si>
  <si>
    <t>['program', 'mbg', 'prabowo', 'dibilang', 'konyol', 'dzalim', 'kh', 'marzuki', 'mustamar', 'anak', 'orang', 'kaya', 'sekolah', 'elit', 'dipaksa', 'makan', 'siang', 'gratis', 'standar', 'ribu', 'bisabisa', 'diliatin', 'doang', 'anggaran', 'negara', 'dipaksain', 'butuh']</t>
  </si>
  <si>
    <t>['program', 'mbg', 'prabowo', 'dibilang', 'konyol', 'dzalim', 'kh', 'marzuki', 'mustamar', 'anak', 'orang', 'seperti', 'sekolah', 'elit', 'dipaksa', 'makan', 'siang', 'gratis', 'standar', 'ribu', 'bisabisa', 'diliatin', 'doang', 'anggaran', 'negara', 'dipaksain', 'butuh']</t>
  </si>
  <si>
    <t>['program', 'mbg', 'prabowo', 'bilang', 'konyol', 'dzalim', 'kh', 'marzuki', 'mustamar', 'anak', 'orang', 'seperti', 'sekolah', 'elit', 'paksa', 'makan', 'siang', 'gratis', 'standar', 'ribu', 'bisabisa', 'diliatin', 'doang', 'anggar', 'negara', 'dipaksain', 'butuh']</t>
  </si>
  <si>
    <t>dukung program makan bergizi gratis</t>
  </si>
  <si>
    <t>['dukung', 'program', 'makan', 'bergizi', 'gratis']</t>
  </si>
  <si>
    <t>['dukung', 'program', 'makan', 'gizi', 'gratis']</t>
  </si>
  <si>
    <t>kh marzuki mustamar blakblakan sebut program makan gratis prabowo itu dzalim kalau dipaksakan rata ke semua sekolah anak elit kok dikasih makan standar rakyat jelata jgn sampai anggaran rakyat cuma jadi bahan mencari celah korupsi bekasi mei</t>
  </si>
  <si>
    <t>['kh', 'marzuki', 'mustamar', 'blakblakan', 'sebut', 'program', 'makan', 'gratis', 'prabowo', 'itu', 'dzalim', 'kalau', 'dipaksakan', 'rata', 'ke', 'semua', 'sekolah', 'anak', 'elit', 'kok', 'dikasih', 'makan', 'standar', 'rakyat', 'jelata', 'jgn', 'sampai', 'anggaran', 'rakyat', 'cuma', 'jadi', 'bahan', 'mencari', 'celah', 'korupsi', 'bekasi', 'mei']</t>
  </si>
  <si>
    <t>['kh', 'marzuki', 'mustamar', 'blakblakan', 'program', 'makan', 'gratis', 'prabowo', 'dzalim', 'dipaksakan', 'sekolah', 'anak', 'elit', 'dikasih', 'makan', 'standar', 'rakyat', 'jelata', 'anggaran', 'rakyat', 'bahan', 'mencari', 'celah', 'korupsi', 'bekasi', 'mei']</t>
  </si>
  <si>
    <t>['kh', 'marzuki', 'mustamar', 'blakblakan', 'program', 'makan', 'gratis', 'prabowo', 'dzalim', 'paksa', 'sekolah', 'anak', 'elit', 'kasih', 'makan', 'standar', 'rakyat', 'jelata', 'anggar', 'rakyat', 'bahan', 'cari', 'celah', 'korupsi', 'bekas', 'mei']</t>
  </si>
  <si>
    <t>presiden prabowo subianto menegaskan bahwa hingga saat ini banyak negara belajar program makan bergizi gratis mbg karena pemerintah indonesia melalui kebijakan itu mampu melayani lebih dari juta penerima manfaat secara rutin</t>
  </si>
  <si>
    <t>['presiden', 'prabowo', 'subianto', 'menegaskan', 'bahwa', 'hingga', 'saat', 'ini', 'banyak', 'negara', 'belajar', 'program', 'makan', 'bergizi', 'gratis', 'mbg', 'karena', 'pemerintah', 'indonesia', 'melalui', 'kebijakan', 'itu', 'mampu', 'melayani', 'lebih', 'dari', 'juta', 'penerima', 'manfaat', 'secara', 'rutin']</t>
  </si>
  <si>
    <t>['presiden', 'prabowo', 'subianto', 'negara', 'belajar', 'program', 'makan', 'bergizi', 'gratis', 'mbg', 'pemerintah', 'indonesia', 'kebijakan', 'melayani', 'juta', 'penerima', 'manfaat', 'rutin']</t>
  </si>
  <si>
    <t>['presiden', 'prabowo', 'subianto', 'negara', 'ajar', 'program', 'makan', 'gizi', 'gratis', 'mbg', 'perintah', 'indonesia', 'bijak', 'layan', 'juta', 'terima', 'manfaat', 'rutin']</t>
  </si>
  <si>
    <t>gus mamak tinjau dapur mbg di malang pastikan program akan bergizi gratis berjalan sesuai standar bekasi jule yordania</t>
  </si>
  <si>
    <t>['gus', 'mamak', 'tinjau', 'dapur', 'mbg', 'di', 'malang', 'pastikan', 'program', 'akan', 'bergizi', 'gratis', 'berjalan', 'sesuai', 'standar', 'bekasi', 'jule', 'yordania']</t>
  </si>
  <si>
    <t>['gus', 'mamak', 'tinjau', 'dapur', 'mbg', 'malang', 'pastikan', 'program', 'bergizi', 'gratis', 'berjalan', 'sesuai', 'standar', 'bekasi', 'jule', 'yordania']</t>
  </si>
  <si>
    <t>['gus', 'mamak', 'tinjau', 'dapur', 'mbg', 'malang', 'pasti', 'program', 'gizi', 'gratis', 'jalan', 'sesuai', 'standar', 'bekas', 'jule', 'yordania']</t>
  </si>
  <si>
    <t>gus mamak tinjau dapur makan bergizi gratis di malang bekasi jule yordania</t>
  </si>
  <si>
    <t>['gus', 'mamak', 'tinjau', 'dapur', 'makan', 'bergizi', 'gratis', 'di', 'malang', 'bekasi', 'jule', 'yordania']</t>
  </si>
  <si>
    <t>['gus', 'mamak', 'tinjau', 'dapur', 'makan', 'bergizi', 'gratis', 'malang', 'bekasi', 'jule', 'yordania']</t>
  </si>
  <si>
    <t>['gus', 'mamak', 'tinjau', 'dapur', 'makan', 'gizi', 'gratis', 'malang', 'bekas', 'jule', 'yordania']</t>
  </si>
  <si>
    <t>yang dibutuhkan rakyat itu lapangan kerja pendidikan gratis buat anaknya pak kalau orang tuanya pada kerja pasti mereka mampu kasih makan anaknya bahkan bisa lebih bergizi drpd yg dikasih anda</t>
  </si>
  <si>
    <t>['yang', 'dibutuhkan', 'rakyat', 'itu', 'lapangan', 'kerja', 'pendidikan', 'gratis', 'buat', 'anaknya', 'pak', 'kalau', 'orang', 'tuanya', 'pada', 'kerja', 'pasti', 'mereka', 'mampu', 'kasih', 'makan', 'anaknya', 'bahkan', 'bisa', 'lebih', 'bergizi', 'drpd', 'yg', 'dikasih', 'anda']</t>
  </si>
  <si>
    <t>['dibutuhkan', 'rakyat', 'lapangan', 'kerja', 'pendidikan', 'gratis', 'anaknya', 'orang', 'tuanya', 'kerja', 'kasih', 'makan', 'anaknya', 'bergizi', 'drpd', 'dikasih']</t>
  </si>
  <si>
    <t>['dibutuhkan', 'rakyat', 'lapangan', 'kerja', 'pendidikan', 'gratis', 'anaknya', 'orang', 'tuanya', 'kerja', 'kasih', 'makan', 'anaknya', 'bergizi', 'daripada', 'dikasih']</t>
  </si>
  <si>
    <t>['butuh', 'rakyat', 'lapang', 'kerja', 'didik', 'gratis', 'anak', 'orang', 'tua', 'kerja', 'kasih', 'makan', 'anak', 'gizi', 'daripada', 'kasih']</t>
  </si>
  <si>
    <t>sidang mk pihak terkait sebut mbg konstitusional dan bagian dari pendidikan nasional jakarta pihak terkait dalam sidang uji materi pasal ayat beserta penjelasannya dalam undangundang nomor tahun tentang apbn menegaskan bahwa program makan bergizi gratis</t>
  </si>
  <si>
    <t>['sidang', 'mk', 'pihak', 'terkait', 'sebut', 'mbg', 'konstitusional', 'dan', 'bagian', 'dari', 'pendidikan', 'nasional', 'jakarta', 'pihak', 'terkait', 'dalam', 'sidang', 'uji', 'materi', 'pasal', 'ayat', 'beserta', 'penjelasannya', 'dalam', 'undangundang', 'nomor', 'tahun', 'tentang', 'apbn', 'menegaskan', 'bahwa', 'program', 'makan', 'bergizi', 'gratis']</t>
  </si>
  <si>
    <t>['sidang', 'mk', 'terkait', 'mbg', 'konstitusional', 'pendidikan', 'nasional', 'jakarta', 'terkait', 'sidang', 'uji', 'materi', 'pasal', 'ayat', 'beserta', 'penjelasannya', 'undangundang', 'nomor', 'apbn', 'program', 'makan', 'bergizi', 'gratis']</t>
  </si>
  <si>
    <t>['sidang', 'mk', 'kait', 'mbg', 'konstitusional', 'didik', 'nasional', 'jakarta', 'kait', 'sidang', 'uji', 'materi', 'pasal', 'ayat', 'serta', 'jelas', 'undangundang', 'nomor', 'apbn', 'program', 'makan', 'gizi', 'gratis']</t>
  </si>
  <si>
    <t>kesehatan masyarakat adalah prioritas utama melalui instruksi tegas presiden prabowo subianto badan gizi nasional kini memperketat pengawasan terhadap seluruh dapur program makan bergizi gratis mbg</t>
  </si>
  <si>
    <t>['kesehatan', 'masyarakat', 'adalah', 'prioritas', 'utama', 'melalui', 'instruksi', 'tegas', 'presiden', 'prabowo', 'subianto', 'badan', 'gizi', 'nasional', 'kini', 'memperketat', 'pengawasan', 'terhadap', 'seluruh', 'dapur', 'program', 'makan', 'bergizi', 'gratis', 'mbg']</t>
  </si>
  <si>
    <t>['kesehatan', 'masyarakat', 'prioritas', 'utama', 'instruksi', 'presiden', 'prabowo', 'subianto', 'badan', 'gizi', 'nasional', 'memperketat', 'pengawasan', 'dapur', 'program', 'makan', 'bergizi', 'gratis', 'mbg']</t>
  </si>
  <si>
    <t>['sehat', 'masyarakat', 'prioritas', 'utama', 'instruksi', 'presiden', 'prabowo', 'subianto', 'badan', 'gizi', 'nasional', 'ketat', 'awas', 'dapur', 'program', 'makan', 'gizi', 'gratis', 'mbg']</t>
  </si>
  <si>
    <t>prabowo subianto menegaskan program makan bergizi gratis mbg akan terus dilanjutkan hingga selesai meski diakui masih ada kekurangan yang akan diperbaiki ia menyebut program tersebut sudah memberikan dampak terutama bagi petani dan nelayan karena hasil produksi mereka kini</t>
  </si>
  <si>
    <t>['prabowo', 'subianto', 'menegaskan', 'program', 'makan', 'bergizi', 'gratis', 'mbg', 'akan', 'terus', 'dilanjutkan', 'hingga', 'selesai', 'meski', 'diakui', 'masih', 'ada', 'kekurangan', 'yang', 'akan', 'diperbaiki', 'ia', 'menyebut', 'program', 'tersebut', 'sudah', 'memberikan', 'dampak', 'terutama', 'bagi', 'petani', 'dan', 'nelayan', 'karena', 'hasil', 'produksi', 'mereka', 'kini']</t>
  </si>
  <si>
    <t>['prabowo', 'subianto', 'program', 'makan', 'bergizi', 'gratis', 'mbg', 'dilanjutkan', 'selesai', 'diakui', 'kekurangan', 'diperbaiki', 'menyebut', 'program', 'dampak', 'petani', 'nelayan', 'hasil', 'produksi']</t>
  </si>
  <si>
    <t>['prabowo', 'subianto', 'program', 'makan', 'gizi', 'gratis', 'mbg', 'lanjut', 'selesai', 'aku', 'kurang', 'baik', 'sebut', 'program', 'dampak', 'tani', 'nelayan', 'hasil', 'produksi']</t>
  </si>
  <si>
    <t>pemerintah terus memperkuat komitmen dalam menjaga kepercayaan publik melalui perbaikan program makan bergizi gratis langkah ini dilakukan untuk memastikan kualitas akuntabilitas dan keberlanjutan program tetap terjaga demi peningkatan gizi masyarakat</t>
  </si>
  <si>
    <t>['pemerintah', 'terus', 'memperkuat', 'komitmen', 'dalam', 'menjaga', 'kepercayaan', 'publik', 'melalui', 'perbaikan', 'program', 'makan', 'bergizi', 'gratis', 'langkah', 'ini', 'dilakukan', 'untuk', 'memastikan', 'kualitas', 'akuntabilitas', 'dan', 'keberlanjutan', 'program', 'tetap', 'terjaga', 'demi', 'peningkatan', 'gizi', 'masyarakat']</t>
  </si>
  <si>
    <t>['pemerintah', 'memperkuat', 'komitmen', 'menjaga', 'kepercayaan', 'publik', 'perbaikan', 'program', 'makan', 'bergizi', 'gratis', 'langkah', 'kualitas', 'akuntabilitas', 'keberlanjutan', 'program', 'terjaga', 'peningkatan', 'gizi', 'masyarakat']</t>
  </si>
  <si>
    <t>['perintah', 'kuat', 'komitmen', 'jaga', 'percaya', 'publik', 'baik', 'program', 'makan', 'gizi', 'gratis', 'langkah', 'kualitas', 'akuntabilitas', 'lanjut', 'program', 'jaga', 'tingkat', 'gizi', 'masyarakat']</t>
  </si>
  <si>
    <t>dalam kunjungan kerja ke sma negeri cilacap presiden subianto menyapa langsung para siswa beliau dgn senang hati mencicipi kue hasil usaha siswa sekaligus meninjau pelaksanaan program makan bergizi gratis mbg dan revitalisasi sekolah tak hanya mencicipi presiden</t>
  </si>
  <si>
    <t>['dalam', 'kunjungan', 'kerja', 'ke', 'sma', 'negeri', 'cilacap', 'presiden', 'subianto', 'menyapa', 'langsung', 'para', 'siswa', 'beliau', 'dgn', 'senang', 'hati', 'mencicipi', 'kue', 'hasil', 'usaha', 'siswa', 'sekaligus', 'meninjau', 'pelaksanaan', 'program', 'makan', 'bergizi', 'gratis', 'mbg', 'dan', 'revitalisasi', 'sekolah', 'tak', 'hanya', 'mencicipi', 'presiden']</t>
  </si>
  <si>
    <t>['kunjungan', 'kerja', 'sma', 'negeri', 'cilacap', 'presiden', 'subianto', 'menyapa', 'langsung', 'siswa', 'beliau', 'senang', 'hati', 'mencicipi', 'kue', 'hasil', 'usaha', 'siswa', 'meninjau', 'pelaksanaan', 'program', 'makan', 'bergizi', 'gratis', 'mbg', 'revitalisasi', 'sekolah', 'mencicipi', 'presiden']</t>
  </si>
  <si>
    <t>['kunjung', 'kerja', 'sma', 'negeri', 'cilacap', 'presiden', 'subianto', 'sapa', 'langsung', 'siswa', 'beliau', 'senang', 'hati', 'cicip', 'kue', 'hasil', 'usaha', 'siswa', 'tinjau', 'laksana', 'program', 'makan', 'gizi', 'gratis', 'mbg', 'revitalisasi', 'sekolah', 'cicip', 'presiden']</t>
  </si>
  <si>
    <t>gus mamak turun langsung meninjau kesiapan dan kebersihan dapur program makan bergizi gratis mbg di malang bukan sekadar meninjau beliau ingin memastikan bahwa setiap piring yang tersaji mengandung gizi seimbang dan diolah dengan standar higienitas yang tinggi</t>
  </si>
  <si>
    <t>['gus', 'mamak', 'turun', 'langsung', 'meninjau', 'kesiapan', 'dan', 'kebersihan', 'dapur', 'program', 'makan', 'bergizi', 'gratis', 'mbg', 'di', 'malang', 'bukan', 'sekadar', 'meninjau', 'beliau', 'ingin', 'memastikan', 'bahwa', 'setiap', 'piring', 'yang', 'tersaji', 'mengandung', 'gizi', 'seimbang', 'dan', 'diolah', 'dengan', 'standar', 'higienitas', 'yang', 'tinggi']</t>
  </si>
  <si>
    <t>['gus', 'mamak', 'turun', 'langsung', 'meninjau', 'kesiapan', 'kebersihan', 'dapur', 'program', 'makan', 'bergizi', 'gratis', 'mbg', 'malang', 'meninjau', 'beliau', 'piring', 'tersaji', 'mengandung', 'gizi', 'seimbang', 'diolah', 'standar', 'higienitas']</t>
  </si>
  <si>
    <t>['gus', 'mamak', 'turun', 'langsung', 'tinjau', 'kesiap', 'bersih', 'dapur', 'program', 'makan', 'gizi', 'gratis', 'mbg', 'malang', 'tinjau', 'beliau', 'piring', 'saji', 'kandung', 'gizi', 'imbang', 'olah', 'standar', 'higienitas']</t>
  </si>
  <si>
    <t>presiden prabowo subianto menyampaikan kebermanfaatan program prioritas makan bergizi gratis mbg dan koperasi desakelurahan merah putih kdkmp dalam sambutannya di cilacap rabu terkait mbg ia menjelaskan bahwa banyak negara kini menjadikannya referensi karena</t>
  </si>
  <si>
    <t>['presiden', 'prabowo', 'subianto', 'menyampaikan', 'kebermanfaatan', 'program', 'prioritas', 'makan', 'bergizi', 'gratis', 'mbg', 'dan', 'koperasi', 'desakelurahan', 'merah', 'putih', 'kdkmp', 'dalam', 'sambutannya', 'di', 'cilacap', 'rabu', 'terkait', 'mbg', 'ia', 'menjelaskan', 'bahwa', 'banyak', 'negara', 'kini', 'menjadikannya', 'referensi', 'karena']</t>
  </si>
  <si>
    <t>['presiden', 'prabowo', 'subianto', 'kebermanfaatan', 'program', 'prioritas', 'makan', 'bergizi', 'gratis', 'mbg', 'koperasi', 'desakelurahan', 'merah', 'putih', 'kdkmp', 'sambutannya', 'cilacap', 'rabu', 'terkait', 'mbg', 'negara', 'menjadikannya', 'referensi']</t>
  </si>
  <si>
    <t>['presiden', 'prabowo', 'subianto', 'manfaat', 'program', 'prioritas', 'makan', 'gizi', 'gratis', 'mbg', 'koperasi', 'desakelurahan', 'merah', 'putih', 'kdkmp', 'sambut', 'cilacap', 'rabu', 'kait', 'mbg', 'negara', 'jadi', 'referensi']</t>
  </si>
  <si>
    <t>min peenah denger program yg dia kasih nama makan bergizi gratis</t>
  </si>
  <si>
    <t>['min', 'peenah', 'denger', 'program', 'yg', 'dia', 'kasih', 'nama', 'makan', 'bergizi', 'gratis']</t>
  </si>
  <si>
    <t>['min', 'peenah', 'denger', 'program', 'kasih', 'nama', 'makan', 'bergizi', 'gratis']</t>
  </si>
  <si>
    <t>['admin', 'peenah', 'dengar', 'program', 'kasih', 'nama', 'makan', 'bergizi', 'gratis']</t>
  </si>
  <si>
    <t>['admin', 'peenah', 'dengar', 'program', 'kasih', 'nama', 'makan', 'gizi', 'gratis']</t>
  </si>
  <si>
    <t>kepala badan gizi nasional bgn mendorong perguruan tinggi ikut terlibat dalam pembangunan dapur program makan bergizi gratis mbg kampus dinilai memiliki sumber daya pengetahuan dan kapasitas untuk membantu memperluas jangkauan sekaligus meningkatkan kualitas pelaksanaan</t>
  </si>
  <si>
    <t>['kepala', 'badan', 'gizi', 'nasional', 'bgn', 'mendorong', 'perguruan', 'tinggi', 'ikut', 'terlibat', 'dalam', 'pembangunan', 'dapur', 'program', 'makan', 'bergizi', 'gratis', 'mbg', 'kampus', 'dinilai', 'memiliki', 'sumber', 'daya', 'pengetahuan', 'dan', 'kapasitas', 'untuk', 'membantu', 'memperluas', 'jangkauan', 'sekaligus', 'meningkatkan', 'kualitas', 'pelaksanaan']</t>
  </si>
  <si>
    <t>['kepala', 'badan', 'gizi', 'nasional', 'bgn', 'mendorong', 'perguruan', 'terlibat', 'pembangunan', 'dapur', 'program', 'makan', 'bergizi', 'gratis', 'mbg', 'kampus', 'dinilai', 'memiliki', 'sumber', 'daya', 'pengetahuan', 'kapasitas', 'membantu', 'memperluas', 'jangkauan', 'meningkatkan', 'kualitas', 'pelaksanaan']</t>
  </si>
  <si>
    <t>['kepala', 'badan', 'gizi', 'nasional', 'bgn', 'dorong', 'guru', 'libat', 'bangun', 'dapur', 'program', 'makan', 'gizi', 'gratis', 'mbg', 'kampus', 'nilai', 'milik', 'sumber', 'daya', 'tahu', 'kapasitas', 'bantu', 'luas', 'jangkau', 'tingkat', 'kualitas', 'laksana']</t>
  </si>
  <si>
    <t>baca di sini kepala badan gizi nasional dadan hindayana menyatakan program studi gizi kini sangat diminati seiring besarnya kebutuhan tenaga ahli untuk program makan bergizi gratis mbg setiap unit satuan pelayanan pemenuhan gizi wajib memiliki</t>
  </si>
  <si>
    <t>['baca', 'di', 'sini', 'kepala', 'badan', 'gizi', 'nasional', 'dadan', 'hindayana', 'menyatakan', 'program', 'studi', 'gizi', 'kini', 'sangat', 'diminati', 'seiring', 'besarnya', 'kebutuhan', 'tenaga', 'ahli', 'untuk', 'program', 'makan', 'bergizi', 'gratis', 'mbg', 'setiap', 'unit', 'satuan', 'pelayanan', 'pemenuhan', 'gizi', 'wajib', 'memiliki']</t>
  </si>
  <si>
    <t>['baca', 'kepala', 'badan', 'gizi', 'nasional', 'dadan', 'hindayana', 'program', 'studi', 'gizi', 'diminati', 'seiring', 'besarnya', 'kebutuhan', 'tenaga', 'ahli', 'program', 'makan', 'bergizi', 'gratis', 'mbg', 'unit', 'satuan', 'pelayanan', 'pemenuhan', 'gizi', 'wajib', 'memiliki']</t>
  </si>
  <si>
    <t>['baca', 'kepala', 'badan', 'gizi', 'nasional', 'dad', 'hindayana', 'program', 'studi', 'gizi', 'mati', 'iring', 'besar', 'butuh', 'tenaga', 'ahli', 'program', 'makan', 'gizi', 'gratis', 'mbg', 'unit', 'satu', 'layan', 'penuh', 'gizi', 'wajib', 'milik']</t>
  </si>
  <si>
    <t>program makan bergizi gratis terbukti membuka banyak lapangan kerja baru bagi para ahli gizi di seluruh pelosok indonesia demi menjamin kualitas asupan anak bangsa phuwin tommyhilfiger my</t>
  </si>
  <si>
    <t>['program', 'makan', 'bergizi', 'gratis', 'terbukti', 'membuka', 'banyak', 'lapangan', 'kerja', 'baru', 'bagi', 'para', 'ahli', 'gizi', 'di', 'seluruh', 'pelosok', 'indonesia', 'demi', 'menjamin', 'kualitas', 'asupan', 'anak', 'bangsa', 'phuwin', 'tommyhilfiger', 'my']</t>
  </si>
  <si>
    <t>['program', 'makan', 'bergizi', 'gratis', 'terbukti', 'membuka', 'lapangan', 'kerja', 'ahli', 'gizi', 'pelosok', 'indonesia', 'menjamin', 'kualitas', 'asupan', 'anak', 'bangsa', 'phuwin', 'tommyhilfiger', 'my']</t>
  </si>
  <si>
    <t>['program', 'makan', 'bergizi', 'gratis', 'terbukti', 'membuka', 'lapangan', 'kerja', 'ahli', 'gizi', 'pelosok', 'indonesia', 'menjamin', 'kualitas', 'asupan', 'anak', 'bangsa', 'phuwin', 'tommyhilfiger', 'punyaku']</t>
  </si>
  <si>
    <t>['program', 'makan', 'gizi', 'gratis', 'bukti', 'buka', 'lapang', 'kerja', 'ahli', 'gizi', 'pelosok', 'indonesia', 'jamin', 'kualitas', 'asupan', 'anak', 'bangsa', 'phuwin', 'tommyhilfiger', 'punya']</t>
  </si>
  <si>
    <t>anggaran program makan bergizi gratis mbg berpotensi menjadi beban bagi generasi yang menikmatinya saat ini di masa depan terutama jika pendanaannya bersumber dari utang negara yang menumpuk mereka yang suka adalah mereka yg bodoh yg tidak paham beban mereka di masa depan</t>
  </si>
  <si>
    <t>['anggaran', 'program', 'makan', 'bergizi', 'gratis', 'mbg', 'berpotensi', 'menjadi', 'beban', 'bagi', 'generasi', 'yang', 'menikmatinya', 'saat', 'ini', 'di', 'masa', 'depan', 'terutama', 'jika', 'pendanaannya', 'bersumber', 'dari', 'utang', 'negara', 'yang', 'menumpuk', 'mereka', 'yang', 'suka', 'adalah', 'mereka', 'yg', 'bodoh', 'yg', 'tidak', 'paham', 'beban', 'mereka', 'di', 'masa', 'depan']</t>
  </si>
  <si>
    <t>&lt;FreqDist with 33 samples and 42 outcomes&gt;</t>
  </si>
  <si>
    <t>['anggaran', 'program', 'makan', 'bergizi', 'gratis', 'mbg', 'berpotensi', 'beban', 'generasi', 'menikmatinya', 'pendanaannya', 'bersumber', 'utang', 'negara', 'menumpuk', 'suka', 'bodoh', 'paham', 'beban']</t>
  </si>
  <si>
    <t>['anggar', 'program', 'makan', 'gizi', 'gratis', 'mbg', 'potensi', 'beban', 'generasi', 'nikmat', 'dana', 'sumber', 'utang', 'negara', 'tumpuk', 'suka', 'bodoh', 'paham', 'beban']</t>
  </si>
  <si>
    <t>presiden prabowo subianto menegaskan bahwa hingga saat ini banyak negara belajar program makan bergizi gratis</t>
  </si>
  <si>
    <t>['presiden', 'prabowo', 'subianto', 'menegaskan', 'bahwa', 'hingga', 'saat', 'ini', 'banyak', 'negara', 'belajar', 'program', 'makan', 'bergizi', 'gratis']</t>
  </si>
  <si>
    <t>['presiden', 'prabowo', 'subianto', 'negara', 'belajar', 'program', 'makan', 'bergizi', 'gratis']</t>
  </si>
  <si>
    <t>['presiden', 'prabowo', 'subianto', 'negara', 'ajar', 'program', 'makan', 'gizi', 'gratis']</t>
  </si>
  <si>
    <t>konstitusi kita unik apbn wajib untuk pendidikan tapi kenapa sekarang mau dirampok buat program makan bergizi gratis para ahli hukum sudah bersuara di mk ini inkonstitusional jangan sampai dana masa depan anak bangsa dipangkas demi kepentingan pragmatis atwogang</t>
  </si>
  <si>
    <t>['konstitusi', 'kita', 'unik', 'apbn', 'wajib', 'untuk', 'pendidikan', 'tapi', 'kenapa', 'sekarang', 'mau', 'dirampok', 'buat', 'program', 'makan', 'bergizi', 'gratis', 'para', 'ahli', 'hukum', 'sudah', 'bersuara', 'di', 'mk', 'ini', 'inkonstitusional', 'jangan', 'sampai', 'dana', 'masa', 'depan', 'anak', 'bangsa', 'dipangkas', 'demi', 'kepentingan', 'pragmatis', 'atwogang']</t>
  </si>
  <si>
    <t>&lt;FreqDist with 38 samples and 38 outcomes&gt;</t>
  </si>
  <si>
    <t>['konstitusi', 'unik', 'apbn', 'wajib', 'pendidikan', 'dirampok', 'program', 'makan', 'bergizi', 'gratis', 'ahli', 'hukum', 'bersuara', 'mk', 'inkonstitusional', 'dana', 'anak', 'bangsa', 'dipangkas', 'kepentingan', 'pragmatis', 'atwogang']</t>
  </si>
  <si>
    <t>['konstitusi', 'unik', 'apbn', 'wajib', 'didik', 'rampok', 'program', 'makan', 'gizi', 'gratis', 'ahli', 'hukum', 'suara', 'mk', 'inkonstitusional', 'dana', 'anak', 'bangsa', 'pangkas', 'penting', 'pragmatis', 'atwogang']</t>
  </si>
  <si>
    <t>postverzet program makan bergizi gratis seharusnya melindungi hak gizi anakanak indonesia namun kasus keracunan massal menunjukkan lemahnya pengawasan dan regulasi di era prabowo subianto negara wajib memastikan makanan yang aman pengawasan yang ketat dan sanksi tegas</t>
  </si>
  <si>
    <t>['postverzet', 'program', 'makan', 'bergizi', 'gratis', 'seharusnya', 'melindungi', 'hak', 'gizi', 'anakanak', 'indonesia', 'namun', 'kasus', 'keracunan', 'massal', 'menunjukkan', 'lemahnya', 'pengawasan', 'dan', 'regulasi', 'di', 'era', 'prabowo', 'subianto', 'negara', 'wajib', 'memastikan', 'makanan', 'yang', 'aman', 'pengawasan', 'yang', 'ketat', 'dan', 'sanksi', 'tegas']</t>
  </si>
  <si>
    <t>&lt;FreqDist with 33 samples and 36 outcomes&gt;</t>
  </si>
  <si>
    <t>['postverzet', 'program', 'makan', 'bergizi', 'gratis', 'melindungi', 'hak', 'gizi', 'anakanak', 'indonesia', 'keracunan', 'massal', 'lemahnya', 'pengawasan', 'regulasi', 'era', 'prabowo', 'subianto', 'negara', 'wajib', 'makanan', 'aman', 'pengawasan', 'ketat', 'sanksi']</t>
  </si>
  <si>
    <t>['postverzet', 'program', 'makan', 'gizi', 'gratis', 'lindung', 'hak', 'gizi', 'anakanak', 'indonesia', 'racun', 'massal', 'lemah', 'awas', 'regulasi', 'era', 'prabowo', 'subianto', 'negara', 'wajib', 'makan', 'aman', 'awas', 'ketat', 'sanksi']</t>
  </si>
  <si>
    <t>insentif sppg rp juta per hari dukung operasional dapur dan standar gizi demi sajian makan bergizi gratis berkualitas setiap hari bagi anakanak krl commuter line diana pungky jule bekasi yordania yaman</t>
  </si>
  <si>
    <t>['insentif', 'sppg', 'rp', 'juta', 'per', 'hari', 'dukung', 'operasional', 'dapur', 'dan', 'standar', 'gizi', 'demi', 'sajian', 'makan', 'bergizi', 'gratis', 'berkualitas', 'setiap', 'hari', 'bagi', 'anakanak', 'krl', 'commuter', 'line', 'diana', 'pungky', 'jule', 'bekasi', 'yordania', 'yaman']</t>
  </si>
  <si>
    <t>['insentif', 'sppg', 'rp', 'juta', 'dukung', 'operasional', 'dapur', 'standar', 'gizi', 'sajian', 'makan', 'bergizi', 'gratis', 'berkualitas', 'anakanak', 'krl', 'commuter', 'line', 'diana', 'pungky', 'jule', 'bekasi', 'yordania', 'yaman']</t>
  </si>
  <si>
    <t>['insentif', 'sppg', 'rp', 'juta', 'dukung', 'operasional', 'dapur', 'standar', 'gizi', 'saji', 'makan', 'gizi', 'gratis', 'kualitas', 'anakanak', 'krl', 'commuter', 'line', 'ana', 'pungky', 'jule', 'bekas', 'yordania', 'yaman']</t>
  </si>
  <si>
    <t>makan bergizi gratis sangat berarti bagi siswa membantu kecukupan nutrisi sekaligus meringankan beban ekonomi keluarga di rumah secara nyata krl commuter line diana pungky jule bekasi yordania yaman</t>
  </si>
  <si>
    <t>['makan', 'bergizi', 'gratis', 'sangat', 'berarti', 'bagi', 'siswa', 'membantu', 'kecukupan', 'nutrisi', 'sekaligus', 'meringankan', 'beban', 'ekonomi', 'keluarga', 'di', 'rumah', 'secara', 'nyata', 'krl', 'commuter', 'line', 'diana', 'pungky', 'jule', 'bekasi', 'yordania', 'yaman']</t>
  </si>
  <si>
    <t>&lt;FreqDist with 28 samples and 28 outcomes&gt;</t>
  </si>
  <si>
    <t>['makan', 'bergizi', 'gratis', 'siswa', 'membantu', 'kecukupan', 'nutrisi', 'meringankan', 'beban', 'ekonomi', 'keluarga', 'rumah', 'nyata', 'krl', 'commuter', 'line', 'diana', 'pungky', 'jule', 'bekasi', 'yordania', 'yaman']</t>
  </si>
  <si>
    <t>['makan', 'gizi', 'gratis', 'siswa', 'bantu', 'cukup', 'nutrisi', 'ringan', 'beban', 'ekonomi', 'keluarga', 'rumah', 'nyata', 'krl', 'commuter', 'line', 'ana', 'pungky', 'jule', 'bekas', 'yordania', 'yaman']</t>
  </si>
  <si>
    <t>program makan bergizi gratis mbg bukan cuma soal pemenuhan gizi presiden prabowo subianto tegaskan program ini akan terus diperbaiki dan diperluas</t>
  </si>
  <si>
    <t>['program', 'makan', 'bergizi', 'gratis', 'mbg', 'bukan', 'cuma', 'soal', 'pemenuhan', 'gizi', 'presiden', 'prabowo', 'subianto', 'tegaskan', 'program', 'ini', 'akan', 'terus', 'diperbaiki', 'dan', 'diperluas']</t>
  </si>
  <si>
    <t>['program', 'makan', 'bergizi', 'gratis', 'mbg', 'pemenuhan', 'gizi', 'presiden', 'prabowo', 'subianto', 'tegaskan', 'program', 'diperbaiki', 'diperluas']</t>
  </si>
  <si>
    <t>['program', 'makan', 'gizi', 'gratis', 'mbg', 'penuh', 'gizi', 'presiden', 'prabowo', 'subianto', 'tegas', 'program', 'baik', 'luas']</t>
  </si>
  <si>
    <t>prodi gizi melejit kepala bgn sebut dampak program mbg makin terasa program makan bergizi gratis mbg tak hanya berdampak pada peningkatan kualitas kesehatan masyarakat tetapi juga mulai mengubah tren di dunia pendidikan kepala badan gizi nasional bgn dadan hindayana</t>
  </si>
  <si>
    <t>['prodi', 'gizi', 'melejit', 'kepala', 'bgn', 'sebut', 'dampak', 'program', 'mbg', 'makin', 'terasa', 'program', 'makan', 'bergizi', 'gratis', 'mbg', 'tak', 'hanya', 'berdampak', 'pada', 'peningkatan', 'kualitas', 'kesehatan', 'masyarakat', 'tetapi', 'juga', 'mulai', 'mengubah', 'tren', 'di', 'dunia', 'pendidikan', 'kepala', 'badan', 'gizi', 'nasional', 'bgn', 'dadan', 'hindayana']</t>
  </si>
  <si>
    <t>['prodi', 'gizi', 'melejit', 'kepala', 'bgn', 'dampak', 'program', 'mbg', 'program', 'makan', 'bergizi', 'gratis', 'mbg', 'berdampak', 'peningkatan', 'kualitas', 'kesehatan', 'masyarakat', 'mengubah', 'tren', 'dunia', 'pendidikan', 'kepala', 'badan', 'gizi', 'nasional', 'bgn', 'dadan', 'hindayana']</t>
  </si>
  <si>
    <t>['prodi', 'gizi', 'lejit', 'kepala', 'bgn', 'dampak', 'program', 'mbg', 'program', 'makan', 'gizi', 'gratis', 'mbg', 'dampak', 'tingkat', 'kualitas', 'sehat', 'masyarakat', 'ubah', 'tren', 'dunia', 'didik', 'kepala', 'badan', 'gizi', 'nasional', 'bgn', 'dad', 'hindayana']</t>
  </si>
  <si>
    <t>mbg kembali makan korban ratusan siswa di klaten diduga keracunan sampai kapan program negara jadi ancaman klaten program makan bergizi gratis mbg kembali menjadi sorotan setelah ratusan siswa dan guru di kecamatan tulung kabupaten klaten diduga mengalami keracunan</t>
  </si>
  <si>
    <t>['mbg', 'kembali', 'makan', 'korban', 'ratusan', 'siswa', 'di', 'klaten', 'diduga', 'keracunan', 'sampai', 'kapan', 'program', 'negara', 'jadi', 'ancaman', 'klaten', 'program', 'makan', 'bergizi', 'gratis', 'mbg', 'kembali', 'menjadi', 'sorotan', 'setelah', 'ratusan', 'siswa', 'dan', 'guru', 'di', 'kecamatan', 'tulung', 'kabupaten', 'klaten', 'diduga', 'mengalami', 'keracunan']</t>
  </si>
  <si>
    <t>&lt;FreqDist with 27 samples and 38 outcomes&gt;</t>
  </si>
  <si>
    <t>['mbg', 'makan', 'korban', 'ratusan', 'siswa', 'klaten', 'diduga', 'keracunan', 'program', 'negara', 'ancaman', 'klaten', 'program', 'makan', 'bergizi', 'gratis', 'mbg', 'sorotan', 'ratusan', 'siswa', 'guru', 'kecamatan', 'tulung', 'kabupaten', 'klaten', 'diduga', 'mengalami', 'keracunan']</t>
  </si>
  <si>
    <t>['mbg', 'makan', 'korban', 'ratus', 'siswa', 'klaten', 'duga', 'racun', 'program', 'negara', 'ancam', 'klaten', 'program', 'makan', 'gizi', 'gratis', 'mbg', 'sorot', 'ratus', 'siswa', 'guru', 'camat', 'tulung', 'kabupaten', 'klaten', 'duga', 'alami', 'racun']</t>
  </si>
  <si>
    <t>reaksi haru siswa ini bukti mbg sangat berarti program ini nyata membantu ekonomi keluarga dan memastikan anak tetap makan bergizi jule diana pungky andrie perthsanta cmi love infinity yordania yaman collectible card</t>
  </si>
  <si>
    <t>['reaksi', 'haru', 'siswa', 'ini', 'bukti', 'mbg', 'sangat', 'berarti', 'program', 'ini', 'nyata', 'membantu', 'ekonomi', 'keluarga', 'dan', 'memastikan', 'anak', 'tetap', 'makan', 'bergizi', 'jule', 'diana', 'pungky', 'andrie', 'perthsanta', 'cmi', 'love', 'infinity', 'yordania', 'yaman', 'collectible', 'card']</t>
  </si>
  <si>
    <t>['reaksi', 'haru', 'siswa', 'bukti', 'mbg', 'program', 'nyata', 'membantu', 'ekonomi', 'keluarga', 'anak', 'makan', 'bergizi', 'jule', 'diana', 'pungky', 'andrie', 'perthsanta', 'cmi', 'love', 'infinity', 'yordania', 'yaman', 'collectible', 'card']</t>
  </si>
  <si>
    <t>['reaksi', 'haru', 'siswa', 'bukti', 'mbg', 'program', 'nyata', 'membantu', 'ekonomi', 'keluarga', 'anak', 'makan', 'bergizi', 'jule', 'diana', 'pungky', 'andrie', 'perthsanta', 'cmi', 'suka', 'infinity', 'yordania', 'yaman', 'collectible', 'card']</t>
  </si>
  <si>
    <t>['reaksi', 'haru', 'siswa', 'bukti', 'mbg', 'program', 'nyata', 'bantu', 'ekonomi', 'keluarga', 'anak', 'makan', 'gizi', 'jule', 'ana', 'pungky', 'andrie', 'perthsanta', 'cmi', 'suka', 'infinity', 'yordania', 'yaman', 'collectible', 'card']</t>
  </si>
  <si>
    <t>program makan bergizi gratis mbg yang dikembangkan pemerintah mulai mendapat pengakuan regional dan dibagikan sebagai praktik terbaik di kawasan asean</t>
  </si>
  <si>
    <t>['program', 'makan', 'bergizi', 'gratis', 'mbg', 'yang', 'dikembangkan', 'pemerintah', 'mulai', 'mendapat', 'pengakuan', 'regional', 'dan', 'dibagikan', 'sebagai', 'praktik', 'terbaik', 'di', 'kawasan', 'asean']</t>
  </si>
  <si>
    <t>['program', 'makan', 'bergizi', 'gratis', 'mbg', 'dikembangkan', 'pemerintah', 'pengakuan', 'regional', 'dibagikan', 'praktik', 'terbaik', 'kawasan', 'asean']</t>
  </si>
  <si>
    <t>['program', 'makan', 'gizi', 'gratis', 'mbg', 'kembang', 'perintah', 'aku', 'regional', 'bagi', 'praktik', 'baik', 'kawasan', 'asean']</t>
  </si>
  <si>
    <t>dibilang konyol justru ini program yang nyentuh kebutuhan paling dasar makan bergizi itu bukan hal sepele</t>
  </si>
  <si>
    <t>['dibilang', 'konyol', 'justru', 'ini', 'program', 'yang', 'nyentuh', 'kebutuhan', 'paling', 'dasar', 'makan', 'bergizi', 'itu', 'bukan', 'hal', 'sepele']</t>
  </si>
  <si>
    <t>['dibilang', 'konyol', 'program', 'nyentuh', 'kebutuhan', 'dasar', 'makan', 'bergizi', 'sepele']</t>
  </si>
  <si>
    <t>['bilang', 'konyol', 'program', 'nyentuh', 'butuh', 'dasar', 'makan', 'gizi', 'sepele']</t>
  </si>
  <si>
    <t>data realtime kini jadi kunci distribusi makan bergizi gratis yang lebih tepat sasaran untuk seluruh anak indonesia demi mewujudkan generasi masa depan yang kuat pond with itsskin mp front camera biore uvxstray kids diana pungky</t>
  </si>
  <si>
    <t>['data', 'realtime', 'kini', 'jadi', 'kunci', 'distribusi', 'makan', 'bergizi', 'gratis', 'yang', 'lebih', 'tepat', 'sasaran', 'untuk', 'seluruh', 'anak', 'indonesia', 'demi', 'mewujudkan', 'generasi', 'masa', 'depan', 'yang', 'kuat', 'pond', 'with', 'itsskin', 'mp', 'front', 'camera', 'biore', 'uvxstray', 'kids', 'diana', 'pungky']</t>
  </si>
  <si>
    <t>['data', 'realtime', 'kunci', 'distribusi', 'makan', 'bergizi', 'gratis', 'sasaran', 'anak', 'indonesia', 'mewujudkan', 'generasi', 'kuat', 'pond', 'with', 'itsskin', 'mp', 'front', 'camera', 'biore', 'uvxstray', 'kids', 'diana', 'pungky']</t>
  </si>
  <si>
    <t>['data', 'realtime', 'kunci', 'distribusi', 'makan', 'bergizi', 'gratis', 'sasaran', 'anak', 'indonesia', 'mewujudkan', 'generasi', 'kuat', 'pond', 'dengan', 'itsskin', 'mp', 'front', 'camera', 'biore', 'uvxstray', 'kids', 'diana', 'pungky']</t>
  </si>
  <si>
    <t>['data', 'realtime', 'kunci', 'distribusi', 'makan', 'gizi', 'gratis', 'sasar', 'anak', 'indonesia', 'wujud', 'generasi', 'kuat', 'pond', 'dengan', 'itsskin', 'mp', 'front', 'camera', 'biore', 'uvxstray', 'kids', 'ana', 'pungky']</t>
  </si>
  <si>
    <t>pemerintah menggandeng perguruan tinggi untuk memperluas jangkauan program makanan bergizi gratis melalui dapur berbasis kampus demi menciptakan generasi muda yang jauh lebih sehat dan cerdas pond with itsskin mp front camera biore uvxstray kids diana pungky</t>
  </si>
  <si>
    <t>['pemerintah', 'menggandeng', 'perguruan', 'tinggi', 'untuk', 'memperluas', 'jangkauan', 'program', 'makanan', 'bergizi', 'gratis', 'melalui', 'dapur', 'berbasis', 'kampus', 'demi', 'menciptakan', 'generasi', 'muda', 'yang', 'jauh', 'lebih', 'sehat', 'dan', 'cerdas', 'pond', 'with', 'itsskin', 'mp', 'front', 'camera', 'biore', 'uvxstray', 'kids', 'diana', 'pungky']</t>
  </si>
  <si>
    <t>['pemerintah', 'menggandeng', 'perguruan', 'memperluas', 'jangkauan', 'program', 'makanan', 'bergizi', 'gratis', 'dapur', 'berbasis', 'kampus', 'menciptakan', 'generasi', 'muda', 'sehat', 'cerdas', 'pond', 'with', 'itsskin', 'mp', 'front', 'camera', 'biore', 'uvxstray', 'kids', 'diana', 'pungky']</t>
  </si>
  <si>
    <t>['pemerintah', 'menggandeng', 'perguruan', 'memperluas', 'jangkauan', 'program', 'makanan', 'bergizi', 'gratis', 'dapur', 'berbasis', 'kampus', 'menciptakan', 'generasi', 'muda', 'sehat', 'cerdas', 'pond', 'dengan', 'itsskin', 'mp', 'front', 'camera', 'biore', 'uvxstray', 'kids', 'diana', 'pungky']</t>
  </si>
  <si>
    <t>['perintah', 'gandeng', 'guru', 'luas', 'jangkau', 'program', 'makan', 'gizi', 'gratis', 'dapur', 'bas', 'kampus', 'cipta', 'generasi', 'muda', 'sehat', 'cerdas', 'pond', 'dengan', 'itsskin', 'mp', 'front', 'camera', 'biore', 'uvxstray', 'kids', 'ana', 'pungky']</t>
  </si>
  <si>
    <t>kopi program makan gratis ini bantu banget warga kecil jangan dirusak pakai isu sapi yang nggak jelas juntrungannya itu cuma simulasi perencanaan dapur realitanya menu tetap variatif dan bergizi seimbang</t>
  </si>
  <si>
    <t>['kopi', 'program', 'makan', 'gratis', 'ini', 'bantu', 'banget', 'warga', 'kecil', 'jangan', 'dirusak', 'pakai', 'isu', 'sapi', 'yang', 'nggak', 'jelas', 'juntrungannya', 'itu', 'cuma', 'simulasi', 'perencanaan', 'dapur', 'realitanya', 'menu', 'tetap', 'variatif', 'dan', 'bergizi', 'seimbang']</t>
  </si>
  <si>
    <t>['kopi', 'program', 'makan', 'gratis', 'bantu', 'banget', 'warga', 'dirusak', 'pakai', 'isu', 'sapi', 'nggak', 'juntrungannya', 'simulasi', 'perencanaan', 'dapur', 'realitanya', 'menu', 'variatif', 'bergizi', 'seimbang']</t>
  </si>
  <si>
    <t>['kopi', 'program', 'makan', 'gratis', 'bantu', 'sekali', 'warga', 'dirusak', 'pakai', 'isu', 'sapi', 'tidak', 'juntrungannya', 'simulasi', 'perencanaan', 'dapur', 'realitanya', 'menu', 'variatif', 'bergizi', 'seimbang']</t>
  </si>
  <si>
    <t>['kopi', 'program', 'makan', 'gratis', 'bantu', 'sekali', 'warga', 'rusak', 'pakai', 'isu', 'sapi', 'tidak', 'juntrung', 'simulasi', 'rencana', 'dapur', 'realitanya', 'menu', 'variatif', 'gizi', 'imbang']</t>
  </si>
  <si>
    <t>presiden prabowo subianto menegaskan komitmen melanjutkan program makan bergizi gratis mbg hingga tuntas program ini dinilai berdampak bagi petani dan nelayan karena memberi kepastian pasar baca selengkapnya rk</t>
  </si>
  <si>
    <t>['presiden', 'prabowo', 'subianto', 'menegaskan', 'komitmen', 'melanjutkan', 'program', 'makan', 'bergizi', 'gratis', 'mbg', 'hingga', 'tuntas', 'program', 'ini', 'dinilai', 'berdampak', 'bagi', 'petani', 'dan', 'nelayan', 'karena', 'memberi', 'kepastian', 'pasar', 'baca', 'selengkapnya', 'rk']</t>
  </si>
  <si>
    <t>['presiden', 'prabowo', 'subianto', 'komitmen', 'melanjutkan', 'program', 'makan', 'bergizi', 'gratis', 'mbg', 'tuntas', 'program', 'dinilai', 'berdampak', 'petani', 'nelayan', 'kepastian', 'pasar', 'baca', 'selengkapnya', 'rk']</t>
  </si>
  <si>
    <t>['presiden', 'prabowo', 'subianto', 'komitmen', 'lanjut', 'program', 'makan', 'gizi', 'gratis', 'mbg', 'tuntas', 'program', 'nilai', 'dampak', 'tani', 'nelayan', 'pasti', 'pasar', 'baca', 'lengkap', 'rk']</t>
  </si>
  <si>
    <t>nutrisi seimbang itu kunci kecerdasan anak sekolah jangan terjebak polemik simulasi sapi yang nggak utuh informasinya tetap dukung program makan bergizi gratis demi masa depan indonesia yang lebih cerah</t>
  </si>
  <si>
    <t>['nutrisi', 'seimbang', 'itu', 'kunci', 'kecerdasan', 'anak', 'sekolah', 'jangan', 'terjebak', 'polemik', 'simulasi', 'sapi', 'yang', 'nggak', 'utuh', 'informasinya', 'tetap', 'dukung', 'program', 'makan', 'bergizi', 'gratis', 'demi', 'masa', 'depan', 'indonesia', 'yang', 'lebih', 'cerah']</t>
  </si>
  <si>
    <t>['nutrisi', 'seimbang', 'kunci', 'kecerdasan', 'anak', 'sekolah', 'terjebak', 'polemik', 'simulasi', 'sapi', 'nggak', 'utuh', 'informasinya', 'dukung', 'program', 'makan', 'bergizi', 'gratis', 'indonesia', 'cerah']</t>
  </si>
  <si>
    <t>['nutrisi', 'seimbang', 'kunci', 'kecerdasan', 'anak', 'sekolah', 'terjebak', 'polemik', 'simulasi', 'sapi', 'tidak', 'utuh', 'informasinya', 'dukung', 'program', 'makan', 'bergizi', 'gratis', 'indonesia', 'cerah']</t>
  </si>
  <si>
    <t>['nutrisi', 'imbang', 'kunci', 'cerdas', 'anak', 'sekolah', 'jebak', 'polemik', 'simulasi', 'sapi', 'tidak', 'utuh', 'informasi', 'dukung', 'program', 'makan', 'gizi', 'gratis', 'indonesia', 'cerah']</t>
  </si>
  <si>
    <t>tetap kritis tapi jangan kehilangan akal sehat isu sapi ribu itu cuma pengandaian kapasitas logistik saja mari dukung penuh program makan bergizi gratis demi masa depan cerah generasi indonesia</t>
  </si>
  <si>
    <t>['tetap', 'kritis', 'tapi', 'jangan', 'kehilangan', 'akal', 'sehat', 'isu', 'sapi', 'ribu', 'itu', 'cuma', 'pengandaian', 'kapasitas', 'logistik', 'saja', 'mari', 'dukung', 'penuh', 'program', 'makan', 'bergizi', 'gratis', 'demi', 'masa', 'depan', 'cerah', 'generasi', 'indonesia']</t>
  </si>
  <si>
    <t>['kritis', 'kehilangan', 'akal', 'sehat', 'isu', 'sapi', 'ribu', 'pengandaian', 'kapasitas', 'logistik', 'mari', 'dukung', 'penuh', 'program', 'makan', 'bergizi', 'gratis', 'cerah', 'generasi', 'indonesia']</t>
  </si>
  <si>
    <t>['kritis', 'hilang', 'akal', 'sehat', 'isu', 'sapi', 'ribu', 'andai', 'kapasitas', 'logistik', 'mari', 'dukung', 'penuh', 'program', 'makan', 'gizi', 'gratis', 'cerah', 'generasi', 'indonesia']</t>
  </si>
  <si>
    <t>klaim sesat makan bergizi gratis baru simulasi tapi sudah jumawa dunia belajar ke kita faktanya india lewat midday meal scheme sudah beri makan juta anak sejak kita tertinggal dekade jangan jualan nasionalisme sempit unt menutupi manajemen yg belum teruji</t>
  </si>
  <si>
    <t>['klaim', 'sesat', 'makan', 'bergizi', 'gratis', 'baru', 'simulasi', 'tapi', 'sudah', 'jumawa', 'dunia', 'belajar', 'ke', 'kita', 'faktanya', 'india', 'lewat', 'midday', 'meal', 'scheme', 'sudah', 'beri', 'makan', 'juta', 'anak', 'sejak', 'kita', 'tertinggal', 'dekade', 'jangan', 'jualan', 'nasionalisme', 'sempit', 'unt', 'menutupi', 'manajemen', 'yg', 'belum', 'teruji']</t>
  </si>
  <si>
    <t>['klaim', 'sesat', 'makan', 'bergizi', 'gratis', 'simulasi', 'jumawa', 'dunia', 'belajar', 'faktanya', 'india', 'midday', 'meal', 'scheme', 'makan', 'juta', 'anak', 'tertinggal', 'dekade', 'jualan', 'nasionalisme', 'sempit', 'unt', 'menutupi', 'manajemen', 'teruji']</t>
  </si>
  <si>
    <t>['klaim', 'sesat', 'makan', 'gizi', 'gratis', 'simulasi', 'jumawa', 'dunia', 'ajar', 'fakta', 'india', 'midday', 'meal', 'scheme', 'makan', 'juta', 'anak', 'tinggal', 'dekade', 'jual', 'nasionalisme', 'sempit', 'unt', 'tutup', 'manajemen', 'uji']</t>
  </si>
  <si>
    <t>kepala badan gizi nasional bgn dadan hindayana mengklaim program studi gizi kini paling diminati setelah adanya program makan bergizi gratis mbg berapa sih gaji tenaga ahli gizi di program ini ternyata kisarannya mencapai jutaan rupiah per bulan lebih besar jika</t>
  </si>
  <si>
    <t>['kepala', 'badan', 'gizi', 'nasional', 'bgn', 'dadan', 'hindayana', 'mengklaim', 'program', 'studi', 'gizi', 'kini', 'paling', 'diminati', 'setelah', 'adanya', 'program', 'makan', 'bergizi', 'gratis', 'mbg', 'berapa', 'sih', 'gaji', 'tenaga', 'ahli', 'gizi', 'di', 'program', 'ini', 'ternyata', 'kisarannya', 'mencapai', 'jutaan', 'rupiah', 'per', 'bulan', 'lebih', 'besar', 'jika']</t>
  </si>
  <si>
    <t>['kepala', 'badan', 'gizi', 'nasional', 'bgn', 'dadan', 'hindayana', 'mengklaim', 'program', 'studi', 'gizi', 'diminati', 'program', 'makan', 'bergizi', 'gratis', 'mbg', 'gaji', 'tenaga', 'ahli', 'gizi', 'program', 'kisarannya', 'mencapai', 'jutaan', 'rupiah']</t>
  </si>
  <si>
    <t>['kepala', 'badan', 'gizi', 'nasional', 'bgn', 'dad', 'hindayana', 'klaim', 'program', 'studi', 'gizi', 'mati', 'program', 'makan', 'gizi', 'gratis', 'mbg', 'gaji', 'tenaga', 'ahli', 'gizi', 'program', 'kisar', 'capai', 'juta', 'rupiah']</t>
  </si>
  <si>
    <t>presiden prabowo subianto menargetkan indonesia akan mencapai swasembada energi pada akhir target ini diungkapkan prabowo saat meninjau hasil revitalisasi sekolah dan program makan bergizi gratis mbg di sman cilacap jawa tengah rabu meski begitu</t>
  </si>
  <si>
    <t>['presiden', 'prabowo', 'subianto', 'menargetkan', 'indonesia', 'akan', 'mencapai', 'swasembada', 'energi', 'pada', 'akhir', 'target', 'ini', 'diungkapkan', 'prabowo', 'saat', 'meninjau', 'hasil', 'revitalisasi', 'sekolah', 'dan', 'program', 'makan', 'bergizi', 'gratis', 'mbg', 'di', 'sman', 'cilacap', 'jawa', 'tengah', 'rabu', 'meski', 'begitu']</t>
  </si>
  <si>
    <t>['presiden', 'prabowo', 'subianto', 'menargetkan', 'indonesia', 'mencapai', 'swasembada', 'energi', 'target', 'prabowo', 'meninjau', 'hasil', 'revitalisasi', 'sekolah', 'program', 'makan', 'bergizi', 'gratis', 'mbg', 'sman', 'cilacap', 'jawa', 'rabu']</t>
  </si>
  <si>
    <t>['presiden', 'prabowo', 'subianto', 'target', 'indonesia', 'capai', 'swasembada', 'energi', 'target', 'prabowo', 'tinjau', 'hasil', 'revitalisasi', 'sekolah', 'program', 'makan', 'gizi', 'gratis', 'mbg', 'sman', 'cilacap', 'jawa', 'rabu']</t>
  </si>
  <si>
    <t>penerima manfaat tembus di atas juta prabowo banyak negara belajar mbg ke kita cilacap presiden ri prabowo subianto menyebut program makan bergizi gratis mbg telah menjangkau lebih dari juta penerima manfaat dan menjadi perhatian dunia bahkan sejumlah negara mulai</t>
  </si>
  <si>
    <t>['penerima', 'manfaat', 'tembus', 'di', 'atas', 'juta', 'prabowo', 'banyak', 'negara', 'belajar', 'mbg', 'ke', 'kita', 'cilacap', 'presiden', 'ri', 'prabowo', 'subianto', 'menyebut', 'program', 'makan', 'bergizi', 'gratis', 'mbg', 'telah', 'menjangkau', 'lebih', 'dari', 'juta', 'penerima', 'manfaat', 'dan', 'menjadi', 'perhatian', 'dunia', 'bahkan', 'sejumlah', 'negara', 'mulai']</t>
  </si>
  <si>
    <t>&lt;FreqDist with 33 samples and 39 outcomes&gt;</t>
  </si>
  <si>
    <t>['penerima', 'manfaat', 'tembus', 'juta', 'prabowo', 'negara', 'belajar', 'mbg', 'cilacap', 'presiden', 'ri', 'prabowo', 'subianto', 'menyebut', 'program', 'makan', 'bergizi', 'gratis', 'mbg', 'menjangkau', 'juta', 'penerima', 'manfaat', 'perhatian', 'dunia', 'negara']</t>
  </si>
  <si>
    <t>['terima', 'manfaat', 'tembus', 'juta', 'prabowo', 'negara', 'ajar', 'mbg', 'cilacap', 'presiden', 'ri', 'prabowo', 'subianto', 'sebut', 'program', 'makan', 'gizi', 'gratis', 'mbg', 'jangkau', 'juta', 'terima', 'manfaat', 'perhati', 'dunia', 'negara']</t>
  </si>
  <si>
    <t>program makan bergizi gratis untuk anak aceh</t>
  </si>
  <si>
    <t>['program', 'makan', 'bergizi', 'gratis', 'untuk', 'anak', 'aceh']</t>
  </si>
  <si>
    <t>['program', 'makan', 'bergizi', 'gratis', 'anak', 'aceh']</t>
  </si>
  <si>
    <t>['program', 'makan', 'gizi', 'gratis', 'anak', 'aceh']</t>
  </si>
  <si>
    <t>program makan bergizi gratis untuk aneuk aceh jak ta dukung makan bergizi gratis demi masa depan aneuk aceh</t>
  </si>
  <si>
    <t>['program', 'makan', 'bergizi', 'gratis', 'untuk', 'aneuk', 'aceh', 'jak', 'ta', 'dukung', 'makan', 'bergizi', 'gratis', 'demi', 'masa', 'depan', 'aneuk', 'aceh']</t>
  </si>
  <si>
    <t>&lt;FreqDist with 13 samples and 18 outcomes&gt;</t>
  </si>
  <si>
    <t>['program', 'makan', 'bergizi', 'gratis', 'aneuk', 'aceh', 'jak', 'ta', 'dukung', 'makan', 'bergizi', 'gratis', 'aneuk', 'aceh']</t>
  </si>
  <si>
    <t>['program', 'makan', 'gizi', 'gratis', 'aneuk', 'aceh', 'jak', 'ta', 'dukung', 'makan', 'gizi', 'gratis', 'aneuk', 'aceh']</t>
  </si>
  <si>
    <t>tingkatkan kualitas belajar anakanak aceh melalui program makan bergizi gratis mari kita dukung makan bergizi gratis demi masa depan anak aceh</t>
  </si>
  <si>
    <t>['tingkatkan', 'kualitas', 'belajar', 'anakanak', 'aceh', 'melalui', 'program', 'makan', 'bergizi', 'gratis', 'mari', 'kita', 'dukung', 'makan', 'bergizi', 'gratis', 'demi', 'masa', 'depan', 'anak', 'aceh']</t>
  </si>
  <si>
    <t>['tingkatkan', 'kualitas', 'belajar', 'anakanak', 'aceh', 'program', 'makan', 'bergizi', 'gratis', 'mari', 'dukung', 'makan', 'bergizi', 'gratis', 'anak', 'aceh']</t>
  </si>
  <si>
    <t>['tingkat', 'kualitas', 'ajar', 'anakanak', 'aceh', 'program', 'makan', 'gizi', 'gratis', 'mari', 'dukung', 'makan', 'gizi', 'gratis', 'anak', 'aceh']</t>
  </si>
  <si>
    <t>mari kita dukung program makan bergizi gratis untuk anakanak aceh bergizigratis</t>
  </si>
  <si>
    <t>['mari', 'kita', 'dukung', 'program', 'makan', 'bergizi', 'gratis', 'untuk', 'anakanak', 'aceh', 'bergizigratis']</t>
  </si>
  <si>
    <t>['mari', 'dukung', 'program', 'makan', 'bergizi', 'gratis', 'anakanak', 'aceh', 'bergizigratis']</t>
  </si>
  <si>
    <t>['mari', 'dukung', 'program', 'makan', 'gizi', 'gratis', 'anakanak', 'aceh', 'bergizigratis']</t>
  </si>
  <si>
    <t>mari dukung makan bergizi gratis untuk anakanak aceh pemerintah tunjukkan komitmen untuk anakanak sekolah aceh makan bergizi gratis</t>
  </si>
  <si>
    <t>['mari', 'dukung', 'makan', 'bergizi', 'gratis', 'untuk', 'anakanak', 'aceh', 'pemerintah', 'tunjukkan', 'komitmen', 'untuk', 'anakanak', 'sekolah', 'aceh', 'makan', 'bergizi', 'gratis']</t>
  </si>
  <si>
    <t>&lt;FreqDist with 12 samples and 18 outcomes&gt;</t>
  </si>
  <si>
    <t>['mari', 'dukung', 'makan', 'bergizi', 'gratis', 'anakanak', 'aceh', 'pemerintah', 'tunjukkan', 'komitmen', 'anakanak', 'sekolah', 'aceh', 'makan', 'bergizi', 'gratis']</t>
  </si>
  <si>
    <t>['mari', 'dukung', 'makan', 'gizi', 'gratis', 'anakanak', 'aceh', 'perintah', 'tunjuk', 'komitmen', 'anakanak', 'sekolah', 'aceh', 'makan', 'gizi', 'gratis']</t>
  </si>
  <si>
    <t>kampus jadi pusat gizi mahasiswa turun tangan kelola dapur mbg lur kepala badan gizi nasional dadan hindayana mengajak kampus di seluruh indonesia ikut mengelola dapur program makan bergizi gratis mbg bukan cuma masak tapi jadi tempat riset dan inovasi mahasiswa</t>
  </si>
  <si>
    <t>['kampus', 'jadi', 'pusat', 'gizi', 'mahasiswa', 'turun', 'tangan', 'kelola', 'dapur', 'mbg', 'lur', 'kepala', 'badan', 'gizi', 'nasional', 'dadan', 'hindayana', 'mengajak', 'kampus', 'di', 'seluruh', 'indonesia', 'ikut', 'mengelola', 'dapur', 'program', 'makan', 'bergizi', 'gratis', 'mbg', 'bukan', 'cuma', 'masak', 'tapi', 'jadi', 'tempat', 'riset', 'dan', 'inovasi', 'mahasiswa']</t>
  </si>
  <si>
    <t>['kampus', 'pusat', 'gizi', 'mahasiswa', 'turun', 'tangan', 'kelola', 'dapur', 'mbg', 'lur', 'kepala', 'badan', 'gizi', 'nasional', 'dadan', 'hindayana', 'mengajak', 'kampus', 'indonesia', 'mengelola', 'dapur', 'program', 'makan', 'bergizi', 'gratis', 'mbg', 'masak', 'riset', 'inovasi', 'mahasiswa']</t>
  </si>
  <si>
    <t>['kampus', 'pusat', 'gizi', 'mahasiswa', 'turun', 'tangan', 'kelola', 'dapur', 'mbg', 'lur', 'kepala', 'badan', 'gizi', 'nasional', 'dad', 'hindayana', 'ajak', 'kampus', 'indonesia', 'kelola', 'dapur', 'program', 'makan', 'gizi', 'gratis', 'mbg', 'masak', 'riset', 'inovasi', 'mahasiswa']</t>
  </si>
  <si>
    <t>tai kucing gara lu banyak anggaran dipangkas banyak kampus yg kena dampak efisiensi demi menuhin that program makan beracun gratis dana riset dipangkas dan kalo lupa ada kampus yg membatasi kegiatan perkuliahan di kampus gara keterbatasan dana operasional krn efisiensi</t>
  </si>
  <si>
    <t>['tai', 'kucing', 'gara', 'lu', 'banyak', 'anggaran', 'dipangkas', 'banyak', 'kampus', 'yg', 'kena', 'dampak', 'efisiensi', 'demi', 'menuhin', 'that', 'program', 'makan', 'beracun', 'gratis', 'dana', 'riset', 'dipangkas', 'dan', 'kalo', 'lupa', 'ada', 'kampus', 'yg', 'membatasi', 'kegiatan', 'perkuliahan', 'di', 'kampus', 'gara', 'keterbatasan', 'dana', 'operasional', 'krn', 'efisiensi']</t>
  </si>
  <si>
    <t>['tai', 'kucing', 'gara', 'lu', 'anggaran', 'dipangkas', 'kampus', 'kena', 'dampak', 'efisiensi', 'menuhin', 'that', 'program', 'makan', 'beracun', 'gratis', 'dana', 'riset', 'dipangkas', 'lupa', 'kampus', 'membatasi', 'kegiatan', 'perkuliahan', 'kampus', 'gara', 'keterbatasan', 'dana', 'operasional', 'efisiensi']</t>
  </si>
  <si>
    <t>['tahi', 'kucing', 'gara', 'lu', 'anggaran', 'dipangkas', 'kampus', 'kena', 'dampak', 'efisiensi', 'menuhin', 'itu', 'program', 'makan', 'beracun', 'gratis', 'dana', 'riset', 'dipangkas', 'lupa', 'kampus', 'membatasi', 'kegiatan', 'perkuliahan', 'kampus', 'gara', 'keterbatasan', 'dana', 'operasional', 'efisiensi']</t>
  </si>
  <si>
    <t>['tahi', 'kucing', 'gara', 'lu', 'anggar', 'pangkas', 'kampus', 'kena', 'dampak', 'efisiensi', 'menuhin', 'itu', 'program', 'makan', 'racun', 'gratis', 'dana', 'riset', 'pangkas', 'lupa', 'kampus', 'batas', 'giat', 'kuliah', 'kampus', 'gara', 'batas', 'dana', 'operasional', 'efisiensi']</t>
  </si>
  <si>
    <t>heran ya ga paham manfaat tapi bahasbahas manfaat pada ngerti gak si program makan bergizi gratis mbg membawa dampak positif bagi para petani peningkatan permintaan pasar membuat harga komoditas seperti brokoli dan bawang merah ikut naik sehingga pendapatan petani membaik</t>
  </si>
  <si>
    <t>['heran', 'ya', 'ga', 'paham', 'manfaat', 'tapi', 'bahasbahas', 'manfaat', 'pada', 'ngerti', 'gak', 'si', 'program', 'makan', 'bergizi', 'gratis', 'mbg', 'membawa', 'dampak', 'positif', 'bagi', 'para', 'petani', 'peningkatan', 'permintaan', 'pasar', 'membuat', 'harga', 'komoditas', 'seperti', 'brokoli', 'dan', 'bawang', 'merah', 'ikut', 'naik', 'sehingga', 'pendapatan', 'petani', 'membaik']</t>
  </si>
  <si>
    <t>&lt;FreqDist with 38 samples and 40 outcomes&gt;</t>
  </si>
  <si>
    <t>['heran', 'paham', 'manfaat', 'bahasbahas', 'manfaat', 'ngerti', 'program', 'makan', 'bergizi', 'gratis', 'mbg', 'membawa', 'dampak', 'positif', 'petani', 'peningkatan', 'permintaan', 'pasar', 'harga', 'komoditas', 'brokoli', 'bawang', 'merah', 'pendapatan', 'petani', 'membaik']</t>
  </si>
  <si>
    <t>['heran', 'paham', 'manfaat', 'bahasbahas', 'manfaat', 'ngerti', 'program', 'makan', 'gizi', 'gratis', 'mbg', 'bawa', 'dampak', 'positif', 'tani', 'tingkat', 'minta', 'pasar', 'harga', 'komoditas', 'brokoli', 'bawang', 'merah', 'dapat', 'tani', 'baik']</t>
  </si>
  <si>
    <t>melalui makan bergizi gratis kita bersama membangun ketahanan fisik serta mental generasi penerus bangsa yang tangguh</t>
  </si>
  <si>
    <t>['melalui', 'makan', 'bergizi', 'gratis', 'kita', 'bersama', 'membangun', 'ketahanan', 'fisik', 'serta', 'mental', 'generasi', 'penerus', 'bangsa', 'yang', 'tangguh']</t>
  </si>
  <si>
    <t>['makan', 'bergizi', 'gratis', 'membangun', 'ketahanan', 'fisik', 'mental', 'generasi', 'penerus', 'bangsa', 'tangguh']</t>
  </si>
  <si>
    <t>['makan', 'gizi', 'gratis', 'bangun', 'tahan', 'fisik', 'mental', 'generasi', 'terus', 'bangsa', 'tangguh']</t>
  </si>
  <si>
    <t>mari kita kawal kesuksesan program makan bergizi gratis demi mewujudkan citacita besar indonesia maju</t>
  </si>
  <si>
    <t>['mari', 'kita', 'kawal', 'kesuksesan', 'program', 'makan', 'bergizi', 'gratis', 'demi', 'mewujudkan', 'citacita', 'besar', 'indonesia', 'maju']</t>
  </si>
  <si>
    <t>['mari', 'kawal', 'kesuksesan', 'program', 'makan', 'bergizi', 'gratis', 'mewujudkan', 'citacita', 'indonesia', 'maju']</t>
  </si>
  <si>
    <t>['mari', 'kawal', 'sukses', 'program', 'makan', 'gizi', 'gratis', 'wujud', 'citacita', 'indonesia', 'maju']</t>
  </si>
  <si>
    <t>omong kosong mana janji lu dulu katanya ngadain program makan gratis buat anak sekolah yg ada malah mbg skrg mana program yg lu janjiin itu</t>
  </si>
  <si>
    <t>['omong', 'kosong', 'mana', 'janji', 'lu', 'dulu', 'katanya', 'ngadain', 'program', 'makan', 'gratis', 'buat', 'anak', 'sekolah', 'yg', 'ada', 'malah', 'mbg', 'skrg', 'mana', 'program', 'yg', 'lu', 'janjiin', 'itu']</t>
  </si>
  <si>
    <t>&lt;FreqDist with 21 samples and 25 outcomes&gt;</t>
  </si>
  <si>
    <t>['omong', 'kosong', 'janji', 'lu', 'ngadain', 'program', 'makan', 'gratis', 'anak', 'sekolah', 'mbg', 'skrg', 'program', 'lu', 'janjiin']</t>
  </si>
  <si>
    <t>['omong', 'kosong', 'janji', 'lu', 'ngadain', 'program', 'makan', 'gratis', 'anak', 'sekolah', 'mbg', 'sekarang', 'program', 'lu', 'janjiin']</t>
  </si>
  <si>
    <t>ijm bukan mbg tetapi makan bergizi dengan biaya rakyat menyorot problem makan bergizi gratis mbg direktur indonesia justice monitor ijm agung wisnuwardana mengatakan bukan mbg tetapi makan bergizi dengan biaya rakyat</t>
  </si>
  <si>
    <t>['ijm', 'bukan', 'mbg', 'tetapi', 'makan', 'bergizi', 'dengan', 'biaya', 'rakyat', 'menyorot', 'problem', 'makan', 'bergizi', 'gratis', 'mbg', 'direktur', 'indonesia', 'justice', 'monitor', 'ijm', 'agung', 'wisnuwardana', 'mengatakan', 'bukan', 'mbg', 'tetapi', 'makan', 'bergizi', 'dengan', 'biaya', 'rakyat']</t>
  </si>
  <si>
    <t>&lt;FreqDist with 19 samples and 31 outcomes&gt;</t>
  </si>
  <si>
    <t>['ijm', 'mbg', 'makan', 'bergizi', 'biaya', 'rakyat', 'menyorot', 'problem', 'makan', 'bergizi', 'gratis', 'mbg', 'direktur', 'indonesia', 'justice', 'monitor', 'ijm', 'agung', 'wisnuwardana', 'mbg', 'makan', 'bergizi', 'biaya', 'rakyat']</t>
  </si>
  <si>
    <t>['ijm', 'mbg', 'makan', 'bergizi', 'biaya', 'rakyat', 'menyorot', 'masalah', 'makan', 'bergizi', 'gratis', 'mbg', 'direktur', 'indonesia', 'adil', 'monitor', 'ijm', 'agung', 'wisnuwardana', 'mbg', 'makan', 'bergizi', 'biaya', 'rakyat']</t>
  </si>
  <si>
    <t>['ijm', 'mbg', 'makan', 'gizi', 'biaya', 'rakyat', 'sorot', 'masalah', 'makan', 'gizi', 'gratis', 'mbg', 'direktur', 'indonesia', 'adil', 'monitor', 'ijm', 'agung', 'wisnuwardana', 'mbg', 'makan', 'gizi', 'biaya', 'rakyat']</t>
  </si>
  <si>
    <t>program makan bergizi gratis merupakan wujud nyata kepedulian pemerintah terhadap masa depan anak bangsa</t>
  </si>
  <si>
    <t>['program', 'makan', 'bergizi', 'gratis', 'merupakan', 'wujud', 'nyata', 'kepedulian', 'pemerintah', 'terhadap', 'masa', 'depan', 'anak', 'bangsa']</t>
  </si>
  <si>
    <t>['program', 'makan', 'bergizi', 'gratis', 'wujud', 'nyata', 'kepedulian', 'pemerintah', 'anak', 'bangsa']</t>
  </si>
  <si>
    <t>['program', 'makan', 'gizi', 'gratis', 'wujud', 'nyata', 'peduli', 'perintah', 'anak', 'bangsa']</t>
  </si>
  <si>
    <t>program makan bergizi gratis menggerakkan roda ekonomi pedagang di pasar kramat jati jakarta timur pedagang buah merasakan lonjakan omzet sejak program ini berjalan awal</t>
  </si>
  <si>
    <t>['program', 'makan', 'bergizi', 'gratis', 'menggerakkan', 'roda', 'ekonomi', 'pedagang', 'di', 'pasar', 'kramat', 'jati', 'jakarta', 'timur', 'pedagang', 'buah', 'merasakan', 'lonjakan', 'omzet', 'sejak', 'program', 'ini', 'berjalan', 'awal']</t>
  </si>
  <si>
    <t>['program', 'makan', 'bergizi', 'gratis', 'menggerakkan', 'roda', 'ekonomi', 'pedagang', 'pasar', 'kramat', 'jati', 'jakarta', 'timur', 'pedagang', 'buah', 'merasakan', 'lonjakan', 'omzet', 'program', 'berjalan']</t>
  </si>
  <si>
    <t>['program', 'makan', 'gizi', 'gratis', 'gerak', 'roda', 'ekonomi', 'dagang', 'pasar', 'kramat', 'jati', 'jakarta', 'timur', 'dagang', 'buah', 'rasa', 'lonjak', 'omzet', 'program', 'jalan']</t>
  </si>
  <si>
    <t>pak prabowo yg kau kasih makan itu pejabat mbg dan semua sppg jadi ladang korupsi baru bukan anak sekolah anak sekolah itu cuma sskali saja kok itu pun tidak bergizi bahkan banyak yg keracunan apa yg mau dipelajari negara lain dari program buruk itu</t>
  </si>
  <si>
    <t>['pak', 'prabowo', 'yg', 'kau', 'kasih', 'makan', 'itu', 'pejabat', 'mbg', 'dan', 'semua', 'sppg', 'jadi', 'ladang', 'korupsi', 'baru', 'bukan', 'anak', 'sekolah', 'anak', 'sekolah', 'itu', 'cuma', 'sskali', 'saja', 'kok', 'itu', 'pun', 'tidak', 'bergizi', 'bahkan', 'banyak', 'yg', 'keracunan', 'apa', 'yg', 'mau', 'dipelajari', 'negara', 'lain', 'dari', 'program', 'buruk', 'itu']</t>
  </si>
  <si>
    <t>['prabowo', 'kau', 'kasih', 'makan', 'pejabat', 'mbg', 'sppg', 'ladang', 'korupsi', 'anak', 'sekolah', 'anak', 'sekolah', 'sskali', 'bergizi', 'keracunan', 'dipelajari', 'negara', 'program', 'buruk']</t>
  </si>
  <si>
    <t>['prabowo', 'kau', 'kasih', 'makan', 'jabat', 'mbg', 'sppg', 'ladang', 'korupsi', 'anak', 'sekolah', 'anak', 'sekolah', 'sskali', 'gizi', 'racun', 'ajar', 'negara', 'program', 'buruk']</t>
  </si>
  <si>
    <t>program makan bergizi gratis mbg hadir sebagai langkah nyata mewujudkan generasi emas kuncinya bukan cuma porsi yang banyak tapi gizi seimbang yang terjaga</t>
  </si>
  <si>
    <t>['program', 'makan', 'bergizi', 'gratis', 'mbg', 'hadir', 'sebagai', 'langkah', 'nyata', 'mewujudkan', 'generasi', 'emas', 'kuncinya', 'bukan', 'cuma', 'porsi', 'yang', 'banyak', 'tapi', 'gizi', 'seimbang', 'yang', 'terjaga']</t>
  </si>
  <si>
    <t>['program', 'makan', 'bergizi', 'gratis', 'mbg', 'hadir', 'langkah', 'nyata', 'mewujudkan', 'generasi', 'emas', 'kuncinya', 'porsi', 'gizi', 'seimbang', 'terjaga']</t>
  </si>
  <si>
    <t>['program', 'makan', 'gizi', 'gratis', 'mbg', 'hadir', 'langkah', 'nyata', 'wujud', 'generasi', 'emas', 'kunci', 'porsi', 'gizi', 'imbang', 'jaga']</t>
  </si>
  <si>
    <t>setiap suapan dalam program makan bergizi gratis adalah langkah kita memutus rantai stunting dan meningkatkan kualitas sdm indonesia</t>
  </si>
  <si>
    <t>['setiap', 'suapan', 'dalam', 'program', 'makan', 'bergizi', 'gratis', 'adalah', 'langkah', 'kita', 'memutus', 'rantai', 'stunting', 'dan', 'meningkatkan', 'kualitas', 'sdm', 'indonesia']</t>
  </si>
  <si>
    <t>['suapan', 'program', 'makan', 'bergizi', 'gratis', 'langkah', 'memutus', 'rantai', 'stunting', 'meningkatkan', 'kualitas', 'sdm', 'indonesia']</t>
  </si>
  <si>
    <t>['suap', 'program', 'makan', 'gizi', 'gratis', 'langkah', 'putus', 'rantai', 'stunting', 'tingkat', 'kualitas', 'sdm', 'indonesia']</t>
  </si>
  <si>
    <t>jakarta pemerintah indonesia berencana memangkas kembali anggaran makan bergizi gratis mbg demi menjaga agar defisit fiskal tak melebihi batas maksimal baca selengkapnya</t>
  </si>
  <si>
    <t>['jakarta', 'pemerintah', 'indonesia', 'berencana', 'memangkas', 'kembali', 'anggaran', 'makan', 'bergizi', 'gratis', 'mbg', 'demi', 'menjaga', 'agar', 'defisit', 'fiskal', 'tak', 'melebihi', 'batas', 'maksimal', 'baca', 'selengkapnya']</t>
  </si>
  <si>
    <t>['jakarta', 'pemerintah', 'indonesia', 'berencana', 'memangkas', 'anggaran', 'makan', 'bergizi', 'gratis', 'mbg', 'menjaga', 'defisit', 'fiskal', 'melebihi', 'batas', 'maksimal', 'baca', 'selengkapnya']</t>
  </si>
  <si>
    <t>['jakarta', 'perintah', 'indonesia', 'rencana', 'mangkas', 'anggar', 'makan', 'gizi', 'gratis', 'mbg', 'jaga', 'defisit', 'fiskal', 'lebih', 'batas', 'maksimal', 'baca', 'lengkap']</t>
  </si>
  <si>
    <t>Cek Konfirmasi Relevansi</t>
  </si>
  <si>
    <t>Relevan</t>
  </si>
  <si>
    <t>Tidak Relevan</t>
  </si>
  <si>
    <t>Rumus</t>
  </si>
  <si>
    <t>Konfirmasi</t>
  </si>
  <si>
    <t>Nilai Akhir</t>
  </si>
  <si>
    <t>Cek Akun</t>
  </si>
  <si>
    <t>Individu</t>
  </si>
  <si>
    <t>Media Tidak Resmi</t>
  </si>
  <si>
    <t>Komunitas</t>
  </si>
  <si>
    <t>Cari dengan Rumus</t>
  </si>
  <si>
    <t>Official</t>
  </si>
  <si>
    <t>Total</t>
  </si>
  <si>
    <t>Media Resmi Dewanpers</t>
  </si>
  <si>
    <t>Column1</t>
  </si>
  <si>
    <t>['anggaran', 'segitu', 'sekolah', 'tambahan', 'orang', 'tua', 'program', 'makan', 'siang', 'gratis', 'mark', 'atas', 'saya', 'sd', 'program', 'snack', 'bergizi', 'gratis', 'program', 'gabungan', 'pkk']</t>
  </si>
  <si>
    <t>['anggar', 'segitu', 'sekolah', 'tambah', 'orang', 'tua', 'program', 'makan', 'siang', 'gratis', 'mark', 'atas', 'saya', 'sd', 'program', 'snack', 'gizi', 'gratis', 'program', 'gabung', 'pkk']</t>
  </si>
  <si>
    <t>['program', 'prabowo', 'makan', 'gratis', 'kepada', 'pelajar', 'hamil', 'pelajar', 'juta', 'mari', 'hitung', 'biaya', 'makan', 'gratis', 'pelajar', 'makan', 'juta', 'pelajar', 'rp', 'ribu', 'porsi', 'harga', 'segitu', 'dianggap', 'bergizi', 'lengkap', 'dalam', 'makan', 'anggaran', 'negara']</t>
  </si>
  <si>
    <t>['program', 'prabowo', 'makan', 'gratis', 'kepada', 'ajar', 'hamil', 'ajar', 'juta', 'mari', 'hitung', 'biaya', 'makan', 'gratis', 'ajar', 'makan', 'juta', 'ajar', 'rp', 'ribu', 'porsi', 'harga', 'segitu', 'anggap', 'gizi', 'lengkap', 'dalam', 'makan', 'anggar', 'negara']</t>
  </si>
  <si>
    <t>['makanan', 'gratis', 'bergizi', 'ibuibu', 'hamil', 'memperkuat', 'bayi', 'rahimnya', 'juta', 'jiwa', 'kencing', 'bayar', 'bagaimana', 'ceritanya']</t>
  </si>
  <si>
    <t>['makan', 'gratis', 'gizi', 'ibuibu', 'hamil', 'kuat', 'bayi', 'rahim', 'juta', 'jiwa', 'kencing', 'bayar', 'bagaimana', 'cerita']</t>
  </si>
  <si>
    <t>['raharjo', 'anak', 'sekolah', 'dijanjikan', 'bayi', 'balita', 'total', 'sdiri', 'berapa', 'orang', 'dikasih', 'makan', 'gratis', 'mikirin', 'program', 'masyarakat', 'berpenghasilan', 'anggota', 'keluarga', 'bisa', 'makan', 'enak', 'bergizi']</t>
  </si>
  <si>
    <t>['raharjo', 'anak', 'sekolah', 'janji', 'bayi', 'balita', 'total', 'sdiri', 'berapa', 'orang', 'kasih', 'makan', 'gratis', 'mikirin', 'program', 'masyarakat', 'hasil', 'anggota', 'keluarga', 'bisa', 'makan', 'enak', 'gizi']</t>
  </si>
  <si>
    <t>['memikirkan', 'kondisi', 'sprt', 'tuk', 'janji', 'kampanye', 'memberikan', 'makan', 'gratis', 'anak', 'sekolah', 'indonesia', 'makanan', 'bergizi', 'program', 'stunting', 'hamil', 'anakanak']</t>
  </si>
  <si>
    <t>['pikir', 'kondisi', 'sprt', 'tuk', 'janji', 'kampanye', 'beri', 'makan', 'gratis', 'anak', 'sekolah', 'indonesia', 'makan', 'gizi', 'program', 'stunting', 'hamil', 'anakanak']</t>
  </si>
  <si>
    <t>['maaf', 'bukan', 'maksud', 'merendahkan', 'program', 'makan', 'siangsusu', 'gratis', 'atasi', 'stunting', 'taraf', 'hidup', 'ekonomi', 'orang tua', 'meningkat', 'seperti', 'pekerjaanupah', 'layak', 'sekolahampjamkes', 'gratis', 'rumah', 'ngontrakmaka', 'orang', 'tua', 'dapat', 'asupan', 'makan', 'bergizi', 'pada', 'anaknyato', 'be', 'continue']</t>
  </si>
  <si>
    <t>['maaf', 'bukan', 'maksud', 'rendah', 'program', 'makan', 'siangsusu', 'gratis', 'atas', 'stunting', 'taraf', 'hidup', 'ekonomi', 'orang tua', 'tingkat', 'seperti', 'pekerjaanupah', 'layak', 'sekolahampjamkes', 'gratis', 'rumah', 'ngontrakmaka', 'orang', 'tua', 'dapat', 'asupan', 'makan', 'gizi', 'pada', 'anaknyato', 'be', 'continue']</t>
  </si>
  <si>
    <t>['jujur', 'program', 'makan', 'siang', 'gratis', 'saya', 'setuju', 'banget', 'anak', 'sd', 'butuh', 'makanan', 'sehat', 'bergizi', 'karena', 'anak', 'dibekelin', 'makan', 'banyaknya', 'dikasih', 'uang', 'saku', 'pas', 'istirahat', 'belinya', 'jajanan', 'jangan', 'sehat', 'kenyang', 'tidak']</t>
  </si>
  <si>
    <t>['jujur', 'program', 'makan', 'siang', 'gratis', 'saya', 'tuju', 'banget', 'anak', 'sd', 'butuh', 'makan', 'sehat', 'gizi', 'karena', 'anak', 'dibekelin', 'makan', 'banyak', 'kasih', 'uang', 'saku', 'pas', 'istirahat', 'beli', 'jajan', 'jangan', 'sehat', 'kenyang', 'tidak']</t>
  </si>
  <si>
    <t>['sadar', 'tujuan', 'paslon', 'program', 'makan', 'siang', 'gratis', 'bergizi', 'anak', 'sekolah', 'anak', 'bangsa', 'gedenya', 'bodoh', 'seperti', 'razak', 'teman-teman']</t>
  </si>
  <si>
    <t>['makan', 'bergizi', 'gratis', 'program', 'prabowogibran', 'makan', 'bergizi', 'langkah', 'melawan', 'stunting', 'bagaimana', 'program', 'sasaran', 'ayo', 'bersamasama']</t>
  </si>
  <si>
    <t>['makan', 'gizi', 'gratis', 'program', 'prabowogibran', 'makan', 'gizi', 'langkah', 'lawan', 'stunting', 'bagaimana', 'program', 'sasar', 'ayo', 'bersamasama']</t>
  </si>
  <si>
    <t>['pemerintah', 'kota', 'pemerintah kota', 'tangerang', 'selatan', 'uji', 'coba', 'program', 'makan', 'bergizi', 'gratis', 'mbg', 'salah', 'program', 'unggulan', 'presiden', 'prabowo', 'subianto', 'sekolah', 'uji', 'coba', 'makan', 'bergizi', 'gratis', 'tk', 'negeri', 'pembina', 'ciputat']</t>
  </si>
  <si>
    <t>['perintah', 'kota', 'perintah kota', 'tangerang', 'selatan', 'uji', 'coba', 'program', 'makan', 'gizi', 'gratis', 'mbg', 'salah', 'program', 'unggul', 'presiden', 'prabowo', 'subianto', 'sekolah', 'uji', 'coba', 'makan', 'gizi', 'gratis', 'tk', 'negeri', 'bina', 'ciputat']</t>
  </si>
  <si>
    <t>['rapat koordinasi', 'bimtek', 'peknas', 'tanggal', 'desember', 'jakarta', 'terkait', 'program', 'makan', 'bergizi', 'gratis', 'mbg', 'acara', 'dihadiri', 'pengurus', 'dpp', 'dpw', 'dpc', 'peknas', 'indonesia', 'badan', 'gizi', 'nasional', 'bgn', 'vendor', 'investor', 'mbg']</t>
  </si>
  <si>
    <t>['rapat koordinasi', 'bimtek', 'peknas', 'tanggal', 'desember', 'jakarta', 'kait', 'program', 'makan', 'gizi', 'gratis', 'mbg', 'acara', 'hadir', 'urus', 'dpp', 'dpw', 'dpc', 'peknas', 'indonesia', 'badan', 'gizi', 'nasional', 'bgn', 'vendor', 'investor', 'mbg']</t>
  </si>
  <si>
    <t>['kepala satuan', 'binmas', 'polres', 'lumajang', 'melaksanakan', 'kegiatan', 'program', 'makan', 'bergizi', 'gratis', 'dilaksanakan', 'ma', 'putri', 'nurul', 'masyithoh', 'lumajang', 'indonesia']</t>
  </si>
  <si>
    <t>['kepala satu', 'binmas', 'polres', 'lumajang', 'laksana', 'giat', 'program', 'makan', 'gizi', 'gratis', 'laksana', 'ma', 'putri', 'nurul', 'masyithoh', 'lumajang', 'indonesia']</t>
  </si>
  <si>
    <t>['polresta', 'palangka', 'raya', 'hadiri', 'rapat koordinasi', 'optimalisasi', 'program', 'makan', 'bergizi', 'gratis', 'polresta', 'palangka', 'raya', 'menghadiri', 'rapat', 'koordinasi', 'rapat koordinasi', 'optimalisasi', 'pelaksanaan', 'program', 'makan', 'bergizi', 'gratis', 'digelar', 'ruang', 'rapat', 'peteng', 'karuhei', 'ii', 'kantor', 'wali', 'kota', 'palangka', 'raya']</t>
  </si>
  <si>
    <t>['polresta', 'palangka', 'raya', 'hadir', 'rapat koordinasi', 'optimalisasi', 'program', 'makan', 'gizi', 'gratis', 'polresta', 'palangka', 'raya', 'hadir', 'rapat', 'koordinasi', 'rapat koordinasi', 'optimalisasi', 'laksana', 'program', 'makan', 'gizi', 'gratis', 'gelar', 'ruang', 'rapat', 'teng', 'karuhei', 'ii', 'kantor', 'wali', 'kota', 'palangka', 'raya']</t>
  </si>
  <si>
    <t>['program', 'makan', 'bergizi', 'gratis', 'mbg', 'didistribusikan', 'langsung', 'anak', 'jalanan', 'lanjut usia', 'membutuhkan', 'upaya', 'layak', 'didukung', 'terealisasi', 'merasakan', 'manfaatnya']</t>
  </si>
  <si>
    <t>['program', 'makan', 'gizi', 'gratis', 'mbg', 'distribusi', 'langsung', 'anak', 'jalan', 'lanjut usia', 'butuh', 'upaya', 'layak', 'dukung', 'realisasi', 'rasa', 'manfaat']</t>
  </si>
  <si>
    <t>['saya', 'anak', 'sekolah', 'lapar', 'program', 'makan', 'bergizi', 'gratis', 'hadirkan', 'senyum', 'semangat', 'belajar']</t>
  </si>
  <si>
    <t>['saya', 'anak', 'sekolah', 'lapar', 'program', 'makan', 'gizi', 'gratis', 'hadir', 'senyum', 'semangat', 'ajar']</t>
  </si>
  <si>
    <t>['kapolsek', 'nagreg', 'kompol', 'rizal', 'adam', 'al', 'hasan', 'sebagai', 'sepeda', 'mm', 'diwakili', 'kanit', 'intelkam', 'akp', 'nurwidi', 'sh', 'menghadiri', 'rapat', 'koordinasi', 'program', 'makan', 'bergizi', 'gratis', 'mbg', 'tingkat', 'kecamatan', 'nagreg', 'aula', 'kantor', 'kecamatan', 'nagreg', 'kabupaten', 'bandung']</t>
  </si>
  <si>
    <t>['kapolsek', 'nagreg', 'kompol', 'rizal', 'adam', 'al', 'hasan', 'bagai', 'sepeda', 'mm', 'wakil', 'kanit', 'intelkam', 'akp', 'nurwidi', 'sh', 'hadir', 'rapat', 'koordinasi', 'program', 'makan', 'gizi', 'gratis', 'mbg', 'tingkat', 'camat', 'nagreg', 'aula', 'kantor', 'camat', 'nagreg', 'kabupaten', 'bandung']</t>
  </si>
  <si>
    <t>['penyerahan', 'simbolis', 'program', 'makan', 'bergizi', 'gratis', 'digelar', 'sama', 'negeri', 'singaraja']</t>
  </si>
  <si>
    <t>['serah', 'simbolis', 'program', 'makan', 'gizi', 'gratis', 'gelar', 'sama', 'negeri', 'singaraja']</t>
  </si>
  <si>
    <t>['polsek', 'muara', 'kaman', 'kawal', 'pelaksanaan', 'program', 'makan', 'bergizi', 'gratis', 'dukung', 'pemenuhan', 'gizi', 'keamanan dan ketertiban masyarakat', 'pelajar', 'panca', 'jaya', 'kukar', 'program', 'makan', 'bergizi', 'gratis', 'mbg', 'tahap', 'resmi', 'bergulir', 'desa', 'panca', 'jaya', 'kecamatan', 'muara', 'kaman', 'senin']</t>
  </si>
  <si>
    <t>['polsek', 'muara', 'kam', 'kawal', 'laksana', 'program', 'makan', 'gizi', 'gratis', 'dukung', 'penuh', 'gizi', 'aman dan tertib masyarakat', 'ajar', 'panca', 'jaya', 'kukar', 'program', 'makan', 'gizi', 'gratis', 'mbg', 'tahap', 'resmi', 'gulir', 'desa', 'panca', 'jaya', 'camat', 'muara', 'kam', 'senin']</t>
  </si>
  <si>
    <t>['wali', 'kota', 'depok', 'supian', 'suri', 'memimpin', 'rapat', 'koordinasi', 'program', 'makan', 'bergizi', 'gratis', 'mbg', 'kota', 'depok', 'senin', 'supian', 'pemerintah kota', 'depok', 'berupaya', 'memperluas', 'sasaran', 'program', 'mbg', 'program', 'berjalan', 'kualitas', 'terjaga']</t>
  </si>
  <si>
    <t>['wali', 'kota', 'depok', 'supian', 'suri', 'pimpin', 'rapat', 'koordinasi', 'program', 'makan', 'gizi', 'gratis', 'mbg', 'kota', 'depok', 'senin', 'supian', 'perintah kota', 'depok', 'upaya', 'luas', 'sasar', 'program', 'mbg', 'program', 'jalan', 'kualitas', 'jaga']</t>
  </si>
  <si>
    <t>['program', 'makan', 'bergizi', 'gratis', 'mbg', 'menjangkau', 'kelompok', 'rentan', 'lanjut usia', 'pemulung', 'anak', 'jalanan', 'disabilitas', 'masyarakat', 'miskin', 'harapan', 'mengalirtak', 'warga', 'indonesia', 'kesulitan', 'makanan', 'bergizi', 'pemenuhan', 'gizi']</t>
  </si>
  <si>
    <t>['program', 'makan', 'gizi', 'gratis', 'mbg', 'jangkau', 'kelompok', 'rentan', 'lanjut usia', 'pulung', 'anak', 'jalan', 'disabilitas', 'masyarakat', 'miskin', 'harap', 'mengalirtak', 'warga', 'indonesia', 'sulit', 'makan', 'gizi', 'penuh', 'gizi']</t>
  </si>
  <si>
    <t>['program', 'makan', 'bergizi', 'gratis', 'mbg', 'diperluas', 'mencakup', 'jutaan', 'warga', 'indonesia', 'penerima', 'manfaat', 'menyentuh', 'kelompok', 'rentan', 'lanjut usia', 'pemulung', 'anak', 'jalanan', 'disabilitas', 'masyarakat', 'miskin']</t>
  </si>
  <si>
    <t>['program', 'makan', 'gizi', 'gratis', 'mbg', 'luas', 'cakup', 'juta', 'warga', 'indonesia', 'terima', 'manfaat', 'sentuh', 'kelompok', 'rentan', 'lanjut usia', 'pulung', 'anak', 'jalan', 'disabilitas', 'masyarakat', 'miskin']</t>
  </si>
  <si>
    <t>['program', 'makan', 'bergizi', 'gratis', 'mbg', 'benarbenar', 'menyentuh', 'nurani', 'bangsa', 'lanjut usia', 'pemulung', 'anak', 'jalanansemua', 'dirangkul', 'warga', 'tidur', 'lapar', 'harapan', 'indonesia', 'adil', 'manusiawi']</t>
  </si>
  <si>
    <t>['program', 'makan', 'gizi', 'gratis', 'mbg', 'benarbenar', 'sentuh', 'nurani', 'bangsa', 'lanjut usia', 'pulung', 'anak', 'jalanansemua', 'rangkul', 'warga', 'tidur', 'lapar', 'harap', 'indonesia', 'adil', 'manusiawi']</t>
  </si>
  <si>
    <t>['mbg', 'harapan', 'jutaan', 'warga', 'program', 'makan', 'bergizi', 'gratis', 'mbg', 'menjangkau', 'lanjut usia', 'pemulung', 'anak', 'jalanan', 'masyarakat', 'miskin', 'anak', 'makan', 'bergizi', 'tumbuh', 'pendidikan', 'tenaga', 'penggerak', 'masyarakat', 'diprioritaskan']</t>
  </si>
  <si>
    <t>['mbg', 'harap', 'juta', 'warga', 'program', 'makan', 'gizi', 'gratis', 'mbg', 'jangkau', 'lanjut usia', 'pulung', 'anak', 'jalan', 'masyarakat', 'miskin', 'anak', 'makan', 'gizi', 'tumbuh', 'didik', 'tenaga', 'gerak', 'masyarakat', 'prioritas']</t>
  </si>
  <si>
    <t>['program', 'makan', 'bergizi', 'gratis', 'menyentuh', 'lanjut usia', 'anak', 'jalanan', 'membawa', 'harapan', 'jutaan', 'warga', 'indonesia', 'membutuhkan', 'uluran', 'tangan', 'pemerintah']</t>
  </si>
  <si>
    <t>['program', 'makan', 'gizi', 'gratis', 'sentuh', 'lanjut usia', 'anak', 'jalan', 'bawa', 'harap', 'juta', 'warga', 'indonesia', 'butuh', 'ulur', 'tangan', 'perintah']</t>
  </si>
  <si>
    <t>['harapan', 'mengalir', 'program', 'makan', 'bergizi', 'gratis', 'menyentuh', 'lanjut usia', 'pemulung', 'anak', 'jalanan', 'kelompok', 'rentan', 'berhak', 'makan', 'layak', 'bergizi']</t>
  </si>
  <si>
    <t>['harap', 'alir', 'program', 'makan', 'gizi', 'gratis', 'sentuh', 'lanjut usia', 'pulung', 'anak', 'jalan', 'kelompok', 'rentan', 'hak', 'makan', 'layak', 'gizi']</t>
  </si>
  <si>
    <t>['diterpa', 'bertubitubi', 'uya', 'kuya', 'menghadapi', 'ujian', 'rumahnya', 'dijarah', 'akibat', 'isu bohong', 'viral', 'lagilagi', 'sasaran', 'kabar', 'bohongkali', 'dituding', 'memiliki', 'dapur', 'program', 'makan', 'bergizi', 'gratis', 'mbg', 'situasi']</t>
  </si>
  <si>
    <t>['terpa', 'bertubitubi', 'uya', 'kuya', 'hadap', 'uji', 'rumah', 'jarah', 'akibat', 'isu bohong', 'viral', 'lagilagi', 'sasar', 'kabar', 'bohongkali', 'tuding', 'milik', 'dapur', 'program', 'makan', 'gizi', 'gratis', 'mbg', 'situasi']</t>
  </si>
  <si>
    <t>['dadan', 'menyebut', 'proses', 'pengadaan', 'menepis', 'isu', 'pengadaan', 'motor', 'listrik', 'program', 'makan', 'bergizi', 'gratis', 'persetujuan', 'kementerian', 'keuangan', 'begitu']</t>
  </si>
  <si>
    <t>['dad', 'sebut', 'proses', 'ada', 'menep', 'isu', 'ada', 'motor', 'listrik', 'program', 'makan', 'gizi', 'gratis', 'tuju', 'menteri', 'uang', 'begitu']</t>
  </si>
  <si>
    <t>['teman-teman', 'pernyataan', 'appmbgi', 'saya', 'salah', 'dikritisi', 'teliti', 'appmbgi', 'asosiasi', 'pengusaha', 'pengelola', 'dapur', 'makan', 'bergizi', 'gratis', 'indonesia', 'mengklaim', 'mbg', 'berjalan', 'mulus']</t>
  </si>
  <si>
    <t>['teman', 'nyata', 'appmbgi', 'saya', 'salah', 'kritisi', 'teliti', 'appmbgi', 'asosiasi', 'usaha', 'kelola', 'dapur', 'makan', 'gizi', 'gratis', 'indonesia', 'klaim', 'mbg', 'jalan', 'mulus']</t>
  </si>
  <si>
    <t>['generasi', 'muda', 'trend', 'cerah', 'program', 'pemerintah', 'realitanya', 'anak', 'muda', 'sibuk', 'zombie', 'gulir', 'bangun', 'negara', 'program', 'makan', 'bergizi', 'gratis', 'bagus', 'besok', 'generasi', 'bayar', 'hutangnya']</t>
  </si>
  <si>
    <t>['generasi', 'muda', 'trend', 'cerah', 'program', 'perintah', 'realitanya', 'anak', 'muda', 'sibuk', 'zombie', 'gulir', 'bangun', 'negara', 'program', 'makan', 'gizi', 'gratis', 'bagus', 'besok', 'generasi', 'bayar', 'hutang']</t>
  </si>
  <si>
    <t>['ruang', 'publik', 'tema', 'makan', 'bergizi', 'gratis', 'ketimpangan', 'sosial', 'sekolah', 'rakyat', 'geopolitik', 'dan lain-lain']</t>
  </si>
  <si>
    <t>['ruang', 'publik', 'tema', 'makan', 'gizi', 'gratis', 'timpang', 'sosial', 'sekolah', 'rakyat', 'geopolitik', 'dan lain']</t>
  </si>
  <si>
    <t>['nkr', 'buzzer', 'mbgprogram', 'habisin', 'apbn', 'hanya', 'makan', 'itupun', 'jauuuh', 'dari', 'kamu', 'bergizi', 'air', 'susu', 'buah', 'sepotong', 'paha', 'ayam', 'ca', 'sayuran', 'semangkuk', 'nasilu', 'pikir', 'penuhi', 'gizinya', 'smtr', 'bapak', 'dphk', 'sebabkan', 'bapak', 'kakakny', 'lapar', 'drmh', 'are', 'bahagia']</t>
  </si>
  <si>
    <t>['nkr', 'buzzer', 'mbgprogram', 'habisin', 'apbn', 'hanya', 'makan', 'itu', 'jauuuh', 'dari', 'kamu', 'gizi', 'air', 'susu', 'buah', 'potong', 'paha', 'ayam', 'ca', 'sayur', 'semangkuk', 'nasilu', 'pikir', 'penuh', 'gizi', 'smtr', 'bapak', 'dphk', 'sebab', 'bapak', 'kakakny', 'lapar', 'drmh', 'are', 'bahagia']</t>
  </si>
  <si>
    <t>['masjid', 'pas', 'jumat', 'an', 'minggu', 'pagi', 'kasih', 'makan', 'gratis', 'dari', 'infak', 'donatur', 'mbg', 'dari', 'negara', 'dari', 'pajak', 'pajak', 'membangun', 'infrastructure', 'rusak', 'daerah', 'menciptakan', 'iklim', 'ekonomi', 'kondusif', 'sehingga', 'orang tua', 'bisa', 'mmberikan', 'makan', 'bergizi', 'menyekolahkan', 'anaknya']</t>
  </si>
  <si>
    <t>['masjid', 'pas', 'jumat', 'an', 'minggu', 'pagi', 'kasih', 'makan', 'gratis', 'dari', 'infak', 'donatur', 'mbg', 'dari', 'negara', 'dari', 'pajak', 'pajak', 'bangun', 'infrastructure', 'rusak', 'daerah', 'cipta', 'iklim', 'ekonomi', 'kondusif', 'sehingga', 'orang tua', 'bisa', 'mmberikan', 'makan', 'gizi', 'sekolah', 'anak']</t>
  </si>
  <si>
    <t>['kayaknya', 'kuliah', 'ambil', 'judul', 'skripsi', 'implementasi', 'kebijakan', 'program', 'makan', 'bergizi', 'gratis', 'mbg', 'perspektif', 'good', 'governance', 'indonesia', 'habis', 'mati', 'karena', 'penguji', 'ketua', 'prodi', 'penguji', 'wakil', 'ketua', 'prodi', 'magister', 'langsung', 'mati', 'ditempat', 'saya']</t>
  </si>
  <si>
    <t>['kayak', 'kuliah', 'ambil', 'judul', 'skripsi', 'implementasi', 'bijak', 'program', 'makan', 'gizi', 'gratis', 'mbg', 'perspektif', 'good', 'governance', 'indonesia', 'habis', 'mati', 'karena', 'uji', 'ketua', 'prodi', 'uji', 'wakil', 'ketua', 'prodi', 'magister', 'langsung', 'mati', 'tempat', 'saya']</t>
  </si>
  <si>
    <t>['kunjungan', 'kerja', 'sama', 'negeri', 'cilacap', 'presiden', 'subianto', 'menyapa', 'langsung', 'siswa', 'beliau', 'senang', 'hati', 'mencicipi', 'kue', 'hasil', 'usaha', 'siswa', 'meninjau', 'pelaksanaan', 'program', 'makan', 'bergizi', 'gratis', 'mbg', 'revitalisasi', 'sekolah', 'mencicipi', 'presiden']</t>
  </si>
  <si>
    <t>['kunjung', 'kerja', 'sama', 'negeri', 'cilacap', 'presiden', 'subianto', 'sapa', 'langsung', 'siswa', 'beliau', 'senang', 'hati', 'cicip', 'kue', 'hasil', 'usaha', 'siswa', 'tinjau', 'laksana', 'program', 'makan', 'gizi', 'gratis', 'mbg', 'revitalisasi', 'sekolah', 'cicip', 'presiden']</t>
  </si>
  <si>
    <t>['prodi', 'gizi', 'melejit', 'kepala', 'bgn', 'dampak', 'program', 'mbg', 'program', 'makan', 'bergizi', 'gratis', 'mbg', 'berdampak', 'peningkatan', 'kualitas', 'kesehatan', 'masyarakat', 'mengubah', 'trend', 'dunia', 'pendidikan', 'kepala', 'badan', 'gizi', 'nasional', 'bgn', 'dadan', 'hindayana']</t>
  </si>
  <si>
    <t>['prodi', 'gizi', 'lejit', 'kepala', 'bgn', 'dampak', 'program', 'mbg', 'program', 'makan', 'gizi', 'gratis', 'mbg', 'dampak', 'tingkat', 'kualitas', 'sehat', 'masyarakat', 'ubah', 'trend', 'dunia', 'didik', 'kepala', 'badan', 'gizi', 'nasional', 'bgn', 'dad', 'hindayana']</t>
  </si>
  <si>
    <t>['tahi', 'kucing', 'gara', 'kamu', 'anggaran', 'dipangkas', 'kampus', 'kena', 'dampak', 'efisiensi', 'menuhin', 'itu', 'program', 'makan', 'beracun', 'gratis', 'dana', 'riset', 'dipangkas', 'lupa', 'kampus', 'membatasi', 'kegiatan', 'perkuliahan', 'kampus', 'gara', 'keterbatasan', 'dana', 'operasional', 'efisiensi']</t>
  </si>
  <si>
    <t>['tahi', 'kucing', 'gara', 'kamu', 'anggar', 'pangkas', 'kampus', 'kena', 'dampak', 'efisiensi', 'menuhin', 'itu', 'program', 'makan', 'racun', 'gratis', 'dana', 'riset', 'pangkas', 'lupa', 'kampus', 'batas', 'giat', 'kuliah', 'kampus', 'gara', 'batas', 'dana', 'operasional', 'efisiensi']</t>
  </si>
  <si>
    <t>['heran', 'paham', 'manfaat', 'bahasbahas', 'manfaat', 'mengerti', 'program', 'makan', 'bergizi', 'gratis', 'mbg', 'membawa', 'dampak', 'positif', 'petani', 'peningkatan', 'permintaan', 'pasar', 'harga', 'komoditas', 'brokoli', 'bawang', 'merah', 'pendapatan', 'petani', 'membaik']</t>
  </si>
  <si>
    <t>['heran', 'paham', 'manfaat', 'bahasbahas', 'manfaat', 'erti', 'program', 'makan', 'gizi', 'gratis', 'mbg', 'bawa', 'dampak', 'positif', 'tani', 'tingkat', 'minta', 'pasar', 'harga', 'komoditas', 'brokoli', 'bawang', 'merah', 'dapat', 'tani', 'baik']</t>
  </si>
  <si>
    <t>['omong', 'kosong', 'janji', 'kamu', 'ngadain', 'program', 'makan', 'gratis', 'anak', 'sekolah', 'mbg', 'sekarang', 'program', 'kamu', 'janjiin']</t>
  </si>
  <si>
    <t>['prabowo', 'kamu', 'kasih', 'makan', 'pejabat', 'mbg', 'sppg', 'ladang', 'korupsi', 'anak', 'sekolah', 'anak', 'sekolah', 'sskali', 'bergizi', 'keracunan', 'dipelajari', 'negara', 'program', 'buruk']</t>
  </si>
  <si>
    <t>['prabowo', 'kamu', 'kasih', 'makan', 'jabat', 'mbg', 'sppg', 'ladang', 'korupsi', 'anak', 'sekolah', 'anak', 'sekolah', 'sskali', 'gizi', 'racun', 'ajar', 'negara', 'program', 'buruk']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</si>
</sst>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8"/>
      <name val="Calibri"/>
      <family val="2"/>
      <scheme val="minor"/>
    </font>
  </fonts>
  <fills count="6">
    <fill>
      <patternFill patternType="none"/>
    </fill>
    <fill>
      <patternFill patternType="gray125"/>
    </fill>
    <fill>
      <patternFill patternType="solid">
        <fgColor rgb="FFFF7C80"/>
        <bgColor indexed="64"/>
      </patternFill>
    </fill>
    <fill>
      <patternFill patternType="solid">
        <fgColor rgb="FFFF0000"/>
        <bgColor indexed="64"/>
      </patternFill>
    </fill>
    <fill>
      <patternFill patternType="solid">
        <fgColor theme="0"/>
        <bgColor indexed="64"/>
      </patternFill>
    </fill>
    <fill>
      <patternFill patternType="solid">
        <fgColor rgb="FFFF9999"/>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1" applyAlignment="1">
      <alignment wrapText="1"/>
    </xf>
    <xf numFmtId="0" fontId="0" fillId="2" borderId="0" xfId="0" applyFill="1" applyAlignment="1">
      <alignment wrapText="1"/>
    </xf>
    <xf numFmtId="0" fontId="0" fillId="3" borderId="0" xfId="0" applyFill="1"/>
    <xf numFmtId="0" fontId="0" fillId="4" borderId="0" xfId="0" applyFill="1"/>
    <xf numFmtId="0" fontId="0" fillId="5" borderId="0" xfId="0" applyFill="1" applyAlignment="1">
      <alignment wrapText="1"/>
    </xf>
    <xf numFmtId="0" fontId="0" fillId="4" borderId="0" xfId="0" applyFill="1" applyAlignment="1">
      <alignment wrapText="1"/>
    </xf>
  </cellXfs>
  <cellStyles count="2">
    <cellStyle name="Hyperlink" xfId="1" builtinId="8"/>
    <cellStyle name="Normal" xfId="0" builtinId="0"/>
  </cellStyles>
  <dxfs count="10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99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A65F1FA-0739-4DAB-8DDB-1985FCF7C0B3}" autoFormatId="16" applyNumberFormats="0" applyBorderFormats="0" applyFontFormats="0" applyPatternFormats="0" applyAlignmentFormats="0" applyWidthHeightFormats="0">
  <queryTableRefresh nextId="12">
    <queryTableFields count="8">
      <queryTableField id="2" name="No" tableColumnId="2"/>
      <queryTableField id="3" name="full_text" tableColumnId="3"/>
      <queryTableField id="4" name="username" tableColumnId="4"/>
      <queryTableField id="5" name="tweet_tokens" tableColumnId="5"/>
      <queryTableField id="6" name="tweet_tokens_fdist" tableColumnId="6"/>
      <queryTableField id="7" name="tweet_tokens_WSW" tableColumnId="7"/>
      <queryTableField id="8" name="tweet_normalized" tableColumnId="8"/>
      <queryTableField id="9" name="tweet_tokens_stemmed" tableColumnId="9"/>
    </queryTableFields>
    <queryTableDeletedFields count="1">
      <deletedField name="Column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9" xr16:uid="{D54FB3B8-F067-4320-8737-CACC403F6AF4}" autoFormatId="16" applyNumberFormats="0" applyBorderFormats="0" applyFontFormats="0" applyPatternFormats="0" applyAlignmentFormats="0" applyWidthHeightFormats="0">
  <queryTableRefresh nextId="10">
    <queryTableFields count="9">
      <queryTableField id="1" name="Column1" tableColumnId="1"/>
      <queryTableField id="2" name="No" tableColumnId="2"/>
      <queryTableField id="3" name="full_text" tableColumnId="3"/>
      <queryTableField id="4" name="username" tableColumnId="4"/>
      <queryTableField id="5" name="tweet_tokens" tableColumnId="5"/>
      <queryTableField id="6" name="tweet_tokens_fdist" tableColumnId="6"/>
      <queryTableField id="7" name="tweet_tokens_WSW" tableColumnId="7"/>
      <queryTableField id="8" name="tweet_normalized" tableColumnId="8"/>
      <queryTableField id="9" name="tweet_tokens_stemme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A1CCB03-2608-4DCE-9012-A1B6CB16C109}" autoFormatId="16" applyNumberFormats="0" applyBorderFormats="0" applyFontFormats="0" applyPatternFormats="0" applyAlignmentFormats="0" applyWidthHeightFormats="0">
  <queryTableRefresh nextId="12">
    <queryTableFields count="8">
      <queryTableField id="2" name="No" tableColumnId="2"/>
      <queryTableField id="3" name="full_text" tableColumnId="3"/>
      <queryTableField id="4" name="username" tableColumnId="4"/>
      <queryTableField id="5" name="tweet_tokens" tableColumnId="5"/>
      <queryTableField id="6" name="tweet_tokens_fdist" tableColumnId="6"/>
      <queryTableField id="7" name="tweet_tokens_WSW" tableColumnId="7"/>
      <queryTableField id="8" name="tweet_normalized" tableColumnId="8"/>
      <queryTableField id="9" name="tweet_tokens_stemmed" tableColumnId="9"/>
    </queryTableFields>
    <queryTableDeletedFields count="1">
      <deletedField name="Column1"/>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0" xr16:uid="{82E8F3B2-7B51-403F-925D-54AA17E39C9F}" autoFormatId="16" applyNumberFormats="0" applyBorderFormats="0" applyFontFormats="0" applyPatternFormats="0" applyAlignmentFormats="0" applyWidthHeightFormats="0">
  <queryTableRefresh nextId="10">
    <queryTableFields count="9">
      <queryTableField id="1" name="Column1" tableColumnId="1"/>
      <queryTableField id="2" name="No" tableColumnId="2"/>
      <queryTableField id="3" name="full_text" tableColumnId="3"/>
      <queryTableField id="4" name="username" tableColumnId="4"/>
      <queryTableField id="5" name="tweet_tokens" tableColumnId="5"/>
      <queryTableField id="6" name="tweet_tokens_fdist" tableColumnId="6"/>
      <queryTableField id="7" name="tweet_tokens_WSW" tableColumnId="7"/>
      <queryTableField id="8" name="tweet_normalized" tableColumnId="8"/>
      <queryTableField id="9" name="tweet_tokens_stemmed"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71827C19-A0E0-4905-8532-70D84AD48869}" autoFormatId="16" applyNumberFormats="0" applyBorderFormats="0" applyFontFormats="0" applyPatternFormats="0" applyAlignmentFormats="0" applyWidthHeightFormats="0">
  <queryTableRefresh nextId="12" unboundColumnsRight="2">
    <queryTableFields count="10">
      <queryTableField id="2" name="No" tableColumnId="2"/>
      <queryTableField id="3" name="full_text" tableColumnId="3"/>
      <queryTableField id="4" name="username" tableColumnId="4"/>
      <queryTableField id="5" name="tweet_tokens" tableColumnId="5"/>
      <queryTableField id="6" name="tweet_tokens_fdist" tableColumnId="6"/>
      <queryTableField id="7" name="tweet_tokens_WSW" tableColumnId="7"/>
      <queryTableField id="8" name="tweet_normalized" tableColumnId="8"/>
      <queryTableField id="9" name="tweet_tokens_stemmed" tableColumnId="9"/>
      <queryTableField id="10" dataBound="0" tableColumnId="10"/>
      <queryTableField id="11" dataBound="0" tableColumnId="11"/>
    </queryTableFields>
    <queryTableDeletedFields count="1">
      <deletedField name="Column1"/>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1" xr16:uid="{F1A90F79-4CAA-4D43-BFB9-18BF1DA9E7B9}" autoFormatId="16" applyNumberFormats="0" applyBorderFormats="0" applyFontFormats="0" applyPatternFormats="0" applyAlignmentFormats="0" applyWidthHeightFormats="0">
  <queryTableRefresh nextId="12" unboundColumnsRight="2">
    <queryTableFields count="11">
      <queryTableField id="1" name="Column1" tableColumnId="1"/>
      <queryTableField id="2" name="No" tableColumnId="2"/>
      <queryTableField id="3" name="full_text" tableColumnId="3"/>
      <queryTableField id="4" name="username" tableColumnId="4"/>
      <queryTableField id="5" name="tweet_tokens" tableColumnId="5"/>
      <queryTableField id="6" name="tweet_tokens_fdist" tableColumnId="6"/>
      <queryTableField id="7" name="tweet_tokens_WSW" tableColumnId="7"/>
      <queryTableField id="8" name="tweet_normalized" tableColumnId="8"/>
      <queryTableField id="9" name="tweet_tokens_stemmed" tableColumnId="9"/>
      <queryTableField id="10" dataBound="0" tableColumnId="10"/>
      <queryTableField id="11" dataBound="0" tableColumnId="1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FD54A787-E411-49BD-8B43-2CB44C17645F}" autoFormatId="16" applyNumberFormats="0" applyBorderFormats="0" applyFontFormats="0" applyPatternFormats="0" applyAlignmentFormats="0" applyWidthHeightFormats="0">
  <queryTableRefresh nextId="12" unboundColumnsRight="2">
    <queryTableFields count="10">
      <queryTableField id="2" name="No" tableColumnId="2"/>
      <queryTableField id="3" name="full_text" tableColumnId="3"/>
      <queryTableField id="4" name="username" tableColumnId="4"/>
      <queryTableField id="5" name="tweet_tokens" tableColumnId="5"/>
      <queryTableField id="6" name="tweet_tokens_fdist" tableColumnId="6"/>
      <queryTableField id="7" name="tweet_tokens_WSW" tableColumnId="7"/>
      <queryTableField id="8" name="tweet_normalized" tableColumnId="8"/>
      <queryTableField id="9" name="tweet_tokens_stemmed" tableColumnId="9"/>
      <queryTableField id="10" dataBound="0" tableColumnId="10"/>
      <queryTableField id="11" dataBound="0" tableColumnId="11"/>
    </queryTableFields>
    <queryTableDeletedFields count="1">
      <deletedField name="Column1"/>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4" xr16:uid="{4A707971-F81B-41CF-9E72-6087203DCF81}" autoFormatId="16" applyNumberFormats="0" applyBorderFormats="0" applyFontFormats="0" applyPatternFormats="0" applyAlignmentFormats="0" applyWidthHeightFormats="0">
  <queryTableRefresh nextId="12" unboundColumnsRight="2">
    <queryTableFields count="11">
      <queryTableField id="1" name="Column1" tableColumnId="1"/>
      <queryTableField id="2" name="No" tableColumnId="2"/>
      <queryTableField id="3" name="full_text" tableColumnId="3"/>
      <queryTableField id="4" name="username" tableColumnId="4"/>
      <queryTableField id="5" name="tweet_tokens" tableColumnId="5"/>
      <queryTableField id="6" name="tweet_tokens_fdist" tableColumnId="6"/>
      <queryTableField id="7" name="tweet_tokens_WSW" tableColumnId="7"/>
      <queryTableField id="8" name="tweet_normalized" tableColumnId="8"/>
      <queryTableField id="9" name="tweet_tokens_stemmed" tableColumnId="9"/>
      <queryTableField id="10" dataBound="0" tableColumnId="10"/>
      <queryTableField id="11" dataBound="0" tableColumnId="1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5" xr16:uid="{3AFFCF7C-15E7-4C9E-826A-CDA42DA66491}" autoFormatId="16" applyNumberFormats="0" applyBorderFormats="0" applyFontFormats="0" applyPatternFormats="0" applyAlignmentFormats="0" applyWidthHeightFormats="0">
  <queryTableRefresh nextId="14" unboundColumnsRight="2">
    <queryTableFields count="11">
      <queryTableField id="2" name="No" tableColumnId="2"/>
      <queryTableField id="3" name="full_text" tableColumnId="3"/>
      <queryTableField id="4" name="username" tableColumnId="4"/>
      <queryTableField id="13" dataBound="0" tableColumnId="12"/>
      <queryTableField id="5" name="tweet_tokens" tableColumnId="5"/>
      <queryTableField id="6" name="tweet_tokens_fdist" tableColumnId="6"/>
      <queryTableField id="7" name="tweet_tokens_WSW" tableColumnId="7"/>
      <queryTableField id="8" name="tweet_normalized" tableColumnId="8"/>
      <queryTableField id="9" name="tweet_tokens_stemmed" tableColumnId="9"/>
      <queryTableField id="10" dataBound="0" tableColumnId="10"/>
      <queryTableField id="11" dataBound="0" tableColumnId="11"/>
    </queryTableFields>
    <queryTableDeletedFields count="1">
      <deletedField name="Column1"/>
    </queryTableDeleted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8" xr16:uid="{C30D250E-C591-4541-8ADA-F0AC7AA96002}" autoFormatId="16" applyNumberFormats="0" applyBorderFormats="0" applyFontFormats="0" applyPatternFormats="0" applyAlignmentFormats="0" applyWidthHeightFormats="0">
  <queryTableRefresh nextId="14" unboundColumnsRight="2">
    <queryTableFields count="11">
      <queryTableField id="2" name="No" tableColumnId="2"/>
      <queryTableField id="3" name="full_text" tableColumnId="3"/>
      <queryTableField id="4" name="username" tableColumnId="4"/>
      <queryTableField id="13" dataBound="0" tableColumnId="12"/>
      <queryTableField id="5" name="tweet_tokens" tableColumnId="5"/>
      <queryTableField id="6" name="tweet_tokens_fdist" tableColumnId="6"/>
      <queryTableField id="7" name="tweet_tokens_WSW" tableColumnId="7"/>
      <queryTableField id="8" name="tweet_normalized" tableColumnId="8"/>
      <queryTableField id="9" name="tweet_tokens_stemmed" tableColumnId="9"/>
      <queryTableField id="10" dataBound="0" tableColumnId="10"/>
      <queryTableField id="11" dataBound="0" tableColumnId="11"/>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19B374-33C8-490C-B61D-18F72297ED90}" name="Text_Preprocessing__2" displayName="Text_Preprocessing__2" ref="A1:H463" tableType="queryTable" totalsRowShown="0">
  <autoFilter ref="A1:H463" xr:uid="{AA19B374-33C8-490C-B61D-18F72297ED90}"/>
  <tableColumns count="8">
    <tableColumn id="2" xr3:uid="{44AB5973-48A6-4DE0-9AB6-FFA8084FDDF4}" uniqueName="2" name="No" queryTableFieldId="2"/>
    <tableColumn id="3" xr3:uid="{4A07E01C-036B-45C4-8213-CCFA6120F453}" uniqueName="3" name="full_text" queryTableFieldId="3" dataDxfId="92"/>
    <tableColumn id="4" xr3:uid="{91B39698-F999-415C-B266-F9D33925B719}" uniqueName="4" name="username" queryTableFieldId="4" dataDxfId="91"/>
    <tableColumn id="5" xr3:uid="{A1E62988-1806-4D16-8A4A-0A7AD3869197}" uniqueName="5" name="tweet_tokens" queryTableFieldId="5" dataDxfId="90"/>
    <tableColumn id="6" xr3:uid="{51765A7B-9A86-447C-9C89-EE91A28057D1}" uniqueName="6" name="tweet_tokens_fdist" queryTableFieldId="6" dataDxfId="89"/>
    <tableColumn id="7" xr3:uid="{4ACA6DC9-A29F-4D88-A1C1-6DADD710E1E1}" uniqueName="7" name="tweet_tokens_WSW" queryTableFieldId="7" dataDxfId="88"/>
    <tableColumn id="8" xr3:uid="{013FB2C7-DE08-4680-9BF8-41C74A421F9E}" uniqueName="8" name="tweet_normalized" queryTableFieldId="8" dataDxfId="87"/>
    <tableColumn id="9" xr3:uid="{4C2F503D-A26F-4DB6-AFB4-71C4B8DC8114}" uniqueName="9" name="tweet_tokens_stemmed" queryTableFieldId="9" dataDxfId="8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09D03E-6D21-44EE-94CC-F5B4CE26DD73}" name="Text_Preprocessing2" displayName="Text_Preprocessing2" ref="A1:I463" tableType="queryTable" totalsRowShown="0">
  <autoFilter ref="A1:I463" xr:uid="{CE09D03E-6D21-44EE-94CC-F5B4CE26DD73}"/>
  <tableColumns count="9">
    <tableColumn id="1" xr3:uid="{BE776ED1-70CF-4D38-A169-D9D558148806}" uniqueName="1" name="Column1" queryTableFieldId="1"/>
    <tableColumn id="2" xr3:uid="{DD726B30-9F34-478F-A5CE-19FFA2700DB4}" uniqueName="2" name="No" queryTableFieldId="2"/>
    <tableColumn id="3" xr3:uid="{E540B10F-F269-46D4-A4ED-8DD90BB2E09B}" uniqueName="3" name="full_text" queryTableFieldId="3" dataDxfId="85"/>
    <tableColumn id="4" xr3:uid="{91712F74-4AF6-4123-A7EF-76EBAC95F92F}" uniqueName="4" name="username" queryTableFieldId="4" dataDxfId="84"/>
    <tableColumn id="5" xr3:uid="{933728A4-3F88-41A2-9CEC-EFF18EC39142}" uniqueName="5" name="tweet_tokens" queryTableFieldId="5" dataDxfId="83"/>
    <tableColumn id="6" xr3:uid="{1FE43DB4-662A-4D32-8985-2124285750D9}" uniqueName="6" name="tweet_tokens_fdist" queryTableFieldId="6" dataDxfId="82"/>
    <tableColumn id="7" xr3:uid="{F590EF92-69B7-4616-9492-D5A1B5905E39}" uniqueName="7" name="tweet_tokens_WSW" queryTableFieldId="7" dataDxfId="81"/>
    <tableColumn id="8" xr3:uid="{D8586CB9-249C-4DD9-85A5-A9DF3E500E8C}" uniqueName="8" name="tweet_normalized" queryTableFieldId="8" dataDxfId="80"/>
    <tableColumn id="9" xr3:uid="{421325F3-4BF8-4FAC-B59F-94F463E4F238}" uniqueName="9" name="tweet_tokens_stemmed" queryTableFieldId="9" dataDxfId="7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D7115D-E622-479F-A7EE-6A6CA69CF637}" name="Text_Preprocessing__22" displayName="Text_Preprocessing__22" ref="A1:H455" tableType="queryTable" totalsRowShown="0" dataDxfId="78">
  <autoFilter ref="A1:H455" xr:uid="{AA19B374-33C8-490C-B61D-18F72297ED90}"/>
  <tableColumns count="8">
    <tableColumn id="2" xr3:uid="{0517BF7D-6E5B-4712-A268-B286794130A4}" uniqueName="2" name="No" queryTableFieldId="2" dataDxfId="77"/>
    <tableColumn id="3" xr3:uid="{47C374A2-E23A-4CCB-BB1A-9E97C6E8E5EA}" uniqueName="3" name="full_text" queryTableFieldId="3" dataDxfId="76"/>
    <tableColumn id="4" xr3:uid="{947002A0-5DDB-4913-921D-461EC27EF9B8}" uniqueName="4" name="username" queryTableFieldId="4" dataDxfId="75"/>
    <tableColumn id="5" xr3:uid="{9E81A1E6-94D6-4C70-B9BB-6E4065A0D15A}" uniqueName="5" name="tweet_tokens" queryTableFieldId="5" dataDxfId="74"/>
    <tableColumn id="6" xr3:uid="{213E3E88-EB94-49D4-9D7E-052BE776568C}" uniqueName="6" name="tweet_tokens_fdist" queryTableFieldId="6" dataDxfId="73"/>
    <tableColumn id="7" xr3:uid="{6B2BBA96-9AC1-4591-83A8-365BAB565E10}" uniqueName="7" name="tweet_tokens_WSW" queryTableFieldId="7" dataDxfId="72"/>
    <tableColumn id="8" xr3:uid="{16680B93-BB51-4CF6-81A7-F30442EDD8C9}" uniqueName="8" name="tweet_normalized" queryTableFieldId="8" dataDxfId="71"/>
    <tableColumn id="9" xr3:uid="{24143843-8844-4973-A5ED-F1B8BBB09B63}" uniqueName="9" name="tweet_tokens_stemmed" queryTableFieldId="9" dataDxfId="7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062B98-80A3-4C83-89C6-2E298854B0D7}" name="Text_Preprocessing29" displayName="Text_Preprocessing29" ref="A1:I452" tableType="queryTable" totalsRowShown="0">
  <autoFilter ref="A1:I452" xr:uid="{CE09D03E-6D21-44EE-94CC-F5B4CE26DD73}"/>
  <tableColumns count="9">
    <tableColumn id="1" xr3:uid="{809E7FE4-C368-417F-8E47-8DC01B813A80}" uniqueName="1" name="Column1" queryTableFieldId="1"/>
    <tableColumn id="2" xr3:uid="{BBF03EF2-00B9-4B95-8391-C2B307A0EDC8}" uniqueName="2" name="No" queryTableFieldId="2"/>
    <tableColumn id="3" xr3:uid="{4965810B-8A85-4397-BB2D-5D3AC3530DF0}" uniqueName="3" name="full_text" queryTableFieldId="3" dataDxfId="69"/>
    <tableColumn id="4" xr3:uid="{252747F8-4D4B-439A-B588-6C52A9CA9316}" uniqueName="4" name="username" queryTableFieldId="4" dataDxfId="68"/>
    <tableColumn id="5" xr3:uid="{2D7EB691-B568-41F1-84AB-47DB66055C18}" uniqueName="5" name="tweet_tokens" queryTableFieldId="5" dataDxfId="67"/>
    <tableColumn id="6" xr3:uid="{38ADE60D-7E8A-4E69-8739-D1936E8CE0E4}" uniqueName="6" name="tweet_tokens_fdist" queryTableFieldId="6" dataDxfId="66"/>
    <tableColumn id="7" xr3:uid="{B2340923-3CE9-4F1E-8F51-CBACC17DE935}" uniqueName="7" name="tweet_tokens_WSW" queryTableFieldId="7" dataDxfId="65"/>
    <tableColumn id="8" xr3:uid="{A49BFF7E-30C3-405B-BBC5-01C059CD1FB5}" uniqueName="8" name="tweet_normalized" queryTableFieldId="8" dataDxfId="64"/>
    <tableColumn id="9" xr3:uid="{F05B74AE-1675-4CBF-B03B-9E97A9522FF4}" uniqueName="9" name="tweet_tokens_stemmed" queryTableFieldId="9" dataDxfId="6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F6DCE8-AB08-4568-822F-73875AF2BB12}" name="Text_Preprocessing__224" displayName="Text_Preprocessing__224" ref="A1:J455" tableType="queryTable" totalsRowShown="0">
  <autoFilter ref="A1:J455" xr:uid="{AA19B374-33C8-490C-B61D-18F72297ED90}"/>
  <tableColumns count="10">
    <tableColumn id="2" xr3:uid="{BCA65EFE-81C3-479F-AC30-2A91B7E106A4}" uniqueName="2" name="No" queryTableFieldId="2"/>
    <tableColumn id="3" xr3:uid="{E7247A69-F84B-47E1-855A-415355A9EC18}" uniqueName="3" name="full_text" queryTableFieldId="3" dataDxfId="62"/>
    <tableColumn id="4" xr3:uid="{3CB7BF79-E0DA-431D-8576-9A695E6C8571}" uniqueName="4" name="username" queryTableFieldId="4" dataDxfId="61"/>
    <tableColumn id="5" xr3:uid="{A865F739-AE09-4AA1-B27D-1F3F3DFEA497}" uniqueName="5" name="tweet_tokens" queryTableFieldId="5" dataDxfId="60"/>
    <tableColumn id="6" xr3:uid="{DD306FCB-0F25-452D-803B-5A57B45489DE}" uniqueName="6" name="tweet_tokens_fdist" queryTableFieldId="6" dataDxfId="59"/>
    <tableColumn id="7" xr3:uid="{AD67ADAB-E7AD-4998-AAD9-CF3763D63718}" uniqueName="7" name="tweet_tokens_WSW" queryTableFieldId="7" dataDxfId="58"/>
    <tableColumn id="8" xr3:uid="{507575F4-E2CC-445C-A579-8906F854B773}" uniqueName="8" name="tweet_normalized" queryTableFieldId="8" dataDxfId="57"/>
    <tableColumn id="9" xr3:uid="{25BA5510-119A-4B2C-B23A-83C235798FEB}" uniqueName="9" name="tweet_tokens_stemmed" queryTableFieldId="9" dataDxfId="56"/>
    <tableColumn id="10" xr3:uid="{C391FBF3-3133-4EED-9019-265880A7CBDD}" uniqueName="10" name="Relevansi" queryTableFieldId="10" dataDxfId="55">
      <calculatedColumnFormula array="1">IF(SUM(COUNTIF(Text_Preprocessing__224[[#This Row],[full_text]],{"*makan siang gratis*";"*MBG*";"*makan gratis*";"*makan bergizi gratis*";"*makangratis*";"*makanan gratis*"})),"Relevan","Tidak Relevan")</calculatedColumnFormula>
    </tableColumn>
    <tableColumn id="11" xr3:uid="{0FE73757-0E0D-4911-846F-DF5656E715F1}" uniqueName="11" name="Column1" queryTableFieldId="11" dataDxfId="5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547B6EB-E616-46CB-B164-2C0132F268C8}" name="Text_Preprocessing2910" displayName="Text_Preprocessing2910" ref="A1:K452" tableType="queryTable" totalsRowShown="0">
  <autoFilter ref="A1:K452" xr:uid="{CE09D03E-6D21-44EE-94CC-F5B4CE26DD73}"/>
  <tableColumns count="11">
    <tableColumn id="1" xr3:uid="{F874C9ED-CFB7-4815-B2FC-E78FF8961DB3}" uniqueName="1" name="Column1" queryTableFieldId="1"/>
    <tableColumn id="2" xr3:uid="{BAE9ECEB-9038-48A1-A5DA-FB75C6AC671B}" uniqueName="2" name="No" queryTableFieldId="2"/>
    <tableColumn id="3" xr3:uid="{E99A8070-3FF9-4FB3-B299-D7803707EF34}" uniqueName="3" name="full_text" queryTableFieldId="3" dataDxfId="53"/>
    <tableColumn id="4" xr3:uid="{59D70723-FEB0-4243-932E-68CF493587FF}" uniqueName="4" name="username" queryTableFieldId="4" dataDxfId="52"/>
    <tableColumn id="5" xr3:uid="{B3D9184D-FDE0-492B-A1E9-26B9AE96128B}" uniqueName="5" name="tweet_tokens" queryTableFieldId="5" dataDxfId="51"/>
    <tableColumn id="6" xr3:uid="{64901C5F-E69A-45C1-A44B-AB0E1256BD80}" uniqueName="6" name="tweet_tokens_fdist" queryTableFieldId="6" dataDxfId="50"/>
    <tableColumn id="7" xr3:uid="{49CEB219-ED31-496E-8802-A4B11D2C10F3}" uniqueName="7" name="tweet_tokens_WSW" queryTableFieldId="7" dataDxfId="49"/>
    <tableColumn id="8" xr3:uid="{741D6090-1DFC-4E29-94D0-61140B7B152A}" uniqueName="8" name="tweet_normalized" queryTableFieldId="8" dataDxfId="48"/>
    <tableColumn id="9" xr3:uid="{B03D42A2-006C-42EA-A09E-2055F5CE33D3}" uniqueName="9" name="tweet_tokens_stemmed" queryTableFieldId="9" dataDxfId="47"/>
    <tableColumn id="10" xr3:uid="{BCF346AF-EDDC-483B-9ED7-B0BCA6E41F96}" uniqueName="10" name="Relevansi" queryTableFieldId="10" dataDxfId="46">
      <calculatedColumnFormula array="1">IF(SUM(COUNTIF(Text_Preprocessing__224[[#This Row],[full_text]],{"*makan siang gratis*";"*MBG*";"*makan gratis*";"*makan bergizi gratis*";"*makangratis*";"*makanan gratis*"})),"Relevan","Tidak Relevan")</calculatedColumnFormula>
    </tableColumn>
    <tableColumn id="11" xr3:uid="{6CD17386-D110-4633-9F0C-98649F47DC4E}" uniqueName="11" name="Cek Konfirmasi Relevansi" queryTableFieldId="11" dataDxfId="4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B4856B7-6CC7-4BF3-8987-1350FD4FB252}" name="Text_Preprocessing__2247" displayName="Text_Preprocessing__2247" ref="A1:J452" tableType="queryTable" totalsRowShown="0" dataDxfId="44">
  <autoFilter ref="A1:J452" xr:uid="{AA19B374-33C8-490C-B61D-18F72297ED90}"/>
  <tableColumns count="10">
    <tableColumn id="2" xr3:uid="{A586704F-87F2-4A4E-8224-9FD97CEE33B6}" uniqueName="2" name="No" queryTableFieldId="2" dataDxfId="43"/>
    <tableColumn id="3" xr3:uid="{68F0BE67-26A7-4358-9708-650157B31B74}" uniqueName="3" name="full_text" queryTableFieldId="3" dataDxfId="42"/>
    <tableColumn id="4" xr3:uid="{F29D1437-836C-463B-AEA3-503BF72F69C4}" uniqueName="4" name="username" queryTableFieldId="4" dataDxfId="41"/>
    <tableColumn id="5" xr3:uid="{3132BF94-6F84-4A34-9CEF-F06E5F328088}" uniqueName="5" name="tweet_tokens" queryTableFieldId="5" dataDxfId="40"/>
    <tableColumn id="6" xr3:uid="{64C95632-C3F4-4121-97D3-4E28232EE9D0}" uniqueName="6" name="tweet_tokens_fdist" queryTableFieldId="6" dataDxfId="39"/>
    <tableColumn id="7" xr3:uid="{03124377-C54D-46F0-8F46-9B6E5FCA4812}" uniqueName="7" name="tweet_tokens_WSW" queryTableFieldId="7" dataDxfId="38"/>
    <tableColumn id="8" xr3:uid="{356C2337-D802-450B-B80E-1C6221112A5E}" uniqueName="8" name="tweet_normalized" queryTableFieldId="8" dataDxfId="37"/>
    <tableColumn id="9" xr3:uid="{35EBE419-3536-4033-B71C-413392E742C7}" uniqueName="9" name="tweet_tokens_stemmed" queryTableFieldId="9" dataDxfId="36"/>
    <tableColumn id="10" xr3:uid="{0C62234F-FFAB-4986-9E3C-3C8B9F041DA6}" uniqueName="10" name="Relevansi" queryTableFieldId="10" dataDxfId="35">
      <calculatedColumnFormula array="1">IF(SUM(COUNTIF(Text_Preprocessing__2247[[#This Row],[full_text]],{"*makan siang gratis*";"*MBG*";"*makan gratis*";"*makan bergizi gratis*";"*makangratis*";"*makanan gratis*"})),"Relevan","Tidak Relevan")</calculatedColumnFormula>
    </tableColumn>
    <tableColumn id="11" xr3:uid="{CE233F59-DF5D-48BE-A4BC-2A81FB11DDDE}" uniqueName="11" name="Cek Konfirmasi Relevansi" queryTableFieldId="11" dataDxfId="3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EA6B21B-165C-4BC2-8331-5A2457A5ED43}" name="Text_Preprocessing291013" displayName="Text_Preprocessing291013" ref="A1:K449" tableType="queryTable" totalsRowShown="0">
  <autoFilter ref="A1:K449" xr:uid="{CE09D03E-6D21-44EE-94CC-F5B4CE26DD73}"/>
  <tableColumns count="11">
    <tableColumn id="1" xr3:uid="{1A94C672-A59C-4F78-AD72-80A0FCF3C3E5}" uniqueName="1" name="Column1" queryTableFieldId="1"/>
    <tableColumn id="2" xr3:uid="{6995DD38-102F-4C75-9394-7B4A4AE124A4}" uniqueName="2" name="No" queryTableFieldId="2"/>
    <tableColumn id="3" xr3:uid="{E6869567-4E31-40B9-9DE9-A1BB9561EC5E}" uniqueName="3" name="full_text" queryTableFieldId="3" dataDxfId="101"/>
    <tableColumn id="4" xr3:uid="{566E6E80-6BFB-45A4-9173-C3A8318626F7}" uniqueName="4" name="username" queryTableFieldId="4" dataDxfId="100"/>
    <tableColumn id="5" xr3:uid="{D73A448A-DC19-4B4E-8E7C-2113B4D17228}" uniqueName="5" name="tweet_tokens" queryTableFieldId="5" dataDxfId="99"/>
    <tableColumn id="6" xr3:uid="{9A1375DF-D8CE-4BA8-9F3D-008CFB5139D9}" uniqueName="6" name="tweet_tokens_fdist" queryTableFieldId="6" dataDxfId="98"/>
    <tableColumn id="7" xr3:uid="{1CCAAD47-CFCB-4107-B145-767750B566FE}" uniqueName="7" name="tweet_tokens_WSW" queryTableFieldId="7" dataDxfId="97"/>
    <tableColumn id="8" xr3:uid="{252CFABF-5176-4C69-AB9D-2598EA7545B3}" uniqueName="8" name="tweet_normalized" queryTableFieldId="8" dataDxfId="96"/>
    <tableColumn id="9" xr3:uid="{2A8C8A12-8830-4A2A-AF55-D1808219BD50}" uniqueName="9" name="tweet_tokens_stemmed" queryTableFieldId="9" dataDxfId="95"/>
    <tableColumn id="10" xr3:uid="{1FA37557-CCCF-48F5-AC8E-79EDF05C728D}" uniqueName="10" name="Relevansi" queryTableFieldId="10" dataDxfId="94">
      <calculatedColumnFormula array="1">IF(SUM(COUNTIF(Text_Preprocessing291013[[#This Row],[full_text]],{"*makan siang gratis*";"*MBG*";"*makan gratis*";"*makan bergizi gratis*";"*makangratis*";"*makanan gratis*"})),"Relevan","Tidak Relevan")</calculatedColumnFormula>
    </tableColumn>
    <tableColumn id="11" xr3:uid="{B41CA04F-7A07-400B-81D3-7461860D73B2}" uniqueName="11" name="Cek Konfirmasi Relevansi" queryTableFieldId="11" dataDxfId="9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9AC3C9-A17E-450E-A41E-03CB3AB0B053}" name="Text_Preprocessing__2245" displayName="Text_Preprocessing__2245" ref="A1:K452" tableType="queryTable" totalsRowShown="0">
  <autoFilter ref="A1:K452" xr:uid="{AA19B374-33C8-490C-B61D-18F72297ED90}"/>
  <tableColumns count="11">
    <tableColumn id="2" xr3:uid="{BC810625-7F79-494C-AEB2-4D9119C15FE5}" uniqueName="2" name="No" queryTableFieldId="2"/>
    <tableColumn id="3" xr3:uid="{E0152F3F-744D-4ACA-8BBC-9644043556AE}" uniqueName="3" name="full_text" queryTableFieldId="3" dataDxfId="33"/>
    <tableColumn id="4" xr3:uid="{F2354BF5-1B13-4A48-82A2-2AF19B70C53E}" uniqueName="4" name="username" queryTableFieldId="4" dataDxfId="32"/>
    <tableColumn id="12" xr3:uid="{F9DF07F4-A892-481D-B979-CA3C22C931B2}" uniqueName="12" name="Cek Akun" queryTableFieldId="13"/>
    <tableColumn id="5" xr3:uid="{2BD2A75D-9D47-4DD8-9D4A-81753CD02654}" uniqueName="5" name="tweet_tokens" queryTableFieldId="5" dataDxfId="31"/>
    <tableColumn id="6" xr3:uid="{1C980B16-F983-4A18-8E1B-8EC56721AF99}" uniqueName="6" name="tweet_tokens_fdist" queryTableFieldId="6" dataDxfId="30"/>
    <tableColumn id="7" xr3:uid="{17C9AD24-9FF4-4AE6-8F68-A4C1AAB0FB91}" uniqueName="7" name="tweet_tokens_WSW" queryTableFieldId="7" dataDxfId="29"/>
    <tableColumn id="8" xr3:uid="{6C228788-16A2-433C-9591-F4293DB86552}" uniqueName="8" name="tweet_normalized" queryTableFieldId="8" dataDxfId="28"/>
    <tableColumn id="9" xr3:uid="{7ADFB949-C9F5-47CE-82AB-96CA2D22F4C8}" uniqueName="9" name="tweet_tokens_stemmed" queryTableFieldId="9" dataDxfId="27"/>
    <tableColumn id="10" xr3:uid="{2A565079-A80E-47AC-9ABA-6C3AA0E701CE}" uniqueName="10" name="Relevansi" queryTableFieldId="10" dataDxfId="26">
      <calculatedColumnFormula array="1">IF(SUM(COUNTIF(Text_Preprocessing__2245[[#This Row],[full_text]],{"*makan siang gratis*";"*MBG*";"*makan gratis*";"*makan bergizi gratis*";"*makangratis*";"*makanan gratis*"})),"Relevan","Tidak Relevan")</calculatedColumnFormula>
    </tableColumn>
    <tableColumn id="11" xr3:uid="{F03AC822-4DC3-41E9-8398-CF0C5601277E}" uniqueName="11" name="Cek Konfirmasi Relevansi" queryTableFieldId="11" dataDxfId="2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57A19F-9137-4A4E-9CDE-A251B9F8C3D9}" name="Text_Preprocessing__22458" displayName="Text_Preprocessing__22458" ref="A1:K317" tableType="queryTable" totalsRowShown="0">
  <autoFilter ref="A1:K317" xr:uid="{AA19B374-33C8-490C-B61D-18F72297ED90}"/>
  <tableColumns count="11">
    <tableColumn id="2" xr3:uid="{F2F4AEB8-EDC1-4D18-8E49-8F0F5AE2CE2E}" uniqueName="2" name="No" queryTableFieldId="2"/>
    <tableColumn id="3" xr3:uid="{421EB1EE-CE8F-4EA6-8666-AB96FEB29449}" uniqueName="3" name="full_text" queryTableFieldId="3" dataDxfId="24"/>
    <tableColumn id="4" xr3:uid="{11920BA8-177E-44EC-B4CC-D6797332D85E}" uniqueName="4" name="username" queryTableFieldId="4" dataDxfId="23"/>
    <tableColumn id="12" xr3:uid="{0311F427-E728-4681-ADCE-5EC0E370E7EB}" uniqueName="12" name="Cek Akun" queryTableFieldId="13"/>
    <tableColumn id="5" xr3:uid="{3C36E143-8AA7-4A1B-BB13-537ABB804E9F}" uniqueName="5" name="tweet_tokens" queryTableFieldId="5" dataDxfId="22"/>
    <tableColumn id="6" xr3:uid="{A300ACAD-F15D-4A9D-854F-11C4E44C8EE5}" uniqueName="6" name="tweet_tokens_fdist" queryTableFieldId="6" dataDxfId="21"/>
    <tableColumn id="7" xr3:uid="{BC7AAEEC-AA73-4B8F-AD41-FA2F17C8F6B5}" uniqueName="7" name="tweet_tokens_WSW" queryTableFieldId="7" dataDxfId="20"/>
    <tableColumn id="8" xr3:uid="{5E1B086D-F32E-4611-B650-F575B73B5FD0}" uniqueName="8" name="tweet_normalized" queryTableFieldId="8" dataDxfId="19"/>
    <tableColumn id="9" xr3:uid="{B455A944-E6C3-4648-889C-AE18171C9F95}" uniqueName="9" name="tweet_tokens_stemmed" queryTableFieldId="9" dataDxfId="18"/>
    <tableColumn id="10" xr3:uid="{CEC030C3-116A-4D16-8FC6-580479F798EA}" uniqueName="10" name="Relevansi" queryTableFieldId="10" dataDxfId="17">
      <calculatedColumnFormula array="1">IF(SUM(COUNTIF(Text_Preprocessing__22458[[#This Row],[full_text]],{"*makan siang gratis*";"*MBG*";"*makan gratis*";"*makan bergizi gratis*";"*makangratis*";"*makanan gratis*"})),"Relevan","Tidak Relevan")</calculatedColumnFormula>
    </tableColumn>
    <tableColumn id="11" xr3:uid="{5F760936-87F0-43D9-B006-C211C43C2102}" uniqueName="11" name="Cek Konfirmasi Relevansi" queryTableFieldId="11" dataDxf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t.co/gVN49Sglht.%20.%20%20Pemenuhan%20Gizi%20wajib%20memiliki"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FC7A0-5F65-42AE-9D0F-F77130B90823}">
  <dimension ref="A1:C478"/>
  <sheetViews>
    <sheetView topLeftCell="C1" zoomScaleNormal="100" workbookViewId="0">
      <selection activeCell="B16" sqref="B16"/>
    </sheetView>
  </sheetViews>
  <sheetFormatPr defaultRowHeight="14.5" x14ac:dyDescent="0.35"/>
  <cols>
    <col min="1" max="1" width="4.1796875" bestFit="1" customWidth="1"/>
    <col min="2" max="2" width="255.6328125" bestFit="1" customWidth="1"/>
    <col min="3" max="3" width="18.453125" bestFit="1" customWidth="1"/>
  </cols>
  <sheetData>
    <row r="1" spans="1:3" x14ac:dyDescent="0.35">
      <c r="A1" t="s">
        <v>0</v>
      </c>
      <c r="B1" t="s">
        <v>1</v>
      </c>
      <c r="C1" t="s">
        <v>2</v>
      </c>
    </row>
    <row r="2" spans="1:3" x14ac:dyDescent="0.35">
      <c r="A2">
        <v>1</v>
      </c>
      <c r="B2" t="s">
        <v>3</v>
      </c>
      <c r="C2" t="s">
        <v>4</v>
      </c>
    </row>
    <row r="3" spans="1:3" x14ac:dyDescent="0.35">
      <c r="A3">
        <f>SUM(A2+1)</f>
        <v>2</v>
      </c>
      <c r="B3" t="s">
        <v>5</v>
      </c>
      <c r="C3" t="s">
        <v>6</v>
      </c>
    </row>
    <row r="4" spans="1:3" x14ac:dyDescent="0.35">
      <c r="A4">
        <f t="shared" ref="A4:A67" si="0">SUM(A3+1)</f>
        <v>3</v>
      </c>
      <c r="B4" t="s">
        <v>7</v>
      </c>
      <c r="C4" t="s">
        <v>8</v>
      </c>
    </row>
    <row r="5" spans="1:3" x14ac:dyDescent="0.35">
      <c r="A5">
        <f t="shared" si="0"/>
        <v>4</v>
      </c>
      <c r="B5" t="s">
        <v>9</v>
      </c>
      <c r="C5" t="s">
        <v>10</v>
      </c>
    </row>
    <row r="6" spans="1:3" x14ac:dyDescent="0.35">
      <c r="A6">
        <f t="shared" si="0"/>
        <v>5</v>
      </c>
      <c r="B6" t="s">
        <v>11</v>
      </c>
      <c r="C6" t="s">
        <v>12</v>
      </c>
    </row>
    <row r="7" spans="1:3" x14ac:dyDescent="0.35">
      <c r="A7">
        <f t="shared" si="0"/>
        <v>6</v>
      </c>
      <c r="B7" t="s">
        <v>13</v>
      </c>
      <c r="C7" t="s">
        <v>14</v>
      </c>
    </row>
    <row r="8" spans="1:3" x14ac:dyDescent="0.35">
      <c r="A8">
        <f t="shared" si="0"/>
        <v>7</v>
      </c>
      <c r="B8" t="s">
        <v>15</v>
      </c>
      <c r="C8" t="s">
        <v>16</v>
      </c>
    </row>
    <row r="9" spans="1:3" x14ac:dyDescent="0.35">
      <c r="A9">
        <f t="shared" si="0"/>
        <v>8</v>
      </c>
      <c r="B9" t="s">
        <v>17</v>
      </c>
      <c r="C9" t="s">
        <v>18</v>
      </c>
    </row>
    <row r="10" spans="1:3" x14ac:dyDescent="0.35">
      <c r="A10">
        <f t="shared" si="0"/>
        <v>9</v>
      </c>
      <c r="B10" t="s">
        <v>19</v>
      </c>
      <c r="C10" t="s">
        <v>20</v>
      </c>
    </row>
    <row r="11" spans="1:3" x14ac:dyDescent="0.35">
      <c r="A11">
        <f t="shared" si="0"/>
        <v>10</v>
      </c>
      <c r="B11" t="s">
        <v>21</v>
      </c>
      <c r="C11" t="s">
        <v>22</v>
      </c>
    </row>
    <row r="12" spans="1:3" x14ac:dyDescent="0.35">
      <c r="A12">
        <f t="shared" si="0"/>
        <v>11</v>
      </c>
      <c r="B12" t="s">
        <v>23</v>
      </c>
      <c r="C12" t="s">
        <v>24</v>
      </c>
    </row>
    <row r="13" spans="1:3" x14ac:dyDescent="0.35">
      <c r="A13">
        <f t="shared" si="0"/>
        <v>12</v>
      </c>
      <c r="B13" t="s">
        <v>25</v>
      </c>
      <c r="C13" t="s">
        <v>26</v>
      </c>
    </row>
    <row r="14" spans="1:3" x14ac:dyDescent="0.35">
      <c r="A14">
        <f t="shared" si="0"/>
        <v>13</v>
      </c>
      <c r="B14" t="s">
        <v>27</v>
      </c>
      <c r="C14" t="s">
        <v>28</v>
      </c>
    </row>
    <row r="15" spans="1:3" x14ac:dyDescent="0.35">
      <c r="A15">
        <f t="shared" si="0"/>
        <v>14</v>
      </c>
      <c r="B15" t="s">
        <v>29</v>
      </c>
      <c r="C15" t="s">
        <v>30</v>
      </c>
    </row>
    <row r="16" spans="1:3" x14ac:dyDescent="0.35">
      <c r="A16">
        <f t="shared" si="0"/>
        <v>15</v>
      </c>
      <c r="B16" t="s">
        <v>31</v>
      </c>
      <c r="C16" t="s">
        <v>32</v>
      </c>
    </row>
    <row r="17" spans="1:3" x14ac:dyDescent="0.35">
      <c r="A17">
        <f t="shared" si="0"/>
        <v>16</v>
      </c>
      <c r="B17" t="s">
        <v>33</v>
      </c>
      <c r="C17" t="s">
        <v>34</v>
      </c>
    </row>
    <row r="18" spans="1:3" x14ac:dyDescent="0.35">
      <c r="A18">
        <f t="shared" si="0"/>
        <v>17</v>
      </c>
      <c r="B18" t="s">
        <v>35</v>
      </c>
      <c r="C18" t="s">
        <v>36</v>
      </c>
    </row>
    <row r="19" spans="1:3" x14ac:dyDescent="0.35">
      <c r="A19">
        <f t="shared" si="0"/>
        <v>18</v>
      </c>
      <c r="B19" t="s">
        <v>37</v>
      </c>
      <c r="C19" t="s">
        <v>38</v>
      </c>
    </row>
    <row r="20" spans="1:3" x14ac:dyDescent="0.35">
      <c r="A20">
        <f t="shared" si="0"/>
        <v>19</v>
      </c>
      <c r="B20" t="s">
        <v>39</v>
      </c>
      <c r="C20" t="s">
        <v>40</v>
      </c>
    </row>
    <row r="21" spans="1:3" x14ac:dyDescent="0.35">
      <c r="A21">
        <f t="shared" si="0"/>
        <v>20</v>
      </c>
      <c r="B21" t="s">
        <v>41</v>
      </c>
      <c r="C21" t="s">
        <v>42</v>
      </c>
    </row>
    <row r="22" spans="1:3" x14ac:dyDescent="0.35">
      <c r="A22">
        <f t="shared" si="0"/>
        <v>21</v>
      </c>
      <c r="B22" t="s">
        <v>43</v>
      </c>
      <c r="C22" t="s">
        <v>44</v>
      </c>
    </row>
    <row r="23" spans="1:3" x14ac:dyDescent="0.35">
      <c r="A23">
        <f t="shared" si="0"/>
        <v>22</v>
      </c>
      <c r="B23" t="s">
        <v>45</v>
      </c>
      <c r="C23" t="s">
        <v>20</v>
      </c>
    </row>
    <row r="24" spans="1:3" x14ac:dyDescent="0.35">
      <c r="A24">
        <f t="shared" si="0"/>
        <v>23</v>
      </c>
      <c r="B24" t="s">
        <v>46</v>
      </c>
      <c r="C24" t="s">
        <v>47</v>
      </c>
    </row>
    <row r="25" spans="1:3" x14ac:dyDescent="0.35">
      <c r="A25">
        <f t="shared" si="0"/>
        <v>24</v>
      </c>
      <c r="B25" t="s">
        <v>48</v>
      </c>
      <c r="C25" t="s">
        <v>49</v>
      </c>
    </row>
    <row r="26" spans="1:3" x14ac:dyDescent="0.35">
      <c r="A26">
        <f t="shared" si="0"/>
        <v>25</v>
      </c>
      <c r="B26" t="s">
        <v>50</v>
      </c>
      <c r="C26" t="s">
        <v>20</v>
      </c>
    </row>
    <row r="27" spans="1:3" x14ac:dyDescent="0.35">
      <c r="A27">
        <f t="shared" si="0"/>
        <v>26</v>
      </c>
      <c r="B27" t="s">
        <v>51</v>
      </c>
      <c r="C27" t="s">
        <v>52</v>
      </c>
    </row>
    <row r="28" spans="1:3" x14ac:dyDescent="0.35">
      <c r="A28">
        <f t="shared" si="0"/>
        <v>27</v>
      </c>
      <c r="B28" t="s">
        <v>53</v>
      </c>
      <c r="C28" t="s">
        <v>54</v>
      </c>
    </row>
    <row r="29" spans="1:3" x14ac:dyDescent="0.35">
      <c r="A29">
        <f t="shared" si="0"/>
        <v>28</v>
      </c>
      <c r="B29" t="s">
        <v>55</v>
      </c>
      <c r="C29" t="s">
        <v>56</v>
      </c>
    </row>
    <row r="30" spans="1:3" x14ac:dyDescent="0.35">
      <c r="A30">
        <f t="shared" si="0"/>
        <v>29</v>
      </c>
      <c r="B30" t="s">
        <v>57</v>
      </c>
      <c r="C30" t="s">
        <v>58</v>
      </c>
    </row>
    <row r="31" spans="1:3" x14ac:dyDescent="0.35">
      <c r="A31">
        <f t="shared" si="0"/>
        <v>30</v>
      </c>
      <c r="B31" t="s">
        <v>59</v>
      </c>
      <c r="C31" t="s">
        <v>60</v>
      </c>
    </row>
    <row r="32" spans="1:3" x14ac:dyDescent="0.35">
      <c r="A32">
        <f t="shared" si="0"/>
        <v>31</v>
      </c>
      <c r="B32" t="s">
        <v>61</v>
      </c>
      <c r="C32" t="s">
        <v>62</v>
      </c>
    </row>
    <row r="33" spans="1:3" x14ac:dyDescent="0.35">
      <c r="A33">
        <f t="shared" si="0"/>
        <v>32</v>
      </c>
      <c r="B33" t="s">
        <v>63</v>
      </c>
      <c r="C33" t="s">
        <v>64</v>
      </c>
    </row>
    <row r="34" spans="1:3" x14ac:dyDescent="0.35">
      <c r="A34">
        <f t="shared" si="0"/>
        <v>33</v>
      </c>
      <c r="B34" t="s">
        <v>65</v>
      </c>
      <c r="C34" t="s">
        <v>66</v>
      </c>
    </row>
    <row r="35" spans="1:3" x14ac:dyDescent="0.35">
      <c r="A35">
        <f t="shared" si="0"/>
        <v>34</v>
      </c>
      <c r="B35" t="s">
        <v>67</v>
      </c>
      <c r="C35" t="s">
        <v>68</v>
      </c>
    </row>
    <row r="36" spans="1:3" x14ac:dyDescent="0.35">
      <c r="A36">
        <f t="shared" si="0"/>
        <v>35</v>
      </c>
      <c r="B36" t="s">
        <v>69</v>
      </c>
      <c r="C36" t="s">
        <v>70</v>
      </c>
    </row>
    <row r="37" spans="1:3" x14ac:dyDescent="0.35">
      <c r="A37">
        <f t="shared" si="0"/>
        <v>36</v>
      </c>
      <c r="B37" t="s">
        <v>71</v>
      </c>
      <c r="C37" t="s">
        <v>72</v>
      </c>
    </row>
    <row r="38" spans="1:3" x14ac:dyDescent="0.35">
      <c r="A38">
        <f t="shared" si="0"/>
        <v>37</v>
      </c>
      <c r="B38" t="s">
        <v>73</v>
      </c>
      <c r="C38" t="s">
        <v>74</v>
      </c>
    </row>
    <row r="39" spans="1:3" x14ac:dyDescent="0.35">
      <c r="A39">
        <f t="shared" si="0"/>
        <v>38</v>
      </c>
      <c r="B39" t="s">
        <v>75</v>
      </c>
      <c r="C39" t="s">
        <v>76</v>
      </c>
    </row>
    <row r="40" spans="1:3" x14ac:dyDescent="0.35">
      <c r="A40">
        <f t="shared" si="0"/>
        <v>39</v>
      </c>
      <c r="B40" t="s">
        <v>77</v>
      </c>
      <c r="C40" t="s">
        <v>78</v>
      </c>
    </row>
    <row r="41" spans="1:3" x14ac:dyDescent="0.35">
      <c r="A41">
        <f t="shared" si="0"/>
        <v>40</v>
      </c>
      <c r="B41" t="s">
        <v>79</v>
      </c>
      <c r="C41" t="s">
        <v>80</v>
      </c>
    </row>
    <row r="42" spans="1:3" x14ac:dyDescent="0.35">
      <c r="A42">
        <f t="shared" si="0"/>
        <v>41</v>
      </c>
      <c r="B42" t="s">
        <v>81</v>
      </c>
      <c r="C42" t="s">
        <v>82</v>
      </c>
    </row>
    <row r="43" spans="1:3" x14ac:dyDescent="0.35">
      <c r="A43">
        <f t="shared" si="0"/>
        <v>42</v>
      </c>
      <c r="B43" t="s">
        <v>83</v>
      </c>
      <c r="C43" t="s">
        <v>84</v>
      </c>
    </row>
    <row r="44" spans="1:3" x14ac:dyDescent="0.35">
      <c r="A44">
        <f t="shared" si="0"/>
        <v>43</v>
      </c>
      <c r="B44" t="s">
        <v>85</v>
      </c>
      <c r="C44" t="s">
        <v>76</v>
      </c>
    </row>
    <row r="45" spans="1:3" x14ac:dyDescent="0.35">
      <c r="A45">
        <f t="shared" si="0"/>
        <v>44</v>
      </c>
      <c r="B45" t="s">
        <v>86</v>
      </c>
      <c r="C45" t="s">
        <v>87</v>
      </c>
    </row>
    <row r="46" spans="1:3" x14ac:dyDescent="0.35">
      <c r="A46">
        <f t="shared" si="0"/>
        <v>45</v>
      </c>
      <c r="B46" t="s">
        <v>88</v>
      </c>
      <c r="C46" t="s">
        <v>84</v>
      </c>
    </row>
    <row r="47" spans="1:3" x14ac:dyDescent="0.35">
      <c r="A47">
        <f t="shared" si="0"/>
        <v>46</v>
      </c>
      <c r="B47" t="s">
        <v>89</v>
      </c>
      <c r="C47" t="s">
        <v>76</v>
      </c>
    </row>
    <row r="48" spans="1:3" x14ac:dyDescent="0.35">
      <c r="A48">
        <f t="shared" si="0"/>
        <v>47</v>
      </c>
      <c r="B48" t="s">
        <v>90</v>
      </c>
      <c r="C48" t="s">
        <v>91</v>
      </c>
    </row>
    <row r="49" spans="1:3" x14ac:dyDescent="0.35">
      <c r="A49">
        <f t="shared" si="0"/>
        <v>48</v>
      </c>
      <c r="B49" t="s">
        <v>92</v>
      </c>
      <c r="C49" t="s">
        <v>93</v>
      </c>
    </row>
    <row r="50" spans="1:3" x14ac:dyDescent="0.35">
      <c r="A50">
        <f t="shared" si="0"/>
        <v>49</v>
      </c>
      <c r="B50" t="s">
        <v>94</v>
      </c>
      <c r="C50" t="s">
        <v>93</v>
      </c>
    </row>
    <row r="51" spans="1:3" x14ac:dyDescent="0.35">
      <c r="A51">
        <f t="shared" si="0"/>
        <v>50</v>
      </c>
      <c r="B51" t="s">
        <v>95</v>
      </c>
      <c r="C51" t="s">
        <v>76</v>
      </c>
    </row>
    <row r="52" spans="1:3" x14ac:dyDescent="0.35">
      <c r="A52">
        <f t="shared" si="0"/>
        <v>51</v>
      </c>
      <c r="B52" t="s">
        <v>96</v>
      </c>
      <c r="C52" t="s">
        <v>93</v>
      </c>
    </row>
    <row r="53" spans="1:3" x14ac:dyDescent="0.35">
      <c r="A53">
        <f t="shared" si="0"/>
        <v>52</v>
      </c>
      <c r="B53" t="s">
        <v>97</v>
      </c>
      <c r="C53" t="s">
        <v>98</v>
      </c>
    </row>
    <row r="54" spans="1:3" x14ac:dyDescent="0.35">
      <c r="A54">
        <f t="shared" si="0"/>
        <v>53</v>
      </c>
      <c r="B54" t="s">
        <v>99</v>
      </c>
      <c r="C54" t="s">
        <v>100</v>
      </c>
    </row>
    <row r="55" spans="1:3" x14ac:dyDescent="0.35">
      <c r="A55">
        <f t="shared" si="0"/>
        <v>54</v>
      </c>
      <c r="B55" t="s">
        <v>101</v>
      </c>
      <c r="C55" t="s">
        <v>102</v>
      </c>
    </row>
    <row r="56" spans="1:3" x14ac:dyDescent="0.35">
      <c r="A56">
        <f t="shared" si="0"/>
        <v>55</v>
      </c>
      <c r="B56" t="s">
        <v>103</v>
      </c>
      <c r="C56" t="s">
        <v>100</v>
      </c>
    </row>
    <row r="57" spans="1:3" x14ac:dyDescent="0.35">
      <c r="A57">
        <f t="shared" si="0"/>
        <v>56</v>
      </c>
      <c r="B57" t="s">
        <v>104</v>
      </c>
      <c r="C57" t="s">
        <v>105</v>
      </c>
    </row>
    <row r="58" spans="1:3" x14ac:dyDescent="0.35">
      <c r="A58">
        <f t="shared" si="0"/>
        <v>57</v>
      </c>
      <c r="B58" t="s">
        <v>106</v>
      </c>
      <c r="C58" t="s">
        <v>105</v>
      </c>
    </row>
    <row r="59" spans="1:3" x14ac:dyDescent="0.35">
      <c r="A59">
        <f t="shared" si="0"/>
        <v>58</v>
      </c>
      <c r="B59" t="s">
        <v>107</v>
      </c>
      <c r="C59" t="s">
        <v>108</v>
      </c>
    </row>
    <row r="60" spans="1:3" x14ac:dyDescent="0.35">
      <c r="A60">
        <f t="shared" si="0"/>
        <v>59</v>
      </c>
      <c r="B60" t="s">
        <v>109</v>
      </c>
      <c r="C60" t="s">
        <v>110</v>
      </c>
    </row>
    <row r="61" spans="1:3" x14ac:dyDescent="0.35">
      <c r="A61">
        <f t="shared" si="0"/>
        <v>60</v>
      </c>
      <c r="B61" t="s">
        <v>111</v>
      </c>
      <c r="C61" t="s">
        <v>112</v>
      </c>
    </row>
    <row r="62" spans="1:3" x14ac:dyDescent="0.35">
      <c r="A62">
        <f t="shared" si="0"/>
        <v>61</v>
      </c>
      <c r="B62" t="s">
        <v>113</v>
      </c>
      <c r="C62" t="s">
        <v>114</v>
      </c>
    </row>
    <row r="63" spans="1:3" x14ac:dyDescent="0.35">
      <c r="A63">
        <f t="shared" si="0"/>
        <v>62</v>
      </c>
      <c r="B63" t="s">
        <v>115</v>
      </c>
      <c r="C63" t="s">
        <v>116</v>
      </c>
    </row>
    <row r="64" spans="1:3" x14ac:dyDescent="0.35">
      <c r="A64">
        <f t="shared" si="0"/>
        <v>63</v>
      </c>
      <c r="B64" t="s">
        <v>117</v>
      </c>
      <c r="C64" t="s">
        <v>116</v>
      </c>
    </row>
    <row r="65" spans="1:3" x14ac:dyDescent="0.35">
      <c r="A65">
        <f t="shared" si="0"/>
        <v>64</v>
      </c>
      <c r="B65" t="s">
        <v>118</v>
      </c>
      <c r="C65" t="s">
        <v>119</v>
      </c>
    </row>
    <row r="66" spans="1:3" x14ac:dyDescent="0.35">
      <c r="A66">
        <f t="shared" si="0"/>
        <v>65</v>
      </c>
      <c r="B66" t="s">
        <v>120</v>
      </c>
      <c r="C66" t="s">
        <v>121</v>
      </c>
    </row>
    <row r="67" spans="1:3" x14ac:dyDescent="0.35">
      <c r="A67">
        <f t="shared" si="0"/>
        <v>66</v>
      </c>
      <c r="B67" t="s">
        <v>122</v>
      </c>
      <c r="C67" t="s">
        <v>123</v>
      </c>
    </row>
    <row r="68" spans="1:3" x14ac:dyDescent="0.35">
      <c r="A68">
        <f t="shared" ref="A68:A131" si="1">SUM(A67+1)</f>
        <v>67</v>
      </c>
      <c r="B68" t="s">
        <v>124</v>
      </c>
      <c r="C68" t="s">
        <v>125</v>
      </c>
    </row>
    <row r="69" spans="1:3" x14ac:dyDescent="0.35">
      <c r="A69">
        <f t="shared" si="1"/>
        <v>68</v>
      </c>
      <c r="B69" t="s">
        <v>126</v>
      </c>
      <c r="C69" t="s">
        <v>127</v>
      </c>
    </row>
    <row r="70" spans="1:3" x14ac:dyDescent="0.35">
      <c r="A70">
        <f t="shared" si="1"/>
        <v>69</v>
      </c>
      <c r="B70" t="s">
        <v>128</v>
      </c>
      <c r="C70" t="s">
        <v>129</v>
      </c>
    </row>
    <row r="71" spans="1:3" x14ac:dyDescent="0.35">
      <c r="A71">
        <f t="shared" si="1"/>
        <v>70</v>
      </c>
      <c r="B71" t="s">
        <v>130</v>
      </c>
      <c r="C71" t="s">
        <v>93</v>
      </c>
    </row>
    <row r="72" spans="1:3" x14ac:dyDescent="0.35">
      <c r="A72">
        <f t="shared" si="1"/>
        <v>71</v>
      </c>
      <c r="B72" t="s">
        <v>131</v>
      </c>
      <c r="C72" t="s">
        <v>76</v>
      </c>
    </row>
    <row r="73" spans="1:3" x14ac:dyDescent="0.35">
      <c r="A73">
        <f t="shared" si="1"/>
        <v>72</v>
      </c>
      <c r="B73" t="s">
        <v>132</v>
      </c>
      <c r="C73" t="s">
        <v>133</v>
      </c>
    </row>
    <row r="74" spans="1:3" x14ac:dyDescent="0.35">
      <c r="A74">
        <f t="shared" si="1"/>
        <v>73</v>
      </c>
      <c r="B74" t="s">
        <v>134</v>
      </c>
      <c r="C74" t="s">
        <v>135</v>
      </c>
    </row>
    <row r="75" spans="1:3" x14ac:dyDescent="0.35">
      <c r="A75">
        <f t="shared" si="1"/>
        <v>74</v>
      </c>
      <c r="B75" t="s">
        <v>136</v>
      </c>
      <c r="C75" t="s">
        <v>137</v>
      </c>
    </row>
    <row r="76" spans="1:3" x14ac:dyDescent="0.35">
      <c r="A76">
        <f t="shared" si="1"/>
        <v>75</v>
      </c>
      <c r="B76" t="s">
        <v>138</v>
      </c>
      <c r="C76" t="s">
        <v>139</v>
      </c>
    </row>
    <row r="77" spans="1:3" x14ac:dyDescent="0.35">
      <c r="A77">
        <f t="shared" si="1"/>
        <v>76</v>
      </c>
      <c r="B77" t="s">
        <v>140</v>
      </c>
      <c r="C77" t="s">
        <v>141</v>
      </c>
    </row>
    <row r="78" spans="1:3" x14ac:dyDescent="0.35">
      <c r="A78">
        <f t="shared" si="1"/>
        <v>77</v>
      </c>
      <c r="B78" t="s">
        <v>142</v>
      </c>
      <c r="C78" t="s">
        <v>143</v>
      </c>
    </row>
    <row r="79" spans="1:3" x14ac:dyDescent="0.35">
      <c r="A79">
        <f t="shared" si="1"/>
        <v>78</v>
      </c>
      <c r="B79" t="s">
        <v>144</v>
      </c>
      <c r="C79" t="s">
        <v>143</v>
      </c>
    </row>
    <row r="80" spans="1:3" x14ac:dyDescent="0.35">
      <c r="A80">
        <f t="shared" si="1"/>
        <v>79</v>
      </c>
      <c r="B80" t="s">
        <v>145</v>
      </c>
      <c r="C80" t="s">
        <v>143</v>
      </c>
    </row>
    <row r="81" spans="1:3" x14ac:dyDescent="0.35">
      <c r="A81">
        <f t="shared" si="1"/>
        <v>80</v>
      </c>
      <c r="B81" t="s">
        <v>146</v>
      </c>
      <c r="C81" t="s">
        <v>147</v>
      </c>
    </row>
    <row r="82" spans="1:3" x14ac:dyDescent="0.35">
      <c r="A82">
        <f t="shared" si="1"/>
        <v>81</v>
      </c>
      <c r="B82" t="s">
        <v>148</v>
      </c>
      <c r="C82" t="s">
        <v>149</v>
      </c>
    </row>
    <row r="83" spans="1:3" x14ac:dyDescent="0.35">
      <c r="A83">
        <f t="shared" si="1"/>
        <v>82</v>
      </c>
      <c r="B83" t="s">
        <v>150</v>
      </c>
      <c r="C83" t="s">
        <v>143</v>
      </c>
    </row>
    <row r="84" spans="1:3" x14ac:dyDescent="0.35">
      <c r="A84">
        <f t="shared" si="1"/>
        <v>83</v>
      </c>
      <c r="B84" t="s">
        <v>151</v>
      </c>
      <c r="C84" t="s">
        <v>143</v>
      </c>
    </row>
    <row r="85" spans="1:3" x14ac:dyDescent="0.35">
      <c r="A85">
        <f t="shared" si="1"/>
        <v>84</v>
      </c>
      <c r="B85" t="s">
        <v>152</v>
      </c>
      <c r="C85" t="s">
        <v>153</v>
      </c>
    </row>
    <row r="86" spans="1:3" x14ac:dyDescent="0.35">
      <c r="A86">
        <f t="shared" si="1"/>
        <v>85</v>
      </c>
      <c r="B86" t="s">
        <v>154</v>
      </c>
      <c r="C86" t="s">
        <v>155</v>
      </c>
    </row>
    <row r="87" spans="1:3" x14ac:dyDescent="0.35">
      <c r="A87">
        <f t="shared" si="1"/>
        <v>86</v>
      </c>
      <c r="B87" t="s">
        <v>156</v>
      </c>
      <c r="C87" t="s">
        <v>157</v>
      </c>
    </row>
    <row r="88" spans="1:3" x14ac:dyDescent="0.35">
      <c r="A88">
        <f t="shared" si="1"/>
        <v>87</v>
      </c>
      <c r="B88" t="s">
        <v>158</v>
      </c>
      <c r="C88" t="s">
        <v>159</v>
      </c>
    </row>
    <row r="89" spans="1:3" x14ac:dyDescent="0.35">
      <c r="A89">
        <f t="shared" si="1"/>
        <v>88</v>
      </c>
      <c r="B89" t="s">
        <v>160</v>
      </c>
      <c r="C89" t="s">
        <v>161</v>
      </c>
    </row>
    <row r="90" spans="1:3" x14ac:dyDescent="0.35">
      <c r="A90">
        <f t="shared" si="1"/>
        <v>89</v>
      </c>
      <c r="B90" t="s">
        <v>162</v>
      </c>
      <c r="C90" t="s">
        <v>102</v>
      </c>
    </row>
    <row r="91" spans="1:3" x14ac:dyDescent="0.35">
      <c r="A91">
        <f t="shared" si="1"/>
        <v>90</v>
      </c>
      <c r="B91" t="s">
        <v>163</v>
      </c>
      <c r="C91" t="s">
        <v>125</v>
      </c>
    </row>
    <row r="92" spans="1:3" x14ac:dyDescent="0.35">
      <c r="A92">
        <f t="shared" si="1"/>
        <v>91</v>
      </c>
      <c r="B92" t="s">
        <v>164</v>
      </c>
      <c r="C92" t="s">
        <v>137</v>
      </c>
    </row>
    <row r="93" spans="1:3" x14ac:dyDescent="0.35">
      <c r="A93">
        <f t="shared" si="1"/>
        <v>92</v>
      </c>
      <c r="B93" t="s">
        <v>165</v>
      </c>
      <c r="C93" t="s">
        <v>166</v>
      </c>
    </row>
    <row r="94" spans="1:3" x14ac:dyDescent="0.35">
      <c r="A94">
        <f t="shared" si="1"/>
        <v>93</v>
      </c>
      <c r="B94" t="s">
        <v>167</v>
      </c>
      <c r="C94" t="s">
        <v>168</v>
      </c>
    </row>
    <row r="95" spans="1:3" x14ac:dyDescent="0.35">
      <c r="A95">
        <f t="shared" si="1"/>
        <v>94</v>
      </c>
      <c r="B95" t="s">
        <v>169</v>
      </c>
      <c r="C95" t="s">
        <v>170</v>
      </c>
    </row>
    <row r="96" spans="1:3" x14ac:dyDescent="0.35">
      <c r="A96">
        <f t="shared" si="1"/>
        <v>95</v>
      </c>
      <c r="B96" t="s">
        <v>171</v>
      </c>
      <c r="C96" t="s">
        <v>172</v>
      </c>
    </row>
    <row r="97" spans="1:3" x14ac:dyDescent="0.35">
      <c r="A97">
        <f t="shared" si="1"/>
        <v>96</v>
      </c>
      <c r="B97" t="s">
        <v>173</v>
      </c>
      <c r="C97" t="s">
        <v>174</v>
      </c>
    </row>
    <row r="98" spans="1:3" x14ac:dyDescent="0.35">
      <c r="A98">
        <f t="shared" si="1"/>
        <v>97</v>
      </c>
      <c r="B98" t="s">
        <v>175</v>
      </c>
      <c r="C98" t="s">
        <v>176</v>
      </c>
    </row>
    <row r="99" spans="1:3" x14ac:dyDescent="0.35">
      <c r="A99">
        <f t="shared" si="1"/>
        <v>98</v>
      </c>
      <c r="B99" t="s">
        <v>177</v>
      </c>
      <c r="C99" t="s">
        <v>143</v>
      </c>
    </row>
    <row r="100" spans="1:3" x14ac:dyDescent="0.35">
      <c r="A100">
        <f t="shared" si="1"/>
        <v>99</v>
      </c>
      <c r="B100" t="s">
        <v>178</v>
      </c>
      <c r="C100" t="s">
        <v>137</v>
      </c>
    </row>
    <row r="101" spans="1:3" x14ac:dyDescent="0.35">
      <c r="A101">
        <f t="shared" si="1"/>
        <v>100</v>
      </c>
      <c r="B101" t="s">
        <v>179</v>
      </c>
      <c r="C101" t="s">
        <v>180</v>
      </c>
    </row>
    <row r="102" spans="1:3" x14ac:dyDescent="0.35">
      <c r="A102">
        <f t="shared" si="1"/>
        <v>101</v>
      </c>
      <c r="B102" t="s">
        <v>181</v>
      </c>
      <c r="C102" t="s">
        <v>182</v>
      </c>
    </row>
    <row r="103" spans="1:3" x14ac:dyDescent="0.35">
      <c r="A103">
        <f t="shared" si="1"/>
        <v>102</v>
      </c>
      <c r="B103" t="s">
        <v>183</v>
      </c>
      <c r="C103" t="s">
        <v>172</v>
      </c>
    </row>
    <row r="104" spans="1:3" x14ac:dyDescent="0.35">
      <c r="A104">
        <f t="shared" si="1"/>
        <v>103</v>
      </c>
      <c r="B104" t="s">
        <v>184</v>
      </c>
      <c r="C104" t="s">
        <v>185</v>
      </c>
    </row>
    <row r="105" spans="1:3" x14ac:dyDescent="0.35">
      <c r="A105">
        <f t="shared" si="1"/>
        <v>104</v>
      </c>
      <c r="B105" t="s">
        <v>186</v>
      </c>
      <c r="C105" t="s">
        <v>76</v>
      </c>
    </row>
    <row r="106" spans="1:3" x14ac:dyDescent="0.35">
      <c r="A106">
        <f t="shared" si="1"/>
        <v>105</v>
      </c>
      <c r="B106" t="s">
        <v>187</v>
      </c>
      <c r="C106" t="s">
        <v>182</v>
      </c>
    </row>
    <row r="107" spans="1:3" x14ac:dyDescent="0.35">
      <c r="A107">
        <f t="shared" si="1"/>
        <v>106</v>
      </c>
      <c r="B107" t="s">
        <v>188</v>
      </c>
      <c r="C107" t="s">
        <v>189</v>
      </c>
    </row>
    <row r="108" spans="1:3" x14ac:dyDescent="0.35">
      <c r="A108">
        <f t="shared" si="1"/>
        <v>107</v>
      </c>
      <c r="B108" t="s">
        <v>190</v>
      </c>
      <c r="C108" t="s">
        <v>93</v>
      </c>
    </row>
    <row r="109" spans="1:3" x14ac:dyDescent="0.35">
      <c r="A109">
        <f t="shared" si="1"/>
        <v>108</v>
      </c>
      <c r="B109" t="s">
        <v>191</v>
      </c>
      <c r="C109" t="s">
        <v>192</v>
      </c>
    </row>
    <row r="110" spans="1:3" x14ac:dyDescent="0.35">
      <c r="A110">
        <f t="shared" si="1"/>
        <v>109</v>
      </c>
      <c r="B110" t="s">
        <v>193</v>
      </c>
      <c r="C110" t="s">
        <v>93</v>
      </c>
    </row>
    <row r="111" spans="1:3" x14ac:dyDescent="0.35">
      <c r="A111">
        <f t="shared" si="1"/>
        <v>110</v>
      </c>
      <c r="B111" t="s">
        <v>194</v>
      </c>
      <c r="C111" t="s">
        <v>174</v>
      </c>
    </row>
    <row r="112" spans="1:3" x14ac:dyDescent="0.35">
      <c r="A112">
        <f t="shared" si="1"/>
        <v>111</v>
      </c>
      <c r="B112" t="s">
        <v>195</v>
      </c>
      <c r="C112" t="s">
        <v>196</v>
      </c>
    </row>
    <row r="113" spans="1:3" x14ac:dyDescent="0.35">
      <c r="A113">
        <f t="shared" si="1"/>
        <v>112</v>
      </c>
      <c r="B113" t="s">
        <v>197</v>
      </c>
      <c r="C113" t="s">
        <v>137</v>
      </c>
    </row>
    <row r="114" spans="1:3" x14ac:dyDescent="0.35">
      <c r="A114">
        <f t="shared" si="1"/>
        <v>113</v>
      </c>
      <c r="B114" t="s">
        <v>198</v>
      </c>
      <c r="C114" t="s">
        <v>137</v>
      </c>
    </row>
    <row r="115" spans="1:3" x14ac:dyDescent="0.35">
      <c r="A115">
        <f t="shared" si="1"/>
        <v>114</v>
      </c>
      <c r="B115" t="s">
        <v>199</v>
      </c>
      <c r="C115" t="s">
        <v>200</v>
      </c>
    </row>
    <row r="116" spans="1:3" x14ac:dyDescent="0.35">
      <c r="A116">
        <f t="shared" si="1"/>
        <v>115</v>
      </c>
      <c r="B116" t="s">
        <v>201</v>
      </c>
      <c r="C116" t="s">
        <v>202</v>
      </c>
    </row>
    <row r="117" spans="1:3" x14ac:dyDescent="0.35">
      <c r="A117">
        <f t="shared" si="1"/>
        <v>116</v>
      </c>
      <c r="B117" t="s">
        <v>203</v>
      </c>
      <c r="C117" t="s">
        <v>202</v>
      </c>
    </row>
    <row r="118" spans="1:3" x14ac:dyDescent="0.35">
      <c r="A118">
        <f t="shared" si="1"/>
        <v>117</v>
      </c>
      <c r="B118" t="s">
        <v>204</v>
      </c>
      <c r="C118" t="s">
        <v>205</v>
      </c>
    </row>
    <row r="119" spans="1:3" x14ac:dyDescent="0.35">
      <c r="A119">
        <f t="shared" si="1"/>
        <v>118</v>
      </c>
      <c r="B119" t="s">
        <v>204</v>
      </c>
      <c r="C119" t="s">
        <v>205</v>
      </c>
    </row>
    <row r="120" spans="1:3" x14ac:dyDescent="0.35">
      <c r="A120">
        <f t="shared" si="1"/>
        <v>119</v>
      </c>
      <c r="B120" t="s">
        <v>206</v>
      </c>
      <c r="C120" t="s">
        <v>207</v>
      </c>
    </row>
    <row r="121" spans="1:3" x14ac:dyDescent="0.35">
      <c r="A121">
        <f t="shared" si="1"/>
        <v>120</v>
      </c>
      <c r="B121" t="s">
        <v>208</v>
      </c>
      <c r="C121" t="s">
        <v>209</v>
      </c>
    </row>
    <row r="122" spans="1:3" x14ac:dyDescent="0.35">
      <c r="A122">
        <f t="shared" si="1"/>
        <v>121</v>
      </c>
      <c r="B122" t="s">
        <v>210</v>
      </c>
      <c r="C122" t="s">
        <v>211</v>
      </c>
    </row>
    <row r="123" spans="1:3" x14ac:dyDescent="0.35">
      <c r="A123">
        <f t="shared" si="1"/>
        <v>122</v>
      </c>
      <c r="B123" t="s">
        <v>212</v>
      </c>
      <c r="C123" t="s">
        <v>213</v>
      </c>
    </row>
    <row r="124" spans="1:3" x14ac:dyDescent="0.35">
      <c r="A124">
        <f t="shared" si="1"/>
        <v>123</v>
      </c>
      <c r="B124" t="s">
        <v>214</v>
      </c>
      <c r="C124" t="s">
        <v>215</v>
      </c>
    </row>
    <row r="125" spans="1:3" x14ac:dyDescent="0.35">
      <c r="A125">
        <f t="shared" si="1"/>
        <v>124</v>
      </c>
      <c r="B125" t="s">
        <v>216</v>
      </c>
      <c r="C125" t="s">
        <v>217</v>
      </c>
    </row>
    <row r="126" spans="1:3" x14ac:dyDescent="0.35">
      <c r="A126">
        <f t="shared" si="1"/>
        <v>125</v>
      </c>
      <c r="B126" t="s">
        <v>218</v>
      </c>
      <c r="C126" t="s">
        <v>219</v>
      </c>
    </row>
    <row r="127" spans="1:3" x14ac:dyDescent="0.35">
      <c r="A127">
        <f t="shared" si="1"/>
        <v>126</v>
      </c>
      <c r="B127" t="s">
        <v>220</v>
      </c>
      <c r="C127" t="s">
        <v>221</v>
      </c>
    </row>
    <row r="128" spans="1:3" x14ac:dyDescent="0.35">
      <c r="A128">
        <f t="shared" si="1"/>
        <v>127</v>
      </c>
      <c r="B128" t="s">
        <v>222</v>
      </c>
      <c r="C128" t="s">
        <v>223</v>
      </c>
    </row>
    <row r="129" spans="1:3" x14ac:dyDescent="0.35">
      <c r="A129">
        <f t="shared" si="1"/>
        <v>128</v>
      </c>
      <c r="B129" t="s">
        <v>224</v>
      </c>
      <c r="C129" t="s">
        <v>225</v>
      </c>
    </row>
    <row r="130" spans="1:3" x14ac:dyDescent="0.35">
      <c r="A130">
        <f t="shared" si="1"/>
        <v>129</v>
      </c>
      <c r="B130" t="s">
        <v>226</v>
      </c>
      <c r="C130" t="s">
        <v>227</v>
      </c>
    </row>
    <row r="131" spans="1:3" x14ac:dyDescent="0.35">
      <c r="A131">
        <f t="shared" si="1"/>
        <v>130</v>
      </c>
      <c r="B131" t="s">
        <v>228</v>
      </c>
      <c r="C131" t="s">
        <v>229</v>
      </c>
    </row>
    <row r="132" spans="1:3" x14ac:dyDescent="0.35">
      <c r="A132">
        <f t="shared" ref="A132:A195" si="2">SUM(A131+1)</f>
        <v>131</v>
      </c>
      <c r="B132" t="s">
        <v>230</v>
      </c>
      <c r="C132" t="s">
        <v>231</v>
      </c>
    </row>
    <row r="133" spans="1:3" x14ac:dyDescent="0.35">
      <c r="A133">
        <f t="shared" si="2"/>
        <v>132</v>
      </c>
      <c r="B133" t="s">
        <v>232</v>
      </c>
      <c r="C133" t="s">
        <v>233</v>
      </c>
    </row>
    <row r="134" spans="1:3" x14ac:dyDescent="0.35">
      <c r="A134">
        <f t="shared" si="2"/>
        <v>133</v>
      </c>
      <c r="B134" t="s">
        <v>234</v>
      </c>
      <c r="C134" t="s">
        <v>235</v>
      </c>
    </row>
    <row r="135" spans="1:3" x14ac:dyDescent="0.35">
      <c r="A135">
        <f t="shared" si="2"/>
        <v>134</v>
      </c>
      <c r="B135" t="s">
        <v>236</v>
      </c>
      <c r="C135" t="s">
        <v>237</v>
      </c>
    </row>
    <row r="136" spans="1:3" x14ac:dyDescent="0.35">
      <c r="A136">
        <f t="shared" si="2"/>
        <v>135</v>
      </c>
      <c r="B136" t="s">
        <v>238</v>
      </c>
      <c r="C136" t="s">
        <v>4</v>
      </c>
    </row>
    <row r="137" spans="1:3" x14ac:dyDescent="0.35">
      <c r="A137">
        <f t="shared" si="2"/>
        <v>136</v>
      </c>
      <c r="B137" t="s">
        <v>239</v>
      </c>
      <c r="C137" t="s">
        <v>4</v>
      </c>
    </row>
    <row r="138" spans="1:3" x14ac:dyDescent="0.35">
      <c r="A138">
        <f t="shared" si="2"/>
        <v>137</v>
      </c>
      <c r="B138" t="s">
        <v>240</v>
      </c>
      <c r="C138" t="s">
        <v>4</v>
      </c>
    </row>
    <row r="139" spans="1:3" x14ac:dyDescent="0.35">
      <c r="A139">
        <f t="shared" si="2"/>
        <v>138</v>
      </c>
      <c r="B139" t="s">
        <v>241</v>
      </c>
      <c r="C139" t="s">
        <v>242</v>
      </c>
    </row>
    <row r="140" spans="1:3" x14ac:dyDescent="0.35">
      <c r="A140">
        <f t="shared" si="2"/>
        <v>139</v>
      </c>
      <c r="B140" t="s">
        <v>243</v>
      </c>
      <c r="C140" t="s">
        <v>244</v>
      </c>
    </row>
    <row r="141" spans="1:3" x14ac:dyDescent="0.35">
      <c r="A141">
        <f t="shared" si="2"/>
        <v>140</v>
      </c>
      <c r="B141" t="s">
        <v>245</v>
      </c>
      <c r="C141" t="s">
        <v>246</v>
      </c>
    </row>
    <row r="142" spans="1:3" x14ac:dyDescent="0.35">
      <c r="A142">
        <f t="shared" si="2"/>
        <v>141</v>
      </c>
      <c r="B142" t="s">
        <v>247</v>
      </c>
      <c r="C142" t="s">
        <v>137</v>
      </c>
    </row>
    <row r="143" spans="1:3" x14ac:dyDescent="0.35">
      <c r="A143">
        <f t="shared" si="2"/>
        <v>142</v>
      </c>
      <c r="B143" t="s">
        <v>248</v>
      </c>
      <c r="C143" t="s">
        <v>249</v>
      </c>
    </row>
    <row r="144" spans="1:3" x14ac:dyDescent="0.35">
      <c r="A144">
        <f t="shared" si="2"/>
        <v>143</v>
      </c>
      <c r="B144" t="s">
        <v>250</v>
      </c>
      <c r="C144" t="s">
        <v>251</v>
      </c>
    </row>
    <row r="145" spans="1:3" x14ac:dyDescent="0.35">
      <c r="A145">
        <f t="shared" si="2"/>
        <v>144</v>
      </c>
      <c r="B145" t="s">
        <v>252</v>
      </c>
      <c r="C145" t="s">
        <v>253</v>
      </c>
    </row>
    <row r="146" spans="1:3" x14ac:dyDescent="0.35">
      <c r="A146">
        <f t="shared" si="2"/>
        <v>145</v>
      </c>
      <c r="B146" t="s">
        <v>254</v>
      </c>
      <c r="C146" t="s">
        <v>255</v>
      </c>
    </row>
    <row r="147" spans="1:3" x14ac:dyDescent="0.35">
      <c r="A147">
        <f t="shared" si="2"/>
        <v>146</v>
      </c>
      <c r="B147" t="s">
        <v>256</v>
      </c>
      <c r="C147" t="s">
        <v>213</v>
      </c>
    </row>
    <row r="148" spans="1:3" x14ac:dyDescent="0.35">
      <c r="A148">
        <f t="shared" si="2"/>
        <v>147</v>
      </c>
      <c r="B148" t="s">
        <v>257</v>
      </c>
      <c r="C148" t="s">
        <v>213</v>
      </c>
    </row>
    <row r="149" spans="1:3" x14ac:dyDescent="0.35">
      <c r="A149">
        <f t="shared" si="2"/>
        <v>148</v>
      </c>
      <c r="B149" t="s">
        <v>258</v>
      </c>
      <c r="C149" t="s">
        <v>259</v>
      </c>
    </row>
    <row r="150" spans="1:3" x14ac:dyDescent="0.35">
      <c r="A150">
        <f t="shared" si="2"/>
        <v>149</v>
      </c>
      <c r="B150" t="s">
        <v>260</v>
      </c>
      <c r="C150" t="s">
        <v>261</v>
      </c>
    </row>
    <row r="151" spans="1:3" x14ac:dyDescent="0.35">
      <c r="A151">
        <f t="shared" si="2"/>
        <v>150</v>
      </c>
      <c r="B151" t="s">
        <v>262</v>
      </c>
      <c r="C151" t="s">
        <v>263</v>
      </c>
    </row>
    <row r="152" spans="1:3" x14ac:dyDescent="0.35">
      <c r="A152">
        <f t="shared" si="2"/>
        <v>151</v>
      </c>
      <c r="B152" t="s">
        <v>264</v>
      </c>
      <c r="C152" t="s">
        <v>265</v>
      </c>
    </row>
    <row r="153" spans="1:3" x14ac:dyDescent="0.35">
      <c r="A153">
        <f t="shared" si="2"/>
        <v>152</v>
      </c>
      <c r="B153" t="s">
        <v>266</v>
      </c>
      <c r="C153" t="s">
        <v>267</v>
      </c>
    </row>
    <row r="154" spans="1:3" x14ac:dyDescent="0.35">
      <c r="A154">
        <f t="shared" si="2"/>
        <v>153</v>
      </c>
      <c r="B154" t="s">
        <v>268</v>
      </c>
      <c r="C154" t="s">
        <v>269</v>
      </c>
    </row>
    <row r="155" spans="1:3" x14ac:dyDescent="0.35">
      <c r="A155">
        <f t="shared" si="2"/>
        <v>154</v>
      </c>
      <c r="B155" t="s">
        <v>270</v>
      </c>
      <c r="C155" t="s">
        <v>249</v>
      </c>
    </row>
    <row r="156" spans="1:3" x14ac:dyDescent="0.35">
      <c r="A156">
        <f t="shared" si="2"/>
        <v>155</v>
      </c>
      <c r="B156" t="s">
        <v>271</v>
      </c>
      <c r="C156" t="s">
        <v>272</v>
      </c>
    </row>
    <row r="157" spans="1:3" x14ac:dyDescent="0.35">
      <c r="A157">
        <f t="shared" si="2"/>
        <v>156</v>
      </c>
      <c r="B157" t="s">
        <v>273</v>
      </c>
      <c r="C157" t="s">
        <v>274</v>
      </c>
    </row>
    <row r="158" spans="1:3" x14ac:dyDescent="0.35">
      <c r="A158">
        <f t="shared" si="2"/>
        <v>157</v>
      </c>
      <c r="B158" t="s">
        <v>275</v>
      </c>
      <c r="C158" t="s">
        <v>276</v>
      </c>
    </row>
    <row r="159" spans="1:3" x14ac:dyDescent="0.35">
      <c r="A159">
        <f t="shared" si="2"/>
        <v>158</v>
      </c>
      <c r="B159" t="s">
        <v>277</v>
      </c>
      <c r="C159" t="s">
        <v>143</v>
      </c>
    </row>
    <row r="160" spans="1:3" x14ac:dyDescent="0.35">
      <c r="A160">
        <f t="shared" si="2"/>
        <v>159</v>
      </c>
      <c r="B160" t="s">
        <v>278</v>
      </c>
      <c r="C160" t="s">
        <v>174</v>
      </c>
    </row>
    <row r="161" spans="1:3" x14ac:dyDescent="0.35">
      <c r="A161">
        <f t="shared" si="2"/>
        <v>160</v>
      </c>
      <c r="B161" t="s">
        <v>279</v>
      </c>
      <c r="C161" t="s">
        <v>280</v>
      </c>
    </row>
    <row r="162" spans="1:3" x14ac:dyDescent="0.35">
      <c r="A162">
        <f t="shared" si="2"/>
        <v>161</v>
      </c>
      <c r="B162" t="s">
        <v>281</v>
      </c>
      <c r="C162" t="s">
        <v>282</v>
      </c>
    </row>
    <row r="163" spans="1:3" x14ac:dyDescent="0.35">
      <c r="A163">
        <f t="shared" si="2"/>
        <v>162</v>
      </c>
      <c r="B163" t="s">
        <v>283</v>
      </c>
      <c r="C163" t="s">
        <v>143</v>
      </c>
    </row>
    <row r="164" spans="1:3" x14ac:dyDescent="0.35">
      <c r="A164">
        <f t="shared" si="2"/>
        <v>163</v>
      </c>
      <c r="B164" t="s">
        <v>284</v>
      </c>
      <c r="C164" t="s">
        <v>285</v>
      </c>
    </row>
    <row r="165" spans="1:3" x14ac:dyDescent="0.35">
      <c r="A165">
        <f t="shared" si="2"/>
        <v>164</v>
      </c>
      <c r="B165" t="s">
        <v>286</v>
      </c>
      <c r="C165" t="s">
        <v>223</v>
      </c>
    </row>
    <row r="166" spans="1:3" x14ac:dyDescent="0.35">
      <c r="A166">
        <f t="shared" si="2"/>
        <v>165</v>
      </c>
      <c r="B166" t="s">
        <v>287</v>
      </c>
      <c r="C166" t="s">
        <v>217</v>
      </c>
    </row>
    <row r="167" spans="1:3" x14ac:dyDescent="0.35">
      <c r="A167">
        <f t="shared" si="2"/>
        <v>166</v>
      </c>
      <c r="B167" t="s">
        <v>288</v>
      </c>
      <c r="C167" t="s">
        <v>289</v>
      </c>
    </row>
    <row r="168" spans="1:3" x14ac:dyDescent="0.35">
      <c r="A168">
        <f t="shared" si="2"/>
        <v>167</v>
      </c>
      <c r="B168" t="s">
        <v>290</v>
      </c>
      <c r="C168" t="s">
        <v>291</v>
      </c>
    </row>
    <row r="169" spans="1:3" x14ac:dyDescent="0.35">
      <c r="A169">
        <f t="shared" si="2"/>
        <v>168</v>
      </c>
      <c r="B169" t="s">
        <v>292</v>
      </c>
      <c r="C169" t="s">
        <v>276</v>
      </c>
    </row>
    <row r="170" spans="1:3" x14ac:dyDescent="0.35">
      <c r="A170">
        <f t="shared" si="2"/>
        <v>169</v>
      </c>
      <c r="B170" t="s">
        <v>293</v>
      </c>
      <c r="C170" t="s">
        <v>294</v>
      </c>
    </row>
    <row r="171" spans="1:3" x14ac:dyDescent="0.35">
      <c r="A171">
        <f t="shared" si="2"/>
        <v>170</v>
      </c>
      <c r="B171" t="s">
        <v>295</v>
      </c>
      <c r="C171" t="s">
        <v>296</v>
      </c>
    </row>
    <row r="172" spans="1:3" x14ac:dyDescent="0.35">
      <c r="A172">
        <f t="shared" si="2"/>
        <v>171</v>
      </c>
      <c r="B172" t="s">
        <v>297</v>
      </c>
      <c r="C172" t="s">
        <v>280</v>
      </c>
    </row>
    <row r="173" spans="1:3" x14ac:dyDescent="0.35">
      <c r="A173">
        <f t="shared" si="2"/>
        <v>172</v>
      </c>
      <c r="B173" t="s">
        <v>298</v>
      </c>
      <c r="C173" t="s">
        <v>76</v>
      </c>
    </row>
    <row r="174" spans="1:3" x14ac:dyDescent="0.35">
      <c r="A174">
        <f t="shared" si="2"/>
        <v>173</v>
      </c>
      <c r="B174" t="s">
        <v>299</v>
      </c>
      <c r="C174" t="s">
        <v>213</v>
      </c>
    </row>
    <row r="175" spans="1:3" x14ac:dyDescent="0.35">
      <c r="A175">
        <f t="shared" si="2"/>
        <v>174</v>
      </c>
      <c r="B175" t="s">
        <v>300</v>
      </c>
      <c r="C175" t="s">
        <v>213</v>
      </c>
    </row>
    <row r="176" spans="1:3" x14ac:dyDescent="0.35">
      <c r="A176">
        <f t="shared" si="2"/>
        <v>175</v>
      </c>
      <c r="B176" t="s">
        <v>301</v>
      </c>
      <c r="C176" t="s">
        <v>280</v>
      </c>
    </row>
    <row r="177" spans="1:3" x14ac:dyDescent="0.35">
      <c r="A177">
        <f t="shared" si="2"/>
        <v>176</v>
      </c>
      <c r="B177" t="s">
        <v>302</v>
      </c>
      <c r="C177" t="s">
        <v>253</v>
      </c>
    </row>
    <row r="178" spans="1:3" x14ac:dyDescent="0.35">
      <c r="A178">
        <f t="shared" si="2"/>
        <v>177</v>
      </c>
      <c r="B178" t="s">
        <v>303</v>
      </c>
      <c r="C178" t="s">
        <v>304</v>
      </c>
    </row>
    <row r="179" spans="1:3" x14ac:dyDescent="0.35">
      <c r="A179">
        <f t="shared" si="2"/>
        <v>178</v>
      </c>
      <c r="B179" t="s">
        <v>305</v>
      </c>
      <c r="C179" t="s">
        <v>304</v>
      </c>
    </row>
    <row r="180" spans="1:3" x14ac:dyDescent="0.35">
      <c r="A180">
        <f t="shared" si="2"/>
        <v>179</v>
      </c>
      <c r="B180" t="s">
        <v>306</v>
      </c>
      <c r="C180" t="s">
        <v>143</v>
      </c>
    </row>
    <row r="181" spans="1:3" x14ac:dyDescent="0.35">
      <c r="A181">
        <f t="shared" si="2"/>
        <v>180</v>
      </c>
      <c r="B181" t="s">
        <v>307</v>
      </c>
      <c r="C181" t="s">
        <v>308</v>
      </c>
    </row>
    <row r="182" spans="1:3" x14ac:dyDescent="0.35">
      <c r="A182">
        <f t="shared" si="2"/>
        <v>181</v>
      </c>
      <c r="B182" t="s">
        <v>309</v>
      </c>
      <c r="C182" t="s">
        <v>310</v>
      </c>
    </row>
    <row r="183" spans="1:3" x14ac:dyDescent="0.35">
      <c r="A183">
        <f t="shared" si="2"/>
        <v>182</v>
      </c>
      <c r="B183" t="s">
        <v>311</v>
      </c>
      <c r="C183" t="s">
        <v>312</v>
      </c>
    </row>
    <row r="184" spans="1:3" x14ac:dyDescent="0.35">
      <c r="A184">
        <f t="shared" si="2"/>
        <v>183</v>
      </c>
      <c r="B184" t="s">
        <v>313</v>
      </c>
      <c r="C184" t="s">
        <v>314</v>
      </c>
    </row>
    <row r="185" spans="1:3" x14ac:dyDescent="0.35">
      <c r="A185">
        <f t="shared" si="2"/>
        <v>184</v>
      </c>
      <c r="B185" t="s">
        <v>315</v>
      </c>
      <c r="C185" t="s">
        <v>316</v>
      </c>
    </row>
    <row r="186" spans="1:3" x14ac:dyDescent="0.35">
      <c r="A186">
        <f t="shared" si="2"/>
        <v>185</v>
      </c>
      <c r="B186" t="s">
        <v>317</v>
      </c>
      <c r="C186" t="s">
        <v>316</v>
      </c>
    </row>
    <row r="187" spans="1:3" x14ac:dyDescent="0.35">
      <c r="A187">
        <f t="shared" si="2"/>
        <v>186</v>
      </c>
      <c r="B187" t="s">
        <v>318</v>
      </c>
      <c r="C187" t="s">
        <v>76</v>
      </c>
    </row>
    <row r="188" spans="1:3" x14ac:dyDescent="0.35">
      <c r="A188">
        <f t="shared" si="2"/>
        <v>187</v>
      </c>
      <c r="B188" t="s">
        <v>319</v>
      </c>
      <c r="C188" t="s">
        <v>4</v>
      </c>
    </row>
    <row r="189" spans="1:3" x14ac:dyDescent="0.35">
      <c r="A189">
        <f t="shared" si="2"/>
        <v>188</v>
      </c>
      <c r="B189" t="s">
        <v>320</v>
      </c>
      <c r="C189" t="s">
        <v>4</v>
      </c>
    </row>
    <row r="190" spans="1:3" x14ac:dyDescent="0.35">
      <c r="A190">
        <f t="shared" si="2"/>
        <v>189</v>
      </c>
      <c r="B190" t="s">
        <v>321</v>
      </c>
      <c r="C190" t="s">
        <v>4</v>
      </c>
    </row>
    <row r="191" spans="1:3" x14ac:dyDescent="0.35">
      <c r="A191">
        <f t="shared" si="2"/>
        <v>190</v>
      </c>
      <c r="B191" t="s">
        <v>322</v>
      </c>
      <c r="C191" t="s">
        <v>4</v>
      </c>
    </row>
    <row r="192" spans="1:3" x14ac:dyDescent="0.35">
      <c r="A192">
        <f t="shared" si="2"/>
        <v>191</v>
      </c>
      <c r="B192" t="s">
        <v>323</v>
      </c>
      <c r="C192" t="s">
        <v>324</v>
      </c>
    </row>
    <row r="193" spans="1:3" x14ac:dyDescent="0.35">
      <c r="A193">
        <f t="shared" si="2"/>
        <v>192</v>
      </c>
      <c r="B193" t="s">
        <v>325</v>
      </c>
      <c r="C193" t="s">
        <v>326</v>
      </c>
    </row>
    <row r="194" spans="1:3" x14ac:dyDescent="0.35">
      <c r="A194">
        <f t="shared" si="2"/>
        <v>193</v>
      </c>
      <c r="B194" t="s">
        <v>327</v>
      </c>
      <c r="C194" t="s">
        <v>242</v>
      </c>
    </row>
    <row r="195" spans="1:3" x14ac:dyDescent="0.35">
      <c r="A195">
        <f t="shared" si="2"/>
        <v>194</v>
      </c>
      <c r="B195" t="s">
        <v>328</v>
      </c>
      <c r="C195" t="s">
        <v>213</v>
      </c>
    </row>
    <row r="196" spans="1:3" x14ac:dyDescent="0.35">
      <c r="A196">
        <f t="shared" ref="A196:A259" si="3">SUM(A195+1)</f>
        <v>195</v>
      </c>
      <c r="B196" t="s">
        <v>329</v>
      </c>
      <c r="C196" t="s">
        <v>330</v>
      </c>
    </row>
    <row r="197" spans="1:3" x14ac:dyDescent="0.35">
      <c r="A197">
        <f t="shared" si="3"/>
        <v>196</v>
      </c>
      <c r="B197" t="s">
        <v>331</v>
      </c>
      <c r="C197" t="s">
        <v>332</v>
      </c>
    </row>
    <row r="198" spans="1:3" x14ac:dyDescent="0.35">
      <c r="A198">
        <f t="shared" si="3"/>
        <v>197</v>
      </c>
      <c r="B198" t="s">
        <v>333</v>
      </c>
      <c r="C198" t="s">
        <v>330</v>
      </c>
    </row>
    <row r="199" spans="1:3" x14ac:dyDescent="0.35">
      <c r="A199">
        <f t="shared" si="3"/>
        <v>198</v>
      </c>
      <c r="B199" t="s">
        <v>334</v>
      </c>
      <c r="C199" t="s">
        <v>335</v>
      </c>
    </row>
    <row r="200" spans="1:3" x14ac:dyDescent="0.35">
      <c r="A200">
        <f t="shared" si="3"/>
        <v>199</v>
      </c>
      <c r="B200" t="s">
        <v>336</v>
      </c>
      <c r="C200" t="s">
        <v>337</v>
      </c>
    </row>
    <row r="201" spans="1:3" x14ac:dyDescent="0.35">
      <c r="A201">
        <f t="shared" si="3"/>
        <v>200</v>
      </c>
      <c r="B201" t="s">
        <v>338</v>
      </c>
      <c r="C201" t="s">
        <v>339</v>
      </c>
    </row>
    <row r="202" spans="1:3" x14ac:dyDescent="0.35">
      <c r="A202">
        <f t="shared" si="3"/>
        <v>201</v>
      </c>
      <c r="B202" t="s">
        <v>340</v>
      </c>
      <c r="C202" t="s">
        <v>341</v>
      </c>
    </row>
    <row r="203" spans="1:3" x14ac:dyDescent="0.35">
      <c r="A203">
        <f t="shared" si="3"/>
        <v>202</v>
      </c>
      <c r="B203" t="s">
        <v>342</v>
      </c>
      <c r="C203" t="s">
        <v>343</v>
      </c>
    </row>
    <row r="204" spans="1:3" x14ac:dyDescent="0.35">
      <c r="A204">
        <f t="shared" si="3"/>
        <v>203</v>
      </c>
      <c r="B204" t="s">
        <v>344</v>
      </c>
      <c r="C204" t="s">
        <v>345</v>
      </c>
    </row>
    <row r="205" spans="1:3" x14ac:dyDescent="0.35">
      <c r="A205">
        <f t="shared" si="3"/>
        <v>204</v>
      </c>
      <c r="B205" t="s">
        <v>346</v>
      </c>
      <c r="C205" t="s">
        <v>347</v>
      </c>
    </row>
    <row r="206" spans="1:3" x14ac:dyDescent="0.35">
      <c r="A206">
        <f t="shared" si="3"/>
        <v>205</v>
      </c>
      <c r="B206" t="s">
        <v>348</v>
      </c>
      <c r="C206" t="s">
        <v>349</v>
      </c>
    </row>
    <row r="207" spans="1:3" x14ac:dyDescent="0.35">
      <c r="A207">
        <f t="shared" si="3"/>
        <v>206</v>
      </c>
      <c r="B207" t="s">
        <v>350</v>
      </c>
      <c r="C207" t="s">
        <v>76</v>
      </c>
    </row>
    <row r="208" spans="1:3" x14ac:dyDescent="0.35">
      <c r="A208">
        <f t="shared" si="3"/>
        <v>207</v>
      </c>
      <c r="B208" t="s">
        <v>351</v>
      </c>
      <c r="C208" t="s">
        <v>352</v>
      </c>
    </row>
    <row r="209" spans="1:3" x14ac:dyDescent="0.35">
      <c r="A209">
        <f t="shared" si="3"/>
        <v>208</v>
      </c>
      <c r="B209" t="s">
        <v>353</v>
      </c>
      <c r="C209" t="s">
        <v>354</v>
      </c>
    </row>
    <row r="210" spans="1:3" x14ac:dyDescent="0.35">
      <c r="A210">
        <f t="shared" si="3"/>
        <v>209</v>
      </c>
      <c r="B210" t="s">
        <v>355</v>
      </c>
      <c r="C210" t="s">
        <v>76</v>
      </c>
    </row>
    <row r="211" spans="1:3" x14ac:dyDescent="0.35">
      <c r="A211">
        <f t="shared" si="3"/>
        <v>210</v>
      </c>
      <c r="B211" t="s">
        <v>356</v>
      </c>
      <c r="C211" t="s">
        <v>242</v>
      </c>
    </row>
    <row r="212" spans="1:3" x14ac:dyDescent="0.35">
      <c r="A212">
        <f t="shared" si="3"/>
        <v>211</v>
      </c>
      <c r="B212" t="s">
        <v>357</v>
      </c>
      <c r="C212" t="s">
        <v>242</v>
      </c>
    </row>
    <row r="213" spans="1:3" x14ac:dyDescent="0.35">
      <c r="A213">
        <f t="shared" si="3"/>
        <v>212</v>
      </c>
      <c r="B213" t="s">
        <v>358</v>
      </c>
      <c r="C213" t="s">
        <v>242</v>
      </c>
    </row>
    <row r="214" spans="1:3" x14ac:dyDescent="0.35">
      <c r="A214">
        <f t="shared" si="3"/>
        <v>213</v>
      </c>
      <c r="B214" t="s">
        <v>359</v>
      </c>
      <c r="C214" t="s">
        <v>213</v>
      </c>
    </row>
    <row r="215" spans="1:3" x14ac:dyDescent="0.35">
      <c r="A215">
        <f t="shared" si="3"/>
        <v>214</v>
      </c>
      <c r="B215" t="s">
        <v>360</v>
      </c>
      <c r="C215" t="s">
        <v>280</v>
      </c>
    </row>
    <row r="216" spans="1:3" x14ac:dyDescent="0.35">
      <c r="A216">
        <f t="shared" si="3"/>
        <v>215</v>
      </c>
      <c r="B216" t="s">
        <v>361</v>
      </c>
      <c r="C216" t="s">
        <v>304</v>
      </c>
    </row>
    <row r="217" spans="1:3" x14ac:dyDescent="0.35">
      <c r="A217">
        <f t="shared" si="3"/>
        <v>216</v>
      </c>
      <c r="B217" t="s">
        <v>362</v>
      </c>
      <c r="C217" t="s">
        <v>253</v>
      </c>
    </row>
    <row r="218" spans="1:3" x14ac:dyDescent="0.35">
      <c r="A218">
        <f t="shared" si="3"/>
        <v>217</v>
      </c>
      <c r="B218" t="s">
        <v>363</v>
      </c>
      <c r="C218" t="s">
        <v>274</v>
      </c>
    </row>
    <row r="219" spans="1:3" x14ac:dyDescent="0.35">
      <c r="A219">
        <f t="shared" si="3"/>
        <v>218</v>
      </c>
      <c r="B219" t="s">
        <v>364</v>
      </c>
      <c r="C219" t="s">
        <v>365</v>
      </c>
    </row>
    <row r="220" spans="1:3" x14ac:dyDescent="0.35">
      <c r="A220">
        <f t="shared" si="3"/>
        <v>219</v>
      </c>
      <c r="B220" t="s">
        <v>366</v>
      </c>
      <c r="C220" t="s">
        <v>367</v>
      </c>
    </row>
    <row r="221" spans="1:3" x14ac:dyDescent="0.35">
      <c r="A221">
        <f t="shared" si="3"/>
        <v>220</v>
      </c>
      <c r="B221" t="s">
        <v>368</v>
      </c>
      <c r="C221" t="s">
        <v>369</v>
      </c>
    </row>
    <row r="222" spans="1:3" x14ac:dyDescent="0.35">
      <c r="A222">
        <f t="shared" si="3"/>
        <v>221</v>
      </c>
      <c r="B222" t="s">
        <v>370</v>
      </c>
      <c r="C222" t="s">
        <v>371</v>
      </c>
    </row>
    <row r="223" spans="1:3" x14ac:dyDescent="0.35">
      <c r="A223">
        <f t="shared" si="3"/>
        <v>222</v>
      </c>
      <c r="B223" t="s">
        <v>372</v>
      </c>
      <c r="C223" t="s">
        <v>373</v>
      </c>
    </row>
    <row r="224" spans="1:3" x14ac:dyDescent="0.35">
      <c r="A224">
        <f t="shared" si="3"/>
        <v>223</v>
      </c>
      <c r="B224" t="s">
        <v>374</v>
      </c>
      <c r="C224" t="s">
        <v>375</v>
      </c>
    </row>
    <row r="225" spans="1:3" x14ac:dyDescent="0.35">
      <c r="A225">
        <f t="shared" si="3"/>
        <v>224</v>
      </c>
      <c r="B225" t="s">
        <v>376</v>
      </c>
      <c r="C225" t="s">
        <v>377</v>
      </c>
    </row>
    <row r="226" spans="1:3" x14ac:dyDescent="0.35">
      <c r="A226">
        <f t="shared" si="3"/>
        <v>225</v>
      </c>
      <c r="B226" t="s">
        <v>378</v>
      </c>
      <c r="C226" t="s">
        <v>379</v>
      </c>
    </row>
    <row r="227" spans="1:3" x14ac:dyDescent="0.35">
      <c r="A227">
        <f t="shared" si="3"/>
        <v>226</v>
      </c>
      <c r="B227" t="s">
        <v>380</v>
      </c>
      <c r="C227" t="s">
        <v>76</v>
      </c>
    </row>
    <row r="228" spans="1:3" x14ac:dyDescent="0.35">
      <c r="A228">
        <f t="shared" si="3"/>
        <v>227</v>
      </c>
      <c r="B228" t="s">
        <v>381</v>
      </c>
      <c r="C228" t="s">
        <v>382</v>
      </c>
    </row>
    <row r="229" spans="1:3" x14ac:dyDescent="0.35">
      <c r="A229">
        <f t="shared" si="3"/>
        <v>228</v>
      </c>
      <c r="B229" t="s">
        <v>383</v>
      </c>
      <c r="C229" t="s">
        <v>326</v>
      </c>
    </row>
    <row r="230" spans="1:3" x14ac:dyDescent="0.35">
      <c r="A230">
        <f t="shared" si="3"/>
        <v>229</v>
      </c>
      <c r="B230" t="s">
        <v>384</v>
      </c>
      <c r="C230" t="s">
        <v>4</v>
      </c>
    </row>
    <row r="231" spans="1:3" x14ac:dyDescent="0.35">
      <c r="A231">
        <f t="shared" si="3"/>
        <v>230</v>
      </c>
      <c r="B231" t="s">
        <v>385</v>
      </c>
      <c r="C231" t="s">
        <v>4</v>
      </c>
    </row>
    <row r="232" spans="1:3" x14ac:dyDescent="0.35">
      <c r="A232">
        <f t="shared" si="3"/>
        <v>231</v>
      </c>
      <c r="B232" t="s">
        <v>386</v>
      </c>
      <c r="C232" t="s">
        <v>4</v>
      </c>
    </row>
    <row r="233" spans="1:3" x14ac:dyDescent="0.35">
      <c r="A233">
        <f t="shared" si="3"/>
        <v>232</v>
      </c>
      <c r="B233" t="s">
        <v>387</v>
      </c>
      <c r="C233" t="s">
        <v>4</v>
      </c>
    </row>
    <row r="234" spans="1:3" x14ac:dyDescent="0.35">
      <c r="A234">
        <f t="shared" si="3"/>
        <v>233</v>
      </c>
      <c r="B234" t="s">
        <v>388</v>
      </c>
      <c r="C234" t="s">
        <v>242</v>
      </c>
    </row>
    <row r="235" spans="1:3" x14ac:dyDescent="0.35">
      <c r="A235">
        <f t="shared" si="3"/>
        <v>234</v>
      </c>
      <c r="B235" t="s">
        <v>389</v>
      </c>
      <c r="C235" t="s">
        <v>280</v>
      </c>
    </row>
    <row r="236" spans="1:3" x14ac:dyDescent="0.35">
      <c r="A236">
        <f t="shared" si="3"/>
        <v>235</v>
      </c>
      <c r="B236" t="s">
        <v>390</v>
      </c>
      <c r="C236" t="s">
        <v>391</v>
      </c>
    </row>
    <row r="237" spans="1:3" x14ac:dyDescent="0.35">
      <c r="A237">
        <f t="shared" si="3"/>
        <v>236</v>
      </c>
      <c r="B237" t="s">
        <v>392</v>
      </c>
      <c r="C237" t="s">
        <v>393</v>
      </c>
    </row>
    <row r="238" spans="1:3" x14ac:dyDescent="0.35">
      <c r="A238">
        <f t="shared" si="3"/>
        <v>237</v>
      </c>
      <c r="B238" t="s">
        <v>394</v>
      </c>
      <c r="C238" t="s">
        <v>263</v>
      </c>
    </row>
    <row r="239" spans="1:3" x14ac:dyDescent="0.35">
      <c r="A239">
        <f t="shared" si="3"/>
        <v>238</v>
      </c>
      <c r="B239" t="s">
        <v>395</v>
      </c>
      <c r="C239" t="s">
        <v>396</v>
      </c>
    </row>
    <row r="240" spans="1:3" x14ac:dyDescent="0.35">
      <c r="A240">
        <f t="shared" si="3"/>
        <v>239</v>
      </c>
      <c r="B240" t="s">
        <v>397</v>
      </c>
      <c r="C240" t="s">
        <v>304</v>
      </c>
    </row>
    <row r="241" spans="1:3" x14ac:dyDescent="0.35">
      <c r="A241">
        <f t="shared" si="3"/>
        <v>240</v>
      </c>
      <c r="B241" t="s">
        <v>398</v>
      </c>
      <c r="C241" t="s">
        <v>213</v>
      </c>
    </row>
    <row r="242" spans="1:3" x14ac:dyDescent="0.35">
      <c r="A242">
        <f t="shared" si="3"/>
        <v>241</v>
      </c>
      <c r="B242" t="s">
        <v>399</v>
      </c>
      <c r="C242" t="s">
        <v>259</v>
      </c>
    </row>
    <row r="243" spans="1:3" x14ac:dyDescent="0.35">
      <c r="A243">
        <f t="shared" si="3"/>
        <v>242</v>
      </c>
      <c r="B243" t="s">
        <v>400</v>
      </c>
      <c r="C243" t="s">
        <v>401</v>
      </c>
    </row>
    <row r="244" spans="1:3" x14ac:dyDescent="0.35">
      <c r="A244">
        <f t="shared" si="3"/>
        <v>243</v>
      </c>
      <c r="B244" t="s">
        <v>402</v>
      </c>
      <c r="C244" t="s">
        <v>403</v>
      </c>
    </row>
    <row r="245" spans="1:3" x14ac:dyDescent="0.35">
      <c r="A245">
        <f t="shared" si="3"/>
        <v>244</v>
      </c>
      <c r="B245" t="s">
        <v>404</v>
      </c>
      <c r="C245" t="s">
        <v>405</v>
      </c>
    </row>
    <row r="246" spans="1:3" x14ac:dyDescent="0.35">
      <c r="A246">
        <f t="shared" si="3"/>
        <v>245</v>
      </c>
      <c r="B246" t="s">
        <v>406</v>
      </c>
      <c r="C246" t="s">
        <v>407</v>
      </c>
    </row>
    <row r="247" spans="1:3" x14ac:dyDescent="0.35">
      <c r="A247">
        <f t="shared" si="3"/>
        <v>246</v>
      </c>
      <c r="B247" t="s">
        <v>408</v>
      </c>
      <c r="C247" t="s">
        <v>409</v>
      </c>
    </row>
    <row r="248" spans="1:3" x14ac:dyDescent="0.35">
      <c r="A248">
        <f t="shared" si="3"/>
        <v>247</v>
      </c>
      <c r="B248" t="s">
        <v>410</v>
      </c>
      <c r="C248" t="s">
        <v>411</v>
      </c>
    </row>
    <row r="249" spans="1:3" x14ac:dyDescent="0.35">
      <c r="A249">
        <f t="shared" si="3"/>
        <v>248</v>
      </c>
      <c r="B249" t="s">
        <v>412</v>
      </c>
      <c r="C249" t="s">
        <v>413</v>
      </c>
    </row>
    <row r="250" spans="1:3" x14ac:dyDescent="0.35">
      <c r="A250">
        <f t="shared" si="3"/>
        <v>249</v>
      </c>
      <c r="B250" t="s">
        <v>414</v>
      </c>
      <c r="C250" t="s">
        <v>133</v>
      </c>
    </row>
    <row r="251" spans="1:3" x14ac:dyDescent="0.35">
      <c r="A251">
        <f t="shared" si="3"/>
        <v>250</v>
      </c>
      <c r="B251" t="s">
        <v>415</v>
      </c>
      <c r="C251" t="s">
        <v>382</v>
      </c>
    </row>
    <row r="252" spans="1:3" x14ac:dyDescent="0.35">
      <c r="A252">
        <f t="shared" si="3"/>
        <v>251</v>
      </c>
      <c r="B252" t="s">
        <v>416</v>
      </c>
      <c r="C252" t="s">
        <v>417</v>
      </c>
    </row>
    <row r="253" spans="1:3" x14ac:dyDescent="0.35">
      <c r="A253">
        <f t="shared" si="3"/>
        <v>252</v>
      </c>
      <c r="B253" t="s">
        <v>418</v>
      </c>
      <c r="C253" t="s">
        <v>419</v>
      </c>
    </row>
    <row r="254" spans="1:3" x14ac:dyDescent="0.35">
      <c r="A254">
        <f t="shared" si="3"/>
        <v>253</v>
      </c>
      <c r="B254" t="s">
        <v>420</v>
      </c>
      <c r="C254" t="s">
        <v>421</v>
      </c>
    </row>
    <row r="255" spans="1:3" x14ac:dyDescent="0.35">
      <c r="A255">
        <f t="shared" si="3"/>
        <v>254</v>
      </c>
      <c r="B255" t="s">
        <v>422</v>
      </c>
      <c r="C255" t="s">
        <v>379</v>
      </c>
    </row>
    <row r="256" spans="1:3" x14ac:dyDescent="0.35">
      <c r="A256">
        <f t="shared" si="3"/>
        <v>255</v>
      </c>
      <c r="B256" t="s">
        <v>423</v>
      </c>
      <c r="C256" t="s">
        <v>411</v>
      </c>
    </row>
    <row r="257" spans="1:3" x14ac:dyDescent="0.35">
      <c r="A257">
        <f t="shared" si="3"/>
        <v>256</v>
      </c>
      <c r="B257" t="s">
        <v>424</v>
      </c>
      <c r="C257" t="s">
        <v>133</v>
      </c>
    </row>
    <row r="258" spans="1:3" x14ac:dyDescent="0.35">
      <c r="A258">
        <f t="shared" si="3"/>
        <v>257</v>
      </c>
      <c r="B258" t="s">
        <v>425</v>
      </c>
      <c r="C258" t="s">
        <v>426</v>
      </c>
    </row>
    <row r="259" spans="1:3" x14ac:dyDescent="0.35">
      <c r="A259">
        <f t="shared" si="3"/>
        <v>258</v>
      </c>
      <c r="B259" t="s">
        <v>427</v>
      </c>
      <c r="C259" t="s">
        <v>428</v>
      </c>
    </row>
    <row r="260" spans="1:3" x14ac:dyDescent="0.35">
      <c r="A260">
        <f t="shared" ref="A260:A323" si="4">SUM(A259+1)</f>
        <v>259</v>
      </c>
      <c r="B260" t="s">
        <v>429</v>
      </c>
      <c r="C260" t="s">
        <v>137</v>
      </c>
    </row>
    <row r="261" spans="1:3" x14ac:dyDescent="0.35">
      <c r="A261">
        <f t="shared" si="4"/>
        <v>260</v>
      </c>
      <c r="B261" t="s">
        <v>430</v>
      </c>
      <c r="C261" t="s">
        <v>431</v>
      </c>
    </row>
    <row r="262" spans="1:3" x14ac:dyDescent="0.35">
      <c r="A262">
        <f t="shared" si="4"/>
        <v>261</v>
      </c>
      <c r="B262" t="s">
        <v>432</v>
      </c>
      <c r="C262" t="s">
        <v>433</v>
      </c>
    </row>
    <row r="263" spans="1:3" x14ac:dyDescent="0.35">
      <c r="A263">
        <f t="shared" si="4"/>
        <v>262</v>
      </c>
      <c r="B263" t="s">
        <v>434</v>
      </c>
      <c r="C263" t="s">
        <v>435</v>
      </c>
    </row>
    <row r="264" spans="1:3" x14ac:dyDescent="0.35">
      <c r="A264">
        <f t="shared" si="4"/>
        <v>263</v>
      </c>
      <c r="B264" t="s">
        <v>436</v>
      </c>
      <c r="C264" t="s">
        <v>437</v>
      </c>
    </row>
    <row r="265" spans="1:3" x14ac:dyDescent="0.35">
      <c r="A265">
        <f t="shared" si="4"/>
        <v>264</v>
      </c>
      <c r="B265" t="s">
        <v>438</v>
      </c>
      <c r="C265" t="s">
        <v>91</v>
      </c>
    </row>
    <row r="266" spans="1:3" x14ac:dyDescent="0.35">
      <c r="A266">
        <f t="shared" si="4"/>
        <v>265</v>
      </c>
      <c r="B266" t="s">
        <v>439</v>
      </c>
      <c r="C266" t="s">
        <v>440</v>
      </c>
    </row>
    <row r="267" spans="1:3" x14ac:dyDescent="0.35">
      <c r="A267">
        <f t="shared" si="4"/>
        <v>266</v>
      </c>
      <c r="B267" t="s">
        <v>441</v>
      </c>
      <c r="C267" t="s">
        <v>442</v>
      </c>
    </row>
    <row r="268" spans="1:3" x14ac:dyDescent="0.35">
      <c r="A268">
        <f t="shared" si="4"/>
        <v>267</v>
      </c>
      <c r="B268" t="s">
        <v>443</v>
      </c>
      <c r="C268" t="s">
        <v>442</v>
      </c>
    </row>
    <row r="269" spans="1:3" x14ac:dyDescent="0.35">
      <c r="A269">
        <f t="shared" si="4"/>
        <v>268</v>
      </c>
      <c r="B269" t="s">
        <v>444</v>
      </c>
      <c r="C269" t="s">
        <v>445</v>
      </c>
    </row>
    <row r="270" spans="1:3" x14ac:dyDescent="0.35">
      <c r="A270">
        <f t="shared" si="4"/>
        <v>269</v>
      </c>
      <c r="B270" t="s">
        <v>446</v>
      </c>
      <c r="C270" t="s">
        <v>447</v>
      </c>
    </row>
    <row r="271" spans="1:3" x14ac:dyDescent="0.35">
      <c r="A271">
        <f t="shared" si="4"/>
        <v>270</v>
      </c>
      <c r="B271" t="s">
        <v>448</v>
      </c>
      <c r="C271" t="s">
        <v>449</v>
      </c>
    </row>
    <row r="272" spans="1:3" x14ac:dyDescent="0.35">
      <c r="A272">
        <f t="shared" si="4"/>
        <v>271</v>
      </c>
      <c r="B272" t="s">
        <v>450</v>
      </c>
      <c r="C272" t="s">
        <v>451</v>
      </c>
    </row>
    <row r="273" spans="1:3" x14ac:dyDescent="0.35">
      <c r="A273">
        <f t="shared" si="4"/>
        <v>272</v>
      </c>
      <c r="B273" t="s">
        <v>452</v>
      </c>
      <c r="C273" t="s">
        <v>102</v>
      </c>
    </row>
    <row r="274" spans="1:3" x14ac:dyDescent="0.35">
      <c r="A274">
        <f t="shared" si="4"/>
        <v>273</v>
      </c>
      <c r="B274" t="s">
        <v>453</v>
      </c>
      <c r="C274" t="s">
        <v>454</v>
      </c>
    </row>
    <row r="275" spans="1:3" x14ac:dyDescent="0.35">
      <c r="A275">
        <f t="shared" si="4"/>
        <v>274</v>
      </c>
      <c r="B275" t="s">
        <v>455</v>
      </c>
      <c r="C275" t="s">
        <v>456</v>
      </c>
    </row>
    <row r="276" spans="1:3" x14ac:dyDescent="0.35">
      <c r="A276">
        <f t="shared" si="4"/>
        <v>275</v>
      </c>
      <c r="B276" t="s">
        <v>457</v>
      </c>
      <c r="C276" t="s">
        <v>458</v>
      </c>
    </row>
    <row r="277" spans="1:3" x14ac:dyDescent="0.35">
      <c r="A277">
        <f t="shared" si="4"/>
        <v>276</v>
      </c>
      <c r="B277" t="s">
        <v>459</v>
      </c>
      <c r="C277" t="s">
        <v>460</v>
      </c>
    </row>
    <row r="278" spans="1:3" x14ac:dyDescent="0.35">
      <c r="A278">
        <f t="shared" si="4"/>
        <v>277</v>
      </c>
      <c r="B278" t="s">
        <v>461</v>
      </c>
      <c r="C278" t="s">
        <v>442</v>
      </c>
    </row>
    <row r="279" spans="1:3" x14ac:dyDescent="0.35">
      <c r="A279">
        <f t="shared" si="4"/>
        <v>278</v>
      </c>
      <c r="B279" t="s">
        <v>462</v>
      </c>
      <c r="C279" t="s">
        <v>463</v>
      </c>
    </row>
    <row r="280" spans="1:3" x14ac:dyDescent="0.35">
      <c r="A280">
        <f t="shared" si="4"/>
        <v>279</v>
      </c>
      <c r="B280" t="s">
        <v>464</v>
      </c>
      <c r="C280" t="s">
        <v>463</v>
      </c>
    </row>
    <row r="281" spans="1:3" x14ac:dyDescent="0.35">
      <c r="A281">
        <f t="shared" si="4"/>
        <v>280</v>
      </c>
      <c r="B281" t="s">
        <v>465</v>
      </c>
      <c r="C281" t="s">
        <v>379</v>
      </c>
    </row>
    <row r="282" spans="1:3" x14ac:dyDescent="0.35">
      <c r="A282">
        <f t="shared" si="4"/>
        <v>281</v>
      </c>
      <c r="B282" t="s">
        <v>466</v>
      </c>
      <c r="C282" t="s">
        <v>467</v>
      </c>
    </row>
    <row r="283" spans="1:3" x14ac:dyDescent="0.35">
      <c r="A283">
        <f t="shared" si="4"/>
        <v>282</v>
      </c>
      <c r="B283" t="s">
        <v>468</v>
      </c>
      <c r="C283" t="s">
        <v>467</v>
      </c>
    </row>
    <row r="284" spans="1:3" x14ac:dyDescent="0.35">
      <c r="A284">
        <f t="shared" si="4"/>
        <v>283</v>
      </c>
      <c r="B284" t="s">
        <v>469</v>
      </c>
      <c r="C284" t="s">
        <v>470</v>
      </c>
    </row>
    <row r="285" spans="1:3" x14ac:dyDescent="0.35">
      <c r="A285">
        <f t="shared" si="4"/>
        <v>284</v>
      </c>
      <c r="B285" t="s">
        <v>471</v>
      </c>
      <c r="C285" t="s">
        <v>472</v>
      </c>
    </row>
    <row r="286" spans="1:3" x14ac:dyDescent="0.35">
      <c r="A286">
        <f t="shared" si="4"/>
        <v>285</v>
      </c>
      <c r="B286" t="s">
        <v>473</v>
      </c>
      <c r="C286" t="s">
        <v>442</v>
      </c>
    </row>
    <row r="287" spans="1:3" x14ac:dyDescent="0.35">
      <c r="A287">
        <f t="shared" si="4"/>
        <v>286</v>
      </c>
      <c r="B287" t="s">
        <v>474</v>
      </c>
      <c r="C287" t="s">
        <v>475</v>
      </c>
    </row>
    <row r="288" spans="1:3" x14ac:dyDescent="0.35">
      <c r="A288">
        <f t="shared" si="4"/>
        <v>287</v>
      </c>
      <c r="B288" t="s">
        <v>476</v>
      </c>
      <c r="C288" t="s">
        <v>477</v>
      </c>
    </row>
    <row r="289" spans="1:3" x14ac:dyDescent="0.35">
      <c r="A289">
        <f t="shared" si="4"/>
        <v>288</v>
      </c>
      <c r="B289" t="s">
        <v>478</v>
      </c>
      <c r="C289" t="s">
        <v>445</v>
      </c>
    </row>
    <row r="290" spans="1:3" x14ac:dyDescent="0.35">
      <c r="A290">
        <f t="shared" si="4"/>
        <v>289</v>
      </c>
      <c r="B290" t="s">
        <v>479</v>
      </c>
      <c r="C290" t="s">
        <v>480</v>
      </c>
    </row>
    <row r="291" spans="1:3" x14ac:dyDescent="0.35">
      <c r="A291">
        <f t="shared" si="4"/>
        <v>290</v>
      </c>
      <c r="B291" t="s">
        <v>481</v>
      </c>
      <c r="C291" t="s">
        <v>482</v>
      </c>
    </row>
    <row r="292" spans="1:3" x14ac:dyDescent="0.35">
      <c r="A292">
        <f t="shared" si="4"/>
        <v>291</v>
      </c>
      <c r="B292" t="s">
        <v>483</v>
      </c>
      <c r="C292" t="s">
        <v>484</v>
      </c>
    </row>
    <row r="293" spans="1:3" x14ac:dyDescent="0.35">
      <c r="A293">
        <f t="shared" si="4"/>
        <v>292</v>
      </c>
      <c r="B293" t="s">
        <v>485</v>
      </c>
      <c r="C293" t="s">
        <v>486</v>
      </c>
    </row>
    <row r="294" spans="1:3" x14ac:dyDescent="0.35">
      <c r="A294">
        <f t="shared" si="4"/>
        <v>293</v>
      </c>
      <c r="B294" t="s">
        <v>487</v>
      </c>
      <c r="C294" t="s">
        <v>488</v>
      </c>
    </row>
    <row r="295" spans="1:3" x14ac:dyDescent="0.35">
      <c r="A295">
        <f t="shared" si="4"/>
        <v>294</v>
      </c>
      <c r="B295" t="s">
        <v>489</v>
      </c>
      <c r="C295" t="s">
        <v>490</v>
      </c>
    </row>
    <row r="296" spans="1:3" x14ac:dyDescent="0.35">
      <c r="A296">
        <f t="shared" si="4"/>
        <v>295</v>
      </c>
      <c r="B296" t="s">
        <v>491</v>
      </c>
      <c r="C296" t="s">
        <v>492</v>
      </c>
    </row>
    <row r="297" spans="1:3" x14ac:dyDescent="0.35">
      <c r="A297">
        <f t="shared" si="4"/>
        <v>296</v>
      </c>
      <c r="B297" t="s">
        <v>493</v>
      </c>
      <c r="C297" t="s">
        <v>494</v>
      </c>
    </row>
    <row r="298" spans="1:3" x14ac:dyDescent="0.35">
      <c r="A298">
        <f t="shared" si="4"/>
        <v>297</v>
      </c>
      <c r="B298" t="s">
        <v>495</v>
      </c>
      <c r="C298" t="s">
        <v>496</v>
      </c>
    </row>
    <row r="299" spans="1:3" x14ac:dyDescent="0.35">
      <c r="A299">
        <f t="shared" si="4"/>
        <v>298</v>
      </c>
      <c r="B299" t="s">
        <v>497</v>
      </c>
      <c r="C299" t="s">
        <v>498</v>
      </c>
    </row>
    <row r="300" spans="1:3" x14ac:dyDescent="0.35">
      <c r="A300">
        <f t="shared" si="4"/>
        <v>299</v>
      </c>
      <c r="B300" t="s">
        <v>499</v>
      </c>
      <c r="C300" t="s">
        <v>442</v>
      </c>
    </row>
    <row r="301" spans="1:3" x14ac:dyDescent="0.35">
      <c r="A301">
        <f t="shared" si="4"/>
        <v>300</v>
      </c>
      <c r="B301" t="s">
        <v>500</v>
      </c>
      <c r="C301" t="s">
        <v>501</v>
      </c>
    </row>
    <row r="302" spans="1:3" x14ac:dyDescent="0.35">
      <c r="A302">
        <f t="shared" si="4"/>
        <v>301</v>
      </c>
      <c r="B302" t="s">
        <v>502</v>
      </c>
      <c r="C302" t="s">
        <v>503</v>
      </c>
    </row>
    <row r="303" spans="1:3" x14ac:dyDescent="0.35">
      <c r="A303">
        <f t="shared" si="4"/>
        <v>302</v>
      </c>
      <c r="B303" t="s">
        <v>504</v>
      </c>
      <c r="C303" t="s">
        <v>76</v>
      </c>
    </row>
    <row r="304" spans="1:3" x14ac:dyDescent="0.35">
      <c r="A304">
        <f t="shared" si="4"/>
        <v>303</v>
      </c>
      <c r="B304" t="s">
        <v>505</v>
      </c>
      <c r="C304" t="s">
        <v>506</v>
      </c>
    </row>
    <row r="305" spans="1:3" x14ac:dyDescent="0.35">
      <c r="A305">
        <f t="shared" si="4"/>
        <v>304</v>
      </c>
      <c r="B305" t="s">
        <v>507</v>
      </c>
      <c r="C305" t="s">
        <v>508</v>
      </c>
    </row>
    <row r="306" spans="1:3" x14ac:dyDescent="0.35">
      <c r="A306">
        <f t="shared" si="4"/>
        <v>305</v>
      </c>
      <c r="B306" t="s">
        <v>509</v>
      </c>
      <c r="C306" t="s">
        <v>510</v>
      </c>
    </row>
    <row r="307" spans="1:3" x14ac:dyDescent="0.35">
      <c r="A307">
        <f t="shared" si="4"/>
        <v>306</v>
      </c>
      <c r="B307" t="s">
        <v>511</v>
      </c>
      <c r="C307" t="s">
        <v>512</v>
      </c>
    </row>
    <row r="308" spans="1:3" x14ac:dyDescent="0.35">
      <c r="A308">
        <f t="shared" si="4"/>
        <v>307</v>
      </c>
      <c r="B308" t="s">
        <v>513</v>
      </c>
      <c r="C308" t="s">
        <v>447</v>
      </c>
    </row>
    <row r="309" spans="1:3" x14ac:dyDescent="0.35">
      <c r="A309">
        <f t="shared" si="4"/>
        <v>308</v>
      </c>
      <c r="B309" t="s">
        <v>514</v>
      </c>
      <c r="C309" t="s">
        <v>515</v>
      </c>
    </row>
    <row r="310" spans="1:3" x14ac:dyDescent="0.35">
      <c r="A310">
        <f t="shared" si="4"/>
        <v>309</v>
      </c>
      <c r="B310" t="s">
        <v>516</v>
      </c>
      <c r="C310" t="s">
        <v>517</v>
      </c>
    </row>
    <row r="311" spans="1:3" x14ac:dyDescent="0.35">
      <c r="A311">
        <f t="shared" si="4"/>
        <v>310</v>
      </c>
      <c r="B311" t="s">
        <v>518</v>
      </c>
      <c r="C311" t="s">
        <v>519</v>
      </c>
    </row>
    <row r="312" spans="1:3" x14ac:dyDescent="0.35">
      <c r="A312">
        <f t="shared" si="4"/>
        <v>311</v>
      </c>
      <c r="B312" t="s">
        <v>520</v>
      </c>
      <c r="C312" t="s">
        <v>519</v>
      </c>
    </row>
    <row r="313" spans="1:3" x14ac:dyDescent="0.35">
      <c r="A313">
        <f t="shared" si="4"/>
        <v>312</v>
      </c>
      <c r="B313" t="s">
        <v>521</v>
      </c>
      <c r="C313" t="s">
        <v>522</v>
      </c>
    </row>
    <row r="314" spans="1:3" x14ac:dyDescent="0.35">
      <c r="A314">
        <f t="shared" si="4"/>
        <v>313</v>
      </c>
      <c r="B314" t="s">
        <v>523</v>
      </c>
      <c r="C314" t="s">
        <v>447</v>
      </c>
    </row>
    <row r="315" spans="1:3" x14ac:dyDescent="0.35">
      <c r="A315">
        <f t="shared" si="4"/>
        <v>314</v>
      </c>
      <c r="B315" t="s">
        <v>524</v>
      </c>
      <c r="C315" t="s">
        <v>525</v>
      </c>
    </row>
    <row r="316" spans="1:3" x14ac:dyDescent="0.35">
      <c r="A316">
        <f t="shared" si="4"/>
        <v>315</v>
      </c>
      <c r="B316" t="s">
        <v>526</v>
      </c>
      <c r="C316" t="s">
        <v>447</v>
      </c>
    </row>
    <row r="317" spans="1:3" x14ac:dyDescent="0.35">
      <c r="A317">
        <f t="shared" si="4"/>
        <v>316</v>
      </c>
      <c r="B317" t="s">
        <v>527</v>
      </c>
      <c r="C317" t="s">
        <v>528</v>
      </c>
    </row>
    <row r="318" spans="1:3" x14ac:dyDescent="0.35">
      <c r="A318">
        <f t="shared" si="4"/>
        <v>317</v>
      </c>
      <c r="B318" t="s">
        <v>529</v>
      </c>
      <c r="C318" t="s">
        <v>442</v>
      </c>
    </row>
    <row r="319" spans="1:3" x14ac:dyDescent="0.35">
      <c r="A319">
        <f t="shared" si="4"/>
        <v>318</v>
      </c>
      <c r="B319" t="s">
        <v>530</v>
      </c>
      <c r="C319" t="s">
        <v>531</v>
      </c>
    </row>
    <row r="320" spans="1:3" x14ac:dyDescent="0.35">
      <c r="A320">
        <f t="shared" si="4"/>
        <v>319</v>
      </c>
      <c r="B320" t="s">
        <v>532</v>
      </c>
      <c r="C320" t="s">
        <v>533</v>
      </c>
    </row>
    <row r="321" spans="1:3" x14ac:dyDescent="0.35">
      <c r="A321">
        <f t="shared" si="4"/>
        <v>320</v>
      </c>
      <c r="B321" t="s">
        <v>534</v>
      </c>
      <c r="C321" t="s">
        <v>535</v>
      </c>
    </row>
    <row r="322" spans="1:3" x14ac:dyDescent="0.35">
      <c r="A322">
        <f t="shared" si="4"/>
        <v>321</v>
      </c>
      <c r="B322" t="s">
        <v>536</v>
      </c>
      <c r="C322" t="s">
        <v>537</v>
      </c>
    </row>
    <row r="323" spans="1:3" x14ac:dyDescent="0.35">
      <c r="A323">
        <f t="shared" si="4"/>
        <v>322</v>
      </c>
      <c r="B323" t="s">
        <v>538</v>
      </c>
      <c r="C323" t="s">
        <v>539</v>
      </c>
    </row>
    <row r="324" spans="1:3" x14ac:dyDescent="0.35">
      <c r="A324">
        <f t="shared" ref="A324:A387" si="5">SUM(A323+1)</f>
        <v>323</v>
      </c>
      <c r="B324" t="s">
        <v>540</v>
      </c>
      <c r="C324" t="s">
        <v>541</v>
      </c>
    </row>
    <row r="325" spans="1:3" x14ac:dyDescent="0.35">
      <c r="A325">
        <f t="shared" si="5"/>
        <v>324</v>
      </c>
      <c r="B325" t="s">
        <v>542</v>
      </c>
      <c r="C325" t="s">
        <v>543</v>
      </c>
    </row>
    <row r="326" spans="1:3" x14ac:dyDescent="0.35">
      <c r="A326">
        <f t="shared" si="5"/>
        <v>325</v>
      </c>
      <c r="B326" t="s">
        <v>544</v>
      </c>
      <c r="C326" t="s">
        <v>545</v>
      </c>
    </row>
    <row r="327" spans="1:3" x14ac:dyDescent="0.35">
      <c r="A327">
        <f t="shared" si="5"/>
        <v>326</v>
      </c>
      <c r="B327" t="s">
        <v>546</v>
      </c>
      <c r="C327" t="s">
        <v>547</v>
      </c>
    </row>
    <row r="328" spans="1:3" x14ac:dyDescent="0.35">
      <c r="A328">
        <f t="shared" si="5"/>
        <v>327</v>
      </c>
      <c r="B328" t="s">
        <v>548</v>
      </c>
      <c r="C328" t="s">
        <v>549</v>
      </c>
    </row>
    <row r="329" spans="1:3" x14ac:dyDescent="0.35">
      <c r="A329">
        <f t="shared" si="5"/>
        <v>328</v>
      </c>
      <c r="B329" t="s">
        <v>550</v>
      </c>
      <c r="C329" t="s">
        <v>551</v>
      </c>
    </row>
    <row r="330" spans="1:3" x14ac:dyDescent="0.35">
      <c r="A330">
        <f t="shared" si="5"/>
        <v>329</v>
      </c>
      <c r="B330" t="s">
        <v>552</v>
      </c>
      <c r="C330" t="s">
        <v>551</v>
      </c>
    </row>
    <row r="331" spans="1:3" x14ac:dyDescent="0.35">
      <c r="A331">
        <f t="shared" si="5"/>
        <v>330</v>
      </c>
      <c r="B331" t="s">
        <v>553</v>
      </c>
      <c r="C331" t="s">
        <v>545</v>
      </c>
    </row>
    <row r="332" spans="1:3" x14ac:dyDescent="0.35">
      <c r="A332">
        <f t="shared" si="5"/>
        <v>331</v>
      </c>
      <c r="B332" t="s">
        <v>554</v>
      </c>
      <c r="C332" t="s">
        <v>555</v>
      </c>
    </row>
    <row r="333" spans="1:3" x14ac:dyDescent="0.35">
      <c r="A333">
        <f t="shared" si="5"/>
        <v>332</v>
      </c>
      <c r="B333" t="s">
        <v>556</v>
      </c>
      <c r="C333" t="s">
        <v>557</v>
      </c>
    </row>
    <row r="334" spans="1:3" x14ac:dyDescent="0.35">
      <c r="A334">
        <f t="shared" si="5"/>
        <v>333</v>
      </c>
      <c r="B334" t="s">
        <v>558</v>
      </c>
      <c r="C334" t="s">
        <v>559</v>
      </c>
    </row>
    <row r="335" spans="1:3" x14ac:dyDescent="0.35">
      <c r="A335">
        <f t="shared" si="5"/>
        <v>334</v>
      </c>
      <c r="B335" t="s">
        <v>560</v>
      </c>
      <c r="C335" t="s">
        <v>561</v>
      </c>
    </row>
    <row r="336" spans="1:3" x14ac:dyDescent="0.35">
      <c r="A336">
        <f t="shared" si="5"/>
        <v>335</v>
      </c>
      <c r="B336" t="s">
        <v>562</v>
      </c>
      <c r="C336" t="s">
        <v>563</v>
      </c>
    </row>
    <row r="337" spans="1:3" x14ac:dyDescent="0.35">
      <c r="A337">
        <f t="shared" si="5"/>
        <v>336</v>
      </c>
      <c r="B337" t="s">
        <v>564</v>
      </c>
      <c r="C337" t="s">
        <v>565</v>
      </c>
    </row>
    <row r="338" spans="1:3" x14ac:dyDescent="0.35">
      <c r="A338">
        <f t="shared" si="5"/>
        <v>337</v>
      </c>
      <c r="B338" t="s">
        <v>566</v>
      </c>
      <c r="C338" t="s">
        <v>567</v>
      </c>
    </row>
    <row r="339" spans="1:3" x14ac:dyDescent="0.35">
      <c r="A339">
        <f t="shared" si="5"/>
        <v>338</v>
      </c>
      <c r="B339" t="s">
        <v>568</v>
      </c>
      <c r="C339" t="s">
        <v>569</v>
      </c>
    </row>
    <row r="340" spans="1:3" x14ac:dyDescent="0.35">
      <c r="A340">
        <f t="shared" si="5"/>
        <v>339</v>
      </c>
      <c r="B340" t="s">
        <v>570</v>
      </c>
      <c r="C340" t="s">
        <v>571</v>
      </c>
    </row>
    <row r="341" spans="1:3" x14ac:dyDescent="0.35">
      <c r="A341">
        <f t="shared" si="5"/>
        <v>340</v>
      </c>
      <c r="B341" t="s">
        <v>572</v>
      </c>
      <c r="C341" t="s">
        <v>571</v>
      </c>
    </row>
    <row r="342" spans="1:3" x14ac:dyDescent="0.35">
      <c r="A342">
        <f t="shared" si="5"/>
        <v>341</v>
      </c>
      <c r="B342" t="s">
        <v>573</v>
      </c>
      <c r="C342" t="s">
        <v>484</v>
      </c>
    </row>
    <row r="343" spans="1:3" x14ac:dyDescent="0.35">
      <c r="A343">
        <f t="shared" si="5"/>
        <v>342</v>
      </c>
      <c r="B343" t="s">
        <v>574</v>
      </c>
      <c r="C343" t="s">
        <v>575</v>
      </c>
    </row>
    <row r="344" spans="1:3" x14ac:dyDescent="0.35">
      <c r="A344">
        <f t="shared" si="5"/>
        <v>343</v>
      </c>
      <c r="B344" t="s">
        <v>576</v>
      </c>
      <c r="C344" t="s">
        <v>577</v>
      </c>
    </row>
    <row r="345" spans="1:3" x14ac:dyDescent="0.35">
      <c r="A345">
        <f t="shared" si="5"/>
        <v>344</v>
      </c>
      <c r="B345" t="s">
        <v>578</v>
      </c>
      <c r="C345" t="s">
        <v>577</v>
      </c>
    </row>
    <row r="346" spans="1:3" x14ac:dyDescent="0.35">
      <c r="A346">
        <f t="shared" si="5"/>
        <v>345</v>
      </c>
      <c r="B346" t="s">
        <v>579</v>
      </c>
      <c r="C346" t="s">
        <v>435</v>
      </c>
    </row>
    <row r="347" spans="1:3" x14ac:dyDescent="0.35">
      <c r="A347">
        <f t="shared" si="5"/>
        <v>346</v>
      </c>
      <c r="B347" t="s">
        <v>580</v>
      </c>
      <c r="C347" t="s">
        <v>76</v>
      </c>
    </row>
    <row r="348" spans="1:3" x14ac:dyDescent="0.35">
      <c r="A348">
        <f t="shared" si="5"/>
        <v>347</v>
      </c>
      <c r="B348" t="s">
        <v>581</v>
      </c>
      <c r="C348" t="s">
        <v>582</v>
      </c>
    </row>
    <row r="349" spans="1:3" x14ac:dyDescent="0.35">
      <c r="A349">
        <f t="shared" si="5"/>
        <v>348</v>
      </c>
      <c r="B349" t="s">
        <v>583</v>
      </c>
      <c r="C349" t="s">
        <v>584</v>
      </c>
    </row>
    <row r="350" spans="1:3" x14ac:dyDescent="0.35">
      <c r="A350">
        <f t="shared" si="5"/>
        <v>349</v>
      </c>
      <c r="B350" t="s">
        <v>585</v>
      </c>
      <c r="C350" t="s">
        <v>586</v>
      </c>
    </row>
    <row r="351" spans="1:3" x14ac:dyDescent="0.35">
      <c r="A351">
        <f t="shared" si="5"/>
        <v>350</v>
      </c>
      <c r="B351" t="s">
        <v>587</v>
      </c>
      <c r="C351" t="s">
        <v>588</v>
      </c>
    </row>
    <row r="352" spans="1:3" x14ac:dyDescent="0.35">
      <c r="A352">
        <f t="shared" si="5"/>
        <v>351</v>
      </c>
      <c r="B352" t="s">
        <v>589</v>
      </c>
      <c r="C352" t="s">
        <v>590</v>
      </c>
    </row>
    <row r="353" spans="1:3" x14ac:dyDescent="0.35">
      <c r="A353">
        <f t="shared" si="5"/>
        <v>352</v>
      </c>
      <c r="B353" t="s">
        <v>591</v>
      </c>
      <c r="C353" t="s">
        <v>592</v>
      </c>
    </row>
    <row r="354" spans="1:3" x14ac:dyDescent="0.35">
      <c r="A354">
        <f t="shared" si="5"/>
        <v>353</v>
      </c>
      <c r="B354" t="s">
        <v>593</v>
      </c>
      <c r="C354" t="s">
        <v>594</v>
      </c>
    </row>
    <row r="355" spans="1:3" x14ac:dyDescent="0.35">
      <c r="A355">
        <f t="shared" si="5"/>
        <v>354</v>
      </c>
      <c r="B355" t="s">
        <v>595</v>
      </c>
      <c r="C355" t="s">
        <v>596</v>
      </c>
    </row>
    <row r="356" spans="1:3" x14ac:dyDescent="0.35">
      <c r="A356">
        <f t="shared" si="5"/>
        <v>355</v>
      </c>
      <c r="B356" t="s">
        <v>597</v>
      </c>
      <c r="C356" t="s">
        <v>598</v>
      </c>
    </row>
    <row r="357" spans="1:3" x14ac:dyDescent="0.35">
      <c r="A357">
        <f t="shared" si="5"/>
        <v>356</v>
      </c>
      <c r="B357" t="s">
        <v>599</v>
      </c>
      <c r="C357" t="s">
        <v>600</v>
      </c>
    </row>
    <row r="358" spans="1:3" x14ac:dyDescent="0.35">
      <c r="A358">
        <f t="shared" si="5"/>
        <v>357</v>
      </c>
      <c r="B358" t="s">
        <v>601</v>
      </c>
      <c r="C358" t="s">
        <v>602</v>
      </c>
    </row>
    <row r="359" spans="1:3" x14ac:dyDescent="0.35">
      <c r="A359">
        <f t="shared" si="5"/>
        <v>358</v>
      </c>
      <c r="B359" t="s">
        <v>603</v>
      </c>
      <c r="C359" t="s">
        <v>604</v>
      </c>
    </row>
    <row r="360" spans="1:3" x14ac:dyDescent="0.35">
      <c r="A360">
        <f t="shared" si="5"/>
        <v>359</v>
      </c>
      <c r="B360" t="s">
        <v>605</v>
      </c>
      <c r="C360" t="s">
        <v>606</v>
      </c>
    </row>
    <row r="361" spans="1:3" x14ac:dyDescent="0.35">
      <c r="A361">
        <f t="shared" si="5"/>
        <v>360</v>
      </c>
      <c r="B361" t="s">
        <v>607</v>
      </c>
      <c r="C361" t="s">
        <v>608</v>
      </c>
    </row>
    <row r="362" spans="1:3" x14ac:dyDescent="0.35">
      <c r="A362">
        <f t="shared" si="5"/>
        <v>361</v>
      </c>
      <c r="B362" t="s">
        <v>609</v>
      </c>
      <c r="C362" t="s">
        <v>610</v>
      </c>
    </row>
    <row r="363" spans="1:3" x14ac:dyDescent="0.35">
      <c r="A363">
        <f t="shared" si="5"/>
        <v>362</v>
      </c>
      <c r="B363" t="s">
        <v>611</v>
      </c>
      <c r="C363" t="s">
        <v>612</v>
      </c>
    </row>
    <row r="364" spans="1:3" x14ac:dyDescent="0.35">
      <c r="A364">
        <f t="shared" si="5"/>
        <v>363</v>
      </c>
      <c r="B364" t="s">
        <v>613</v>
      </c>
      <c r="C364" t="s">
        <v>614</v>
      </c>
    </row>
    <row r="365" spans="1:3" x14ac:dyDescent="0.35">
      <c r="A365">
        <f t="shared" si="5"/>
        <v>364</v>
      </c>
      <c r="B365" t="s">
        <v>615</v>
      </c>
      <c r="C365" t="s">
        <v>614</v>
      </c>
    </row>
    <row r="366" spans="1:3" x14ac:dyDescent="0.35">
      <c r="A366">
        <f t="shared" si="5"/>
        <v>365</v>
      </c>
      <c r="B366" t="s">
        <v>616</v>
      </c>
      <c r="C366" t="s">
        <v>617</v>
      </c>
    </row>
    <row r="367" spans="1:3" x14ac:dyDescent="0.35">
      <c r="A367">
        <f t="shared" si="5"/>
        <v>366</v>
      </c>
      <c r="B367" t="s">
        <v>618</v>
      </c>
      <c r="C367" t="s">
        <v>221</v>
      </c>
    </row>
    <row r="368" spans="1:3" x14ac:dyDescent="0.35">
      <c r="A368">
        <f t="shared" si="5"/>
        <v>367</v>
      </c>
      <c r="B368" t="s">
        <v>619</v>
      </c>
      <c r="C368" t="s">
        <v>620</v>
      </c>
    </row>
    <row r="369" spans="1:3" x14ac:dyDescent="0.35">
      <c r="A369">
        <f t="shared" si="5"/>
        <v>368</v>
      </c>
      <c r="B369" t="s">
        <v>621</v>
      </c>
      <c r="C369" t="s">
        <v>460</v>
      </c>
    </row>
    <row r="370" spans="1:3" x14ac:dyDescent="0.35">
      <c r="A370">
        <f t="shared" si="5"/>
        <v>369</v>
      </c>
      <c r="B370" t="s">
        <v>622</v>
      </c>
      <c r="C370" t="s">
        <v>460</v>
      </c>
    </row>
    <row r="371" spans="1:3" x14ac:dyDescent="0.35">
      <c r="A371">
        <f t="shared" si="5"/>
        <v>370</v>
      </c>
      <c r="B371" t="s">
        <v>623</v>
      </c>
      <c r="C371" t="s">
        <v>460</v>
      </c>
    </row>
    <row r="372" spans="1:3" x14ac:dyDescent="0.35">
      <c r="A372">
        <f t="shared" si="5"/>
        <v>371</v>
      </c>
      <c r="B372" t="s">
        <v>624</v>
      </c>
      <c r="C372" t="s">
        <v>460</v>
      </c>
    </row>
    <row r="373" spans="1:3" x14ac:dyDescent="0.35">
      <c r="A373">
        <f t="shared" si="5"/>
        <v>372</v>
      </c>
      <c r="B373" t="s">
        <v>625</v>
      </c>
      <c r="C373" t="s">
        <v>620</v>
      </c>
    </row>
    <row r="374" spans="1:3" x14ac:dyDescent="0.35">
      <c r="A374">
        <f t="shared" si="5"/>
        <v>373</v>
      </c>
      <c r="B374" t="s">
        <v>626</v>
      </c>
      <c r="C374" t="s">
        <v>460</v>
      </c>
    </row>
    <row r="375" spans="1:3" x14ac:dyDescent="0.35">
      <c r="A375">
        <f t="shared" si="5"/>
        <v>374</v>
      </c>
      <c r="B375" t="s">
        <v>627</v>
      </c>
      <c r="C375" t="s">
        <v>93</v>
      </c>
    </row>
    <row r="376" spans="1:3" x14ac:dyDescent="0.35">
      <c r="A376">
        <f t="shared" si="5"/>
        <v>375</v>
      </c>
      <c r="B376" t="s">
        <v>628</v>
      </c>
      <c r="C376" t="s">
        <v>629</v>
      </c>
    </row>
    <row r="377" spans="1:3" x14ac:dyDescent="0.35">
      <c r="A377">
        <f t="shared" si="5"/>
        <v>376</v>
      </c>
      <c r="B377" t="s">
        <v>630</v>
      </c>
      <c r="C377" t="s">
        <v>629</v>
      </c>
    </row>
    <row r="378" spans="1:3" x14ac:dyDescent="0.35">
      <c r="A378">
        <f t="shared" si="5"/>
        <v>377</v>
      </c>
      <c r="B378" t="s">
        <v>631</v>
      </c>
      <c r="C378" t="s">
        <v>629</v>
      </c>
    </row>
    <row r="379" spans="1:3" x14ac:dyDescent="0.35">
      <c r="A379">
        <f t="shared" si="5"/>
        <v>378</v>
      </c>
      <c r="B379" t="s">
        <v>632</v>
      </c>
      <c r="C379" t="s">
        <v>629</v>
      </c>
    </row>
    <row r="380" spans="1:3" x14ac:dyDescent="0.35">
      <c r="A380">
        <f t="shared" si="5"/>
        <v>379</v>
      </c>
      <c r="B380" t="s">
        <v>633</v>
      </c>
      <c r="C380" t="s">
        <v>634</v>
      </c>
    </row>
    <row r="381" spans="1:3" x14ac:dyDescent="0.35">
      <c r="A381">
        <f t="shared" si="5"/>
        <v>380</v>
      </c>
      <c r="B381" t="s">
        <v>635</v>
      </c>
      <c r="C381" t="s">
        <v>636</v>
      </c>
    </row>
    <row r="382" spans="1:3" x14ac:dyDescent="0.35">
      <c r="A382">
        <f t="shared" si="5"/>
        <v>381</v>
      </c>
      <c r="B382" t="s">
        <v>637</v>
      </c>
      <c r="C382" t="s">
        <v>638</v>
      </c>
    </row>
    <row r="383" spans="1:3" x14ac:dyDescent="0.35">
      <c r="A383">
        <f t="shared" si="5"/>
        <v>382</v>
      </c>
      <c r="B383" t="s">
        <v>639</v>
      </c>
      <c r="C383" t="s">
        <v>330</v>
      </c>
    </row>
    <row r="384" spans="1:3" x14ac:dyDescent="0.35">
      <c r="A384">
        <f t="shared" si="5"/>
        <v>383</v>
      </c>
      <c r="B384" t="s">
        <v>640</v>
      </c>
      <c r="C384" t="s">
        <v>641</v>
      </c>
    </row>
    <row r="385" spans="1:3" x14ac:dyDescent="0.35">
      <c r="A385">
        <f t="shared" si="5"/>
        <v>384</v>
      </c>
      <c r="B385" t="s">
        <v>642</v>
      </c>
      <c r="C385" t="s">
        <v>643</v>
      </c>
    </row>
    <row r="386" spans="1:3" x14ac:dyDescent="0.35">
      <c r="A386">
        <f t="shared" si="5"/>
        <v>385</v>
      </c>
      <c r="B386" t="s">
        <v>644</v>
      </c>
      <c r="C386" t="s">
        <v>645</v>
      </c>
    </row>
    <row r="387" spans="1:3" x14ac:dyDescent="0.35">
      <c r="A387">
        <f t="shared" si="5"/>
        <v>386</v>
      </c>
      <c r="B387" t="s">
        <v>646</v>
      </c>
      <c r="C387" t="s">
        <v>647</v>
      </c>
    </row>
    <row r="388" spans="1:3" x14ac:dyDescent="0.35">
      <c r="A388">
        <f t="shared" ref="A388:A451" si="6">SUM(A387+1)</f>
        <v>387</v>
      </c>
      <c r="B388" t="s">
        <v>648</v>
      </c>
      <c r="C388" t="s">
        <v>649</v>
      </c>
    </row>
    <row r="389" spans="1:3" x14ac:dyDescent="0.35">
      <c r="A389">
        <f t="shared" si="6"/>
        <v>388</v>
      </c>
      <c r="B389" t="s">
        <v>650</v>
      </c>
      <c r="C389" t="s">
        <v>651</v>
      </c>
    </row>
    <row r="390" spans="1:3" x14ac:dyDescent="0.35">
      <c r="A390">
        <f t="shared" si="6"/>
        <v>389</v>
      </c>
      <c r="B390" t="s">
        <v>652</v>
      </c>
      <c r="C390" t="s">
        <v>653</v>
      </c>
    </row>
    <row r="391" spans="1:3" x14ac:dyDescent="0.35">
      <c r="A391">
        <f t="shared" si="6"/>
        <v>390</v>
      </c>
      <c r="B391" t="s">
        <v>654</v>
      </c>
      <c r="C391" t="s">
        <v>655</v>
      </c>
    </row>
    <row r="392" spans="1:3" x14ac:dyDescent="0.35">
      <c r="A392">
        <f t="shared" si="6"/>
        <v>391</v>
      </c>
      <c r="B392" t="s">
        <v>656</v>
      </c>
      <c r="C392" t="s">
        <v>657</v>
      </c>
    </row>
    <row r="393" spans="1:3" x14ac:dyDescent="0.35">
      <c r="A393">
        <f t="shared" si="6"/>
        <v>392</v>
      </c>
      <c r="B393" t="s">
        <v>658</v>
      </c>
      <c r="C393" t="s">
        <v>274</v>
      </c>
    </row>
    <row r="394" spans="1:3" x14ac:dyDescent="0.35">
      <c r="A394">
        <f t="shared" si="6"/>
        <v>393</v>
      </c>
      <c r="B394" t="s">
        <v>659</v>
      </c>
      <c r="C394" t="s">
        <v>660</v>
      </c>
    </row>
    <row r="395" spans="1:3" x14ac:dyDescent="0.35">
      <c r="A395">
        <f t="shared" si="6"/>
        <v>394</v>
      </c>
      <c r="B395" t="s">
        <v>661</v>
      </c>
      <c r="C395" t="s">
        <v>662</v>
      </c>
    </row>
    <row r="396" spans="1:3" x14ac:dyDescent="0.35">
      <c r="A396">
        <f t="shared" si="6"/>
        <v>395</v>
      </c>
      <c r="B396" t="s">
        <v>663</v>
      </c>
      <c r="C396" t="s">
        <v>664</v>
      </c>
    </row>
    <row r="397" spans="1:3" x14ac:dyDescent="0.35">
      <c r="A397">
        <f t="shared" si="6"/>
        <v>396</v>
      </c>
      <c r="B397" t="s">
        <v>665</v>
      </c>
      <c r="C397" t="s">
        <v>666</v>
      </c>
    </row>
    <row r="398" spans="1:3" x14ac:dyDescent="0.35">
      <c r="A398">
        <f t="shared" si="6"/>
        <v>397</v>
      </c>
      <c r="B398" t="s">
        <v>667</v>
      </c>
      <c r="C398" t="s">
        <v>668</v>
      </c>
    </row>
    <row r="399" spans="1:3" x14ac:dyDescent="0.35">
      <c r="A399">
        <f t="shared" si="6"/>
        <v>398</v>
      </c>
      <c r="B399" t="s">
        <v>669</v>
      </c>
      <c r="C399" t="s">
        <v>668</v>
      </c>
    </row>
    <row r="400" spans="1:3" x14ac:dyDescent="0.35">
      <c r="A400">
        <f t="shared" si="6"/>
        <v>399</v>
      </c>
      <c r="B400" t="s">
        <v>670</v>
      </c>
      <c r="C400" t="s">
        <v>671</v>
      </c>
    </row>
    <row r="401" spans="1:3" x14ac:dyDescent="0.35">
      <c r="A401">
        <f t="shared" si="6"/>
        <v>400</v>
      </c>
      <c r="B401" t="s">
        <v>672</v>
      </c>
      <c r="C401" t="s">
        <v>673</v>
      </c>
    </row>
    <row r="402" spans="1:3" x14ac:dyDescent="0.35">
      <c r="A402">
        <f t="shared" si="6"/>
        <v>401</v>
      </c>
      <c r="B402" t="s">
        <v>674</v>
      </c>
      <c r="C402" t="s">
        <v>675</v>
      </c>
    </row>
    <row r="403" spans="1:3" x14ac:dyDescent="0.35">
      <c r="A403">
        <f t="shared" si="6"/>
        <v>402</v>
      </c>
      <c r="B403" t="s">
        <v>676</v>
      </c>
      <c r="C403" t="s">
        <v>677</v>
      </c>
    </row>
    <row r="404" spans="1:3" x14ac:dyDescent="0.35">
      <c r="A404">
        <f t="shared" si="6"/>
        <v>403</v>
      </c>
      <c r="B404" t="s">
        <v>678</v>
      </c>
      <c r="C404" t="s">
        <v>679</v>
      </c>
    </row>
    <row r="405" spans="1:3" x14ac:dyDescent="0.35">
      <c r="A405">
        <f t="shared" si="6"/>
        <v>404</v>
      </c>
      <c r="B405" t="s">
        <v>680</v>
      </c>
      <c r="C405" t="s">
        <v>681</v>
      </c>
    </row>
    <row r="406" spans="1:3" x14ac:dyDescent="0.35">
      <c r="A406">
        <f t="shared" si="6"/>
        <v>405</v>
      </c>
      <c r="B406" t="s">
        <v>682</v>
      </c>
      <c r="C406" t="s">
        <v>683</v>
      </c>
    </row>
    <row r="407" spans="1:3" x14ac:dyDescent="0.35">
      <c r="A407">
        <f t="shared" si="6"/>
        <v>406</v>
      </c>
      <c r="B407" t="s">
        <v>684</v>
      </c>
      <c r="C407" t="s">
        <v>685</v>
      </c>
    </row>
    <row r="408" spans="1:3" x14ac:dyDescent="0.35">
      <c r="A408">
        <f t="shared" si="6"/>
        <v>407</v>
      </c>
      <c r="B408" t="s">
        <v>686</v>
      </c>
      <c r="C408" t="s">
        <v>687</v>
      </c>
    </row>
    <row r="409" spans="1:3" x14ac:dyDescent="0.35">
      <c r="A409">
        <f t="shared" si="6"/>
        <v>408</v>
      </c>
      <c r="B409" t="s">
        <v>688</v>
      </c>
      <c r="C409" t="s">
        <v>689</v>
      </c>
    </row>
    <row r="410" spans="1:3" x14ac:dyDescent="0.35">
      <c r="A410">
        <f t="shared" si="6"/>
        <v>409</v>
      </c>
      <c r="B410" t="s">
        <v>690</v>
      </c>
      <c r="C410" t="s">
        <v>691</v>
      </c>
    </row>
    <row r="411" spans="1:3" x14ac:dyDescent="0.35">
      <c r="A411">
        <f t="shared" si="6"/>
        <v>410</v>
      </c>
      <c r="B411" t="s">
        <v>692</v>
      </c>
      <c r="C411" t="s">
        <v>693</v>
      </c>
    </row>
    <row r="412" spans="1:3" x14ac:dyDescent="0.35">
      <c r="A412">
        <f t="shared" si="6"/>
        <v>411</v>
      </c>
      <c r="B412" t="s">
        <v>694</v>
      </c>
      <c r="C412" t="s">
        <v>695</v>
      </c>
    </row>
    <row r="413" spans="1:3" x14ac:dyDescent="0.35">
      <c r="A413">
        <f t="shared" si="6"/>
        <v>412</v>
      </c>
      <c r="B413" t="s">
        <v>696</v>
      </c>
      <c r="C413" t="s">
        <v>697</v>
      </c>
    </row>
    <row r="414" spans="1:3" x14ac:dyDescent="0.35">
      <c r="A414">
        <f t="shared" si="6"/>
        <v>413</v>
      </c>
      <c r="B414" t="s">
        <v>698</v>
      </c>
      <c r="C414" t="s">
        <v>699</v>
      </c>
    </row>
    <row r="415" spans="1:3" x14ac:dyDescent="0.35">
      <c r="A415">
        <f t="shared" si="6"/>
        <v>414</v>
      </c>
      <c r="B415" t="s">
        <v>700</v>
      </c>
      <c r="C415" t="s">
        <v>701</v>
      </c>
    </row>
    <row r="416" spans="1:3" x14ac:dyDescent="0.35">
      <c r="A416">
        <f t="shared" si="6"/>
        <v>415</v>
      </c>
      <c r="B416" t="s">
        <v>702</v>
      </c>
      <c r="C416" t="s">
        <v>703</v>
      </c>
    </row>
    <row r="417" spans="1:3" x14ac:dyDescent="0.35">
      <c r="A417">
        <f t="shared" si="6"/>
        <v>416</v>
      </c>
      <c r="B417" t="s">
        <v>704</v>
      </c>
      <c r="C417" t="s">
        <v>705</v>
      </c>
    </row>
    <row r="418" spans="1:3" x14ac:dyDescent="0.35">
      <c r="A418">
        <f t="shared" si="6"/>
        <v>417</v>
      </c>
      <c r="B418" t="s">
        <v>706</v>
      </c>
      <c r="C418" t="s">
        <v>705</v>
      </c>
    </row>
    <row r="419" spans="1:3" x14ac:dyDescent="0.35">
      <c r="A419">
        <f t="shared" si="6"/>
        <v>418</v>
      </c>
      <c r="B419" t="s">
        <v>707</v>
      </c>
      <c r="C419" t="s">
        <v>705</v>
      </c>
    </row>
    <row r="420" spans="1:3" x14ac:dyDescent="0.35">
      <c r="A420">
        <f t="shared" si="6"/>
        <v>419</v>
      </c>
      <c r="B420" t="s">
        <v>708</v>
      </c>
      <c r="C420" t="s">
        <v>703</v>
      </c>
    </row>
    <row r="421" spans="1:3" x14ac:dyDescent="0.35">
      <c r="A421">
        <f t="shared" si="6"/>
        <v>420</v>
      </c>
      <c r="B421" t="s">
        <v>709</v>
      </c>
      <c r="C421" t="s">
        <v>157</v>
      </c>
    </row>
    <row r="422" spans="1:3" x14ac:dyDescent="0.35">
      <c r="A422">
        <f t="shared" si="6"/>
        <v>421</v>
      </c>
      <c r="B422" t="s">
        <v>710</v>
      </c>
      <c r="C422" t="s">
        <v>711</v>
      </c>
    </row>
    <row r="423" spans="1:3" x14ac:dyDescent="0.35">
      <c r="A423">
        <f t="shared" si="6"/>
        <v>422</v>
      </c>
      <c r="B423" t="s">
        <v>712</v>
      </c>
      <c r="C423" t="s">
        <v>713</v>
      </c>
    </row>
    <row r="424" spans="1:3" x14ac:dyDescent="0.35">
      <c r="A424">
        <f t="shared" si="6"/>
        <v>423</v>
      </c>
      <c r="B424" t="s">
        <v>714</v>
      </c>
      <c r="C424" t="s">
        <v>715</v>
      </c>
    </row>
    <row r="425" spans="1:3" x14ac:dyDescent="0.35">
      <c r="A425">
        <f t="shared" si="6"/>
        <v>424</v>
      </c>
      <c r="B425" t="s">
        <v>716</v>
      </c>
      <c r="C425" t="s">
        <v>76</v>
      </c>
    </row>
    <row r="426" spans="1:3" x14ac:dyDescent="0.35">
      <c r="A426">
        <f t="shared" si="6"/>
        <v>425</v>
      </c>
      <c r="B426" t="s">
        <v>717</v>
      </c>
      <c r="C426" t="s">
        <v>718</v>
      </c>
    </row>
    <row r="427" spans="1:3" x14ac:dyDescent="0.35">
      <c r="A427">
        <f t="shared" si="6"/>
        <v>426</v>
      </c>
      <c r="B427" t="s">
        <v>719</v>
      </c>
      <c r="C427" t="s">
        <v>105</v>
      </c>
    </row>
    <row r="428" spans="1:3" x14ac:dyDescent="0.35">
      <c r="A428">
        <f t="shared" si="6"/>
        <v>427</v>
      </c>
      <c r="B428" t="s">
        <v>720</v>
      </c>
      <c r="C428" t="s">
        <v>721</v>
      </c>
    </row>
    <row r="429" spans="1:3" x14ac:dyDescent="0.35">
      <c r="A429">
        <f t="shared" si="6"/>
        <v>428</v>
      </c>
      <c r="B429" t="s">
        <v>722</v>
      </c>
      <c r="C429" t="s">
        <v>653</v>
      </c>
    </row>
    <row r="430" spans="1:3" x14ac:dyDescent="0.35">
      <c r="A430">
        <f t="shared" si="6"/>
        <v>429</v>
      </c>
      <c r="B430" t="s">
        <v>723</v>
      </c>
      <c r="C430" t="s">
        <v>510</v>
      </c>
    </row>
    <row r="431" spans="1:3" x14ac:dyDescent="0.35">
      <c r="A431">
        <f t="shared" si="6"/>
        <v>430</v>
      </c>
      <c r="B431" t="s">
        <v>724</v>
      </c>
      <c r="C431" t="s">
        <v>172</v>
      </c>
    </row>
    <row r="432" spans="1:3" x14ac:dyDescent="0.35">
      <c r="A432">
        <f t="shared" si="6"/>
        <v>431</v>
      </c>
      <c r="B432" t="s">
        <v>725</v>
      </c>
      <c r="C432" t="s">
        <v>726</v>
      </c>
    </row>
    <row r="433" spans="1:3" x14ac:dyDescent="0.35">
      <c r="A433">
        <f t="shared" si="6"/>
        <v>432</v>
      </c>
      <c r="B433" t="s">
        <v>727</v>
      </c>
      <c r="C433" t="s">
        <v>565</v>
      </c>
    </row>
    <row r="434" spans="1:3" x14ac:dyDescent="0.35">
      <c r="A434">
        <f t="shared" si="6"/>
        <v>433</v>
      </c>
      <c r="B434" t="s">
        <v>728</v>
      </c>
      <c r="C434" t="s">
        <v>442</v>
      </c>
    </row>
    <row r="435" spans="1:3" x14ac:dyDescent="0.35">
      <c r="A435">
        <f t="shared" si="6"/>
        <v>434</v>
      </c>
      <c r="B435" t="s">
        <v>729</v>
      </c>
      <c r="C435" t="s">
        <v>730</v>
      </c>
    </row>
    <row r="436" spans="1:3" x14ac:dyDescent="0.35">
      <c r="A436">
        <f t="shared" si="6"/>
        <v>435</v>
      </c>
      <c r="B436" t="s">
        <v>731</v>
      </c>
      <c r="C436" t="s">
        <v>732</v>
      </c>
    </row>
    <row r="437" spans="1:3" x14ac:dyDescent="0.35">
      <c r="A437">
        <f t="shared" si="6"/>
        <v>436</v>
      </c>
      <c r="B437" t="s">
        <v>733</v>
      </c>
      <c r="C437" t="s">
        <v>734</v>
      </c>
    </row>
    <row r="438" spans="1:3" x14ac:dyDescent="0.35">
      <c r="A438">
        <f t="shared" si="6"/>
        <v>437</v>
      </c>
      <c r="B438" t="s">
        <v>735</v>
      </c>
      <c r="C438" t="s">
        <v>703</v>
      </c>
    </row>
    <row r="439" spans="1:3" x14ac:dyDescent="0.35">
      <c r="A439">
        <f t="shared" si="6"/>
        <v>438</v>
      </c>
      <c r="B439" t="s">
        <v>736</v>
      </c>
      <c r="C439" t="s">
        <v>737</v>
      </c>
    </row>
    <row r="440" spans="1:3" x14ac:dyDescent="0.35">
      <c r="A440">
        <f t="shared" si="6"/>
        <v>439</v>
      </c>
      <c r="B440" t="s">
        <v>738</v>
      </c>
      <c r="C440" t="s">
        <v>739</v>
      </c>
    </row>
    <row r="441" spans="1:3" x14ac:dyDescent="0.35">
      <c r="A441">
        <f t="shared" si="6"/>
        <v>440</v>
      </c>
      <c r="B441" t="s">
        <v>740</v>
      </c>
      <c r="C441" t="s">
        <v>739</v>
      </c>
    </row>
    <row r="442" spans="1:3" x14ac:dyDescent="0.35">
      <c r="A442">
        <f t="shared" si="6"/>
        <v>441</v>
      </c>
      <c r="B442" t="s">
        <v>741</v>
      </c>
      <c r="C442" t="s">
        <v>742</v>
      </c>
    </row>
    <row r="443" spans="1:3" x14ac:dyDescent="0.35">
      <c r="A443">
        <f t="shared" si="6"/>
        <v>442</v>
      </c>
      <c r="B443" t="s">
        <v>743</v>
      </c>
      <c r="C443" t="s">
        <v>379</v>
      </c>
    </row>
    <row r="444" spans="1:3" x14ac:dyDescent="0.35">
      <c r="A444">
        <f t="shared" si="6"/>
        <v>443</v>
      </c>
      <c r="B444" t="s">
        <v>744</v>
      </c>
      <c r="C444" t="s">
        <v>586</v>
      </c>
    </row>
    <row r="445" spans="1:3" x14ac:dyDescent="0.35">
      <c r="A445">
        <f t="shared" si="6"/>
        <v>444</v>
      </c>
      <c r="B445" t="s">
        <v>745</v>
      </c>
      <c r="C445" t="s">
        <v>746</v>
      </c>
    </row>
    <row r="446" spans="1:3" x14ac:dyDescent="0.35">
      <c r="A446">
        <f t="shared" si="6"/>
        <v>445</v>
      </c>
      <c r="B446" t="s">
        <v>747</v>
      </c>
      <c r="C446" t="s">
        <v>748</v>
      </c>
    </row>
    <row r="447" spans="1:3" x14ac:dyDescent="0.35">
      <c r="A447">
        <f t="shared" si="6"/>
        <v>446</v>
      </c>
      <c r="B447" t="s">
        <v>749</v>
      </c>
      <c r="C447" t="s">
        <v>750</v>
      </c>
    </row>
    <row r="448" spans="1:3" x14ac:dyDescent="0.35">
      <c r="A448">
        <f t="shared" si="6"/>
        <v>447</v>
      </c>
      <c r="B448" t="s">
        <v>751</v>
      </c>
      <c r="C448" t="s">
        <v>752</v>
      </c>
    </row>
    <row r="449" spans="1:3" x14ac:dyDescent="0.35">
      <c r="A449">
        <f t="shared" si="6"/>
        <v>448</v>
      </c>
      <c r="B449" t="s">
        <v>753</v>
      </c>
      <c r="C449" t="s">
        <v>754</v>
      </c>
    </row>
    <row r="450" spans="1:3" x14ac:dyDescent="0.35">
      <c r="A450">
        <f t="shared" si="6"/>
        <v>449</v>
      </c>
      <c r="B450" t="s">
        <v>755</v>
      </c>
      <c r="C450" t="s">
        <v>754</v>
      </c>
    </row>
    <row r="451" spans="1:3" x14ac:dyDescent="0.35">
      <c r="A451">
        <f t="shared" si="6"/>
        <v>450</v>
      </c>
      <c r="B451" t="s">
        <v>756</v>
      </c>
      <c r="C451" t="s">
        <v>757</v>
      </c>
    </row>
    <row r="452" spans="1:3" x14ac:dyDescent="0.35">
      <c r="A452">
        <f t="shared" ref="A452:A478" si="7">SUM(A451+1)</f>
        <v>451</v>
      </c>
      <c r="B452" t="s">
        <v>758</v>
      </c>
      <c r="C452" t="s">
        <v>442</v>
      </c>
    </row>
    <row r="453" spans="1:3" x14ac:dyDescent="0.35">
      <c r="A453">
        <f t="shared" si="7"/>
        <v>452</v>
      </c>
      <c r="B453" t="s">
        <v>759</v>
      </c>
      <c r="C453" t="s">
        <v>760</v>
      </c>
    </row>
    <row r="454" spans="1:3" x14ac:dyDescent="0.35">
      <c r="A454">
        <f t="shared" si="7"/>
        <v>453</v>
      </c>
      <c r="B454" t="s">
        <v>761</v>
      </c>
      <c r="C454" t="s">
        <v>762</v>
      </c>
    </row>
    <row r="455" spans="1:3" x14ac:dyDescent="0.35">
      <c r="A455">
        <f t="shared" si="7"/>
        <v>454</v>
      </c>
      <c r="B455" t="s">
        <v>763</v>
      </c>
      <c r="C455" t="s">
        <v>764</v>
      </c>
    </row>
    <row r="456" spans="1:3" x14ac:dyDescent="0.35">
      <c r="A456">
        <f t="shared" si="7"/>
        <v>455</v>
      </c>
      <c r="B456" t="s">
        <v>765</v>
      </c>
      <c r="C456" t="s">
        <v>766</v>
      </c>
    </row>
    <row r="457" spans="1:3" x14ac:dyDescent="0.35">
      <c r="A457">
        <f t="shared" si="7"/>
        <v>456</v>
      </c>
      <c r="B457" t="s">
        <v>767</v>
      </c>
      <c r="C457" t="s">
        <v>561</v>
      </c>
    </row>
    <row r="458" spans="1:3" x14ac:dyDescent="0.35">
      <c r="A458">
        <f t="shared" si="7"/>
        <v>457</v>
      </c>
      <c r="B458" t="s">
        <v>768</v>
      </c>
      <c r="C458" t="s">
        <v>76</v>
      </c>
    </row>
    <row r="459" spans="1:3" x14ac:dyDescent="0.35">
      <c r="A459">
        <f t="shared" si="7"/>
        <v>458</v>
      </c>
      <c r="B459" t="s">
        <v>769</v>
      </c>
      <c r="C459" t="s">
        <v>770</v>
      </c>
    </row>
    <row r="460" spans="1:3" x14ac:dyDescent="0.35">
      <c r="A460">
        <f t="shared" si="7"/>
        <v>459</v>
      </c>
      <c r="B460" t="s">
        <v>771</v>
      </c>
      <c r="C460" t="s">
        <v>772</v>
      </c>
    </row>
    <row r="461" spans="1:3" x14ac:dyDescent="0.35">
      <c r="A461">
        <f t="shared" si="7"/>
        <v>460</v>
      </c>
      <c r="B461" t="s">
        <v>773</v>
      </c>
      <c r="C461" t="s">
        <v>772</v>
      </c>
    </row>
    <row r="462" spans="1:3" x14ac:dyDescent="0.35">
      <c r="A462">
        <f t="shared" si="7"/>
        <v>461</v>
      </c>
      <c r="B462" t="s">
        <v>774</v>
      </c>
      <c r="C462" t="s">
        <v>772</v>
      </c>
    </row>
    <row r="463" spans="1:3" x14ac:dyDescent="0.35">
      <c r="A463">
        <f t="shared" si="7"/>
        <v>462</v>
      </c>
      <c r="B463" t="s">
        <v>775</v>
      </c>
      <c r="C463" t="s">
        <v>772</v>
      </c>
    </row>
    <row r="464" spans="1:3" x14ac:dyDescent="0.35">
      <c r="A464">
        <f t="shared" si="7"/>
        <v>463</v>
      </c>
      <c r="B464" t="s">
        <v>776</v>
      </c>
      <c r="C464" t="s">
        <v>772</v>
      </c>
    </row>
    <row r="465" spans="1:3" x14ac:dyDescent="0.35">
      <c r="A465">
        <f t="shared" si="7"/>
        <v>464</v>
      </c>
      <c r="B465" t="s">
        <v>777</v>
      </c>
      <c r="C465" t="s">
        <v>594</v>
      </c>
    </row>
    <row r="466" spans="1:3" x14ac:dyDescent="0.35">
      <c r="A466">
        <f t="shared" si="7"/>
        <v>465</v>
      </c>
      <c r="B466" t="s">
        <v>778</v>
      </c>
      <c r="C466" t="s">
        <v>779</v>
      </c>
    </row>
    <row r="467" spans="1:3" x14ac:dyDescent="0.35">
      <c r="A467">
        <f t="shared" si="7"/>
        <v>466</v>
      </c>
      <c r="B467" t="s">
        <v>780</v>
      </c>
      <c r="C467" t="s">
        <v>781</v>
      </c>
    </row>
    <row r="468" spans="1:3" x14ac:dyDescent="0.35">
      <c r="A468">
        <f t="shared" si="7"/>
        <v>467</v>
      </c>
      <c r="B468" t="s">
        <v>782</v>
      </c>
      <c r="C468" t="s">
        <v>783</v>
      </c>
    </row>
    <row r="469" spans="1:3" x14ac:dyDescent="0.35">
      <c r="A469">
        <f t="shared" si="7"/>
        <v>468</v>
      </c>
      <c r="B469" t="s">
        <v>784</v>
      </c>
      <c r="C469" t="s">
        <v>785</v>
      </c>
    </row>
    <row r="470" spans="1:3" x14ac:dyDescent="0.35">
      <c r="A470">
        <f t="shared" si="7"/>
        <v>469</v>
      </c>
      <c r="B470" t="s">
        <v>786</v>
      </c>
      <c r="C470" t="s">
        <v>785</v>
      </c>
    </row>
    <row r="471" spans="1:3" x14ac:dyDescent="0.35">
      <c r="A471">
        <f t="shared" si="7"/>
        <v>470</v>
      </c>
      <c r="B471" t="s">
        <v>787</v>
      </c>
      <c r="C471" t="s">
        <v>788</v>
      </c>
    </row>
    <row r="472" spans="1:3" x14ac:dyDescent="0.35">
      <c r="A472">
        <f t="shared" si="7"/>
        <v>471</v>
      </c>
      <c r="B472" t="s">
        <v>789</v>
      </c>
      <c r="C472" t="s">
        <v>790</v>
      </c>
    </row>
    <row r="473" spans="1:3" x14ac:dyDescent="0.35">
      <c r="A473">
        <f t="shared" si="7"/>
        <v>472</v>
      </c>
      <c r="B473" t="s">
        <v>791</v>
      </c>
      <c r="C473" t="s">
        <v>792</v>
      </c>
    </row>
    <row r="474" spans="1:3" x14ac:dyDescent="0.35">
      <c r="A474">
        <f t="shared" si="7"/>
        <v>473</v>
      </c>
      <c r="B474" t="s">
        <v>793</v>
      </c>
      <c r="C474" t="s">
        <v>794</v>
      </c>
    </row>
    <row r="475" spans="1:3" x14ac:dyDescent="0.35">
      <c r="A475">
        <f t="shared" si="7"/>
        <v>474</v>
      </c>
      <c r="B475" t="s">
        <v>795</v>
      </c>
      <c r="C475" t="s">
        <v>796</v>
      </c>
    </row>
    <row r="476" spans="1:3" x14ac:dyDescent="0.35">
      <c r="A476">
        <f t="shared" si="7"/>
        <v>475</v>
      </c>
      <c r="B476" t="s">
        <v>797</v>
      </c>
      <c r="C476" t="s">
        <v>798</v>
      </c>
    </row>
    <row r="477" spans="1:3" x14ac:dyDescent="0.35">
      <c r="A477">
        <f t="shared" si="7"/>
        <v>476</v>
      </c>
      <c r="B477" t="s">
        <v>799</v>
      </c>
      <c r="C477" t="s">
        <v>798</v>
      </c>
    </row>
    <row r="478" spans="1:3" x14ac:dyDescent="0.35">
      <c r="A478">
        <f t="shared" si="7"/>
        <v>477</v>
      </c>
      <c r="B478" t="s">
        <v>800</v>
      </c>
      <c r="C478" t="s">
        <v>801</v>
      </c>
    </row>
  </sheetData>
  <autoFilter ref="A1:C478" xr:uid="{F4CFC7A0-5F65-42AE-9D0F-F77130B908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DA1E7-C6F3-460D-8CA1-0C710BB53610}">
  <dimension ref="A1:D478"/>
  <sheetViews>
    <sheetView topLeftCell="C1" zoomScaleNormal="100" workbookViewId="0">
      <selection activeCell="B300" sqref="B300"/>
    </sheetView>
  </sheetViews>
  <sheetFormatPr defaultRowHeight="14.5" x14ac:dyDescent="0.35"/>
  <cols>
    <col min="1" max="1" width="4.1796875" bestFit="1" customWidth="1"/>
    <col min="2" max="2" width="176.08984375" style="1" customWidth="1"/>
    <col min="3" max="3" width="59.26953125" style="1" customWidth="1"/>
    <col min="4" max="4" width="39.26953125" style="1" customWidth="1"/>
  </cols>
  <sheetData>
    <row r="1" spans="1:4" x14ac:dyDescent="0.35">
      <c r="A1" t="s">
        <v>0</v>
      </c>
      <c r="B1" s="1" t="s">
        <v>1</v>
      </c>
    </row>
    <row r="2" spans="1:4" x14ac:dyDescent="0.35">
      <c r="A2">
        <v>1</v>
      </c>
      <c r="B2" s="1" t="s">
        <v>1165</v>
      </c>
      <c r="C2" s="1" t="s">
        <v>1166</v>
      </c>
    </row>
    <row r="3" spans="1:4" ht="29" x14ac:dyDescent="0.35">
      <c r="A3">
        <f>SUM(A2+1)</f>
        <v>2</v>
      </c>
      <c r="B3" s="1" t="s">
        <v>5</v>
      </c>
    </row>
    <row r="4" spans="1:4" ht="29" x14ac:dyDescent="0.35">
      <c r="A4">
        <f t="shared" ref="A4:A67" si="0">SUM(A3+1)</f>
        <v>3</v>
      </c>
      <c r="B4" s="1" t="s">
        <v>7</v>
      </c>
    </row>
    <row r="5" spans="1:4" ht="43.5" x14ac:dyDescent="0.35">
      <c r="A5">
        <f t="shared" si="0"/>
        <v>4</v>
      </c>
      <c r="B5" s="1" t="s">
        <v>1167</v>
      </c>
      <c r="C5" s="1" t="s">
        <v>1168</v>
      </c>
      <c r="D5" s="1" t="s">
        <v>1169</v>
      </c>
    </row>
    <row r="6" spans="1:4" ht="29" x14ac:dyDescent="0.35">
      <c r="A6">
        <f t="shared" si="0"/>
        <v>5</v>
      </c>
      <c r="B6" s="1" t="s">
        <v>1170</v>
      </c>
      <c r="C6" s="1" t="s">
        <v>1171</v>
      </c>
    </row>
    <row r="7" spans="1:4" ht="29" x14ac:dyDescent="0.35">
      <c r="A7">
        <f t="shared" si="0"/>
        <v>6</v>
      </c>
      <c r="B7" s="1" t="s">
        <v>1172</v>
      </c>
      <c r="C7" s="1" t="s">
        <v>1173</v>
      </c>
    </row>
    <row r="8" spans="1:4" ht="29" x14ac:dyDescent="0.35">
      <c r="A8">
        <f t="shared" si="0"/>
        <v>7</v>
      </c>
      <c r="B8" s="1" t="s">
        <v>1174</v>
      </c>
    </row>
    <row r="9" spans="1:4" ht="29" x14ac:dyDescent="0.35">
      <c r="A9">
        <f t="shared" si="0"/>
        <v>8</v>
      </c>
      <c r="B9" s="1" t="s">
        <v>802</v>
      </c>
      <c r="C9" s="1" t="s">
        <v>803</v>
      </c>
    </row>
    <row r="10" spans="1:4" ht="29" x14ac:dyDescent="0.35">
      <c r="A10">
        <f t="shared" si="0"/>
        <v>9</v>
      </c>
      <c r="B10" s="1" t="s">
        <v>1175</v>
      </c>
      <c r="C10" s="1" t="s">
        <v>1176</v>
      </c>
    </row>
    <row r="11" spans="1:4" ht="29" x14ac:dyDescent="0.35">
      <c r="A11">
        <f t="shared" si="0"/>
        <v>10</v>
      </c>
      <c r="B11" s="1" t="s">
        <v>1177</v>
      </c>
    </row>
    <row r="12" spans="1:4" ht="29" x14ac:dyDescent="0.35">
      <c r="A12">
        <f t="shared" si="0"/>
        <v>11</v>
      </c>
      <c r="B12" s="1" t="s">
        <v>1178</v>
      </c>
    </row>
    <row r="13" spans="1:4" ht="29" x14ac:dyDescent="0.35">
      <c r="A13">
        <f t="shared" si="0"/>
        <v>12</v>
      </c>
      <c r="B13" s="1" t="s">
        <v>1179</v>
      </c>
      <c r="C13" s="1" t="s">
        <v>1180</v>
      </c>
    </row>
    <row r="14" spans="1:4" ht="29" x14ac:dyDescent="0.35">
      <c r="A14">
        <f t="shared" si="0"/>
        <v>13</v>
      </c>
      <c r="B14" s="1" t="s">
        <v>27</v>
      </c>
    </row>
    <row r="15" spans="1:4" ht="29" x14ac:dyDescent="0.35">
      <c r="A15">
        <f t="shared" si="0"/>
        <v>14</v>
      </c>
      <c r="B15" s="1" t="s">
        <v>29</v>
      </c>
    </row>
    <row r="16" spans="1:4" x14ac:dyDescent="0.35">
      <c r="A16">
        <f t="shared" si="0"/>
        <v>15</v>
      </c>
      <c r="B16" s="1" t="s">
        <v>804</v>
      </c>
      <c r="C16" s="1" t="s">
        <v>805</v>
      </c>
    </row>
    <row r="17" spans="1:3" ht="29" x14ac:dyDescent="0.35">
      <c r="A17">
        <f t="shared" si="0"/>
        <v>16</v>
      </c>
      <c r="B17" s="1" t="s">
        <v>33</v>
      </c>
    </row>
    <row r="18" spans="1:3" ht="29" x14ac:dyDescent="0.35">
      <c r="A18">
        <f t="shared" si="0"/>
        <v>17</v>
      </c>
      <c r="B18" s="1" t="s">
        <v>35</v>
      </c>
    </row>
    <row r="19" spans="1:3" x14ac:dyDescent="0.35">
      <c r="A19">
        <f t="shared" si="0"/>
        <v>18</v>
      </c>
      <c r="B19" s="1" t="s">
        <v>37</v>
      </c>
    </row>
    <row r="20" spans="1:3" x14ac:dyDescent="0.35">
      <c r="A20">
        <f t="shared" si="0"/>
        <v>19</v>
      </c>
      <c r="B20" s="1" t="s">
        <v>806</v>
      </c>
      <c r="C20" s="1" t="s">
        <v>807</v>
      </c>
    </row>
    <row r="21" spans="1:3" x14ac:dyDescent="0.35">
      <c r="A21">
        <f t="shared" si="0"/>
        <v>20</v>
      </c>
      <c r="B21" s="1" t="s">
        <v>1181</v>
      </c>
      <c r="C21" s="1" t="s">
        <v>1182</v>
      </c>
    </row>
    <row r="22" spans="1:3" x14ac:dyDescent="0.35">
      <c r="A22">
        <f t="shared" si="0"/>
        <v>21</v>
      </c>
      <c r="B22" s="1" t="s">
        <v>1183</v>
      </c>
      <c r="C22" s="1" t="s">
        <v>1184</v>
      </c>
    </row>
    <row r="23" spans="1:3" ht="29" x14ac:dyDescent="0.35">
      <c r="A23">
        <f t="shared" si="0"/>
        <v>22</v>
      </c>
      <c r="B23" s="1" t="s">
        <v>1185</v>
      </c>
    </row>
    <row r="24" spans="1:3" ht="29" x14ac:dyDescent="0.35">
      <c r="A24">
        <f t="shared" si="0"/>
        <v>23</v>
      </c>
      <c r="B24" s="1" t="s">
        <v>46</v>
      </c>
    </row>
    <row r="25" spans="1:3" x14ac:dyDescent="0.35">
      <c r="A25">
        <f t="shared" si="0"/>
        <v>24</v>
      </c>
      <c r="B25" s="1" t="s">
        <v>48</v>
      </c>
    </row>
    <row r="26" spans="1:3" ht="29" x14ac:dyDescent="0.35">
      <c r="A26">
        <f t="shared" si="0"/>
        <v>25</v>
      </c>
      <c r="B26" s="1" t="s">
        <v>50</v>
      </c>
    </row>
    <row r="27" spans="1:3" x14ac:dyDescent="0.35">
      <c r="A27">
        <f t="shared" si="0"/>
        <v>26</v>
      </c>
      <c r="B27" s="1" t="s">
        <v>51</v>
      </c>
    </row>
    <row r="28" spans="1:3" x14ac:dyDescent="0.35">
      <c r="A28">
        <f t="shared" si="0"/>
        <v>27</v>
      </c>
      <c r="B28" s="1" t="s">
        <v>53</v>
      </c>
    </row>
    <row r="29" spans="1:3" ht="29" x14ac:dyDescent="0.35">
      <c r="A29">
        <f t="shared" si="0"/>
        <v>28</v>
      </c>
      <c r="B29" s="1" t="s">
        <v>1186</v>
      </c>
      <c r="C29" s="1" t="s">
        <v>1187</v>
      </c>
    </row>
    <row r="30" spans="1:3" ht="29" x14ac:dyDescent="0.35">
      <c r="A30">
        <f t="shared" si="0"/>
        <v>29</v>
      </c>
      <c r="B30" s="1" t="s">
        <v>57</v>
      </c>
    </row>
    <row r="31" spans="1:3" ht="29" x14ac:dyDescent="0.35">
      <c r="A31">
        <f t="shared" si="0"/>
        <v>30</v>
      </c>
      <c r="B31" s="1" t="s">
        <v>59</v>
      </c>
    </row>
    <row r="32" spans="1:3" ht="29" x14ac:dyDescent="0.35">
      <c r="A32">
        <f t="shared" si="0"/>
        <v>31</v>
      </c>
      <c r="B32" s="1" t="s">
        <v>1188</v>
      </c>
    </row>
    <row r="33" spans="1:3" ht="29" x14ac:dyDescent="0.35">
      <c r="A33">
        <f t="shared" si="0"/>
        <v>32</v>
      </c>
      <c r="B33" s="1" t="s">
        <v>63</v>
      </c>
    </row>
    <row r="34" spans="1:3" ht="29" x14ac:dyDescent="0.35">
      <c r="A34">
        <f t="shared" si="0"/>
        <v>33</v>
      </c>
      <c r="B34" s="1" t="s">
        <v>1189</v>
      </c>
    </row>
    <row r="35" spans="1:3" ht="29" x14ac:dyDescent="0.35">
      <c r="A35">
        <f t="shared" si="0"/>
        <v>34</v>
      </c>
      <c r="B35" s="1" t="s">
        <v>67</v>
      </c>
    </row>
    <row r="36" spans="1:3" ht="29" x14ac:dyDescent="0.35">
      <c r="A36">
        <f t="shared" si="0"/>
        <v>35</v>
      </c>
      <c r="B36" s="1" t="s">
        <v>1190</v>
      </c>
    </row>
    <row r="37" spans="1:3" x14ac:dyDescent="0.35">
      <c r="A37">
        <f t="shared" si="0"/>
        <v>36</v>
      </c>
      <c r="B37" s="1" t="s">
        <v>71</v>
      </c>
    </row>
    <row r="38" spans="1:3" x14ac:dyDescent="0.35">
      <c r="A38">
        <f t="shared" si="0"/>
        <v>37</v>
      </c>
      <c r="B38" s="1" t="s">
        <v>1191</v>
      </c>
      <c r="C38" s="1" t="s">
        <v>1192</v>
      </c>
    </row>
    <row r="39" spans="1:3" ht="29" x14ac:dyDescent="0.35">
      <c r="A39">
        <f t="shared" si="0"/>
        <v>38</v>
      </c>
      <c r="B39" s="1" t="s">
        <v>808</v>
      </c>
      <c r="C39" s="1" t="s">
        <v>809</v>
      </c>
    </row>
    <row r="40" spans="1:3" x14ac:dyDescent="0.35">
      <c r="A40">
        <f t="shared" si="0"/>
        <v>39</v>
      </c>
      <c r="B40" s="1" t="s">
        <v>810</v>
      </c>
      <c r="C40" s="1" t="s">
        <v>811</v>
      </c>
    </row>
    <row r="41" spans="1:3" x14ac:dyDescent="0.35">
      <c r="A41">
        <f t="shared" si="0"/>
        <v>40</v>
      </c>
      <c r="B41" s="1" t="s">
        <v>1193</v>
      </c>
      <c r="C41" s="1" t="s">
        <v>1194</v>
      </c>
    </row>
    <row r="42" spans="1:3" x14ac:dyDescent="0.35">
      <c r="A42">
        <f t="shared" si="0"/>
        <v>41</v>
      </c>
      <c r="B42" s="1" t="s">
        <v>812</v>
      </c>
      <c r="C42" s="1" t="s">
        <v>813</v>
      </c>
    </row>
    <row r="43" spans="1:3" x14ac:dyDescent="0.35">
      <c r="A43">
        <f t="shared" si="0"/>
        <v>42</v>
      </c>
      <c r="B43" s="1" t="s">
        <v>1195</v>
      </c>
      <c r="C43" s="1" t="s">
        <v>1196</v>
      </c>
    </row>
    <row r="44" spans="1:3" ht="409.5" x14ac:dyDescent="0.35">
      <c r="A44">
        <f t="shared" si="0"/>
        <v>43</v>
      </c>
      <c r="B44" s="1" t="s">
        <v>1197</v>
      </c>
      <c r="C44" s="1" t="s">
        <v>1198</v>
      </c>
    </row>
    <row r="45" spans="1:3" ht="29" x14ac:dyDescent="0.35">
      <c r="A45">
        <f t="shared" si="0"/>
        <v>44</v>
      </c>
      <c r="B45" s="1" t="s">
        <v>1199</v>
      </c>
      <c r="C45" s="1" t="s">
        <v>1200</v>
      </c>
    </row>
    <row r="46" spans="1:3" x14ac:dyDescent="0.35">
      <c r="A46">
        <f t="shared" si="0"/>
        <v>45</v>
      </c>
      <c r="B46" s="1" t="s">
        <v>1201</v>
      </c>
      <c r="C46" s="1" t="s">
        <v>1202</v>
      </c>
    </row>
    <row r="47" spans="1:3" x14ac:dyDescent="0.35">
      <c r="A47">
        <f t="shared" si="0"/>
        <v>46</v>
      </c>
      <c r="B47" s="1" t="s">
        <v>1203</v>
      </c>
      <c r="C47" s="1" t="s">
        <v>1204</v>
      </c>
    </row>
    <row r="48" spans="1:3" x14ac:dyDescent="0.35">
      <c r="A48">
        <f t="shared" si="0"/>
        <v>47</v>
      </c>
      <c r="B48" s="1" t="s">
        <v>814</v>
      </c>
      <c r="C48" s="1" t="s">
        <v>815</v>
      </c>
    </row>
    <row r="49" spans="1:4" x14ac:dyDescent="0.35">
      <c r="A49">
        <f t="shared" si="0"/>
        <v>48</v>
      </c>
      <c r="B49" s="1" t="s">
        <v>1205</v>
      </c>
      <c r="C49" s="1" t="s">
        <v>1206</v>
      </c>
    </row>
    <row r="50" spans="1:4" x14ac:dyDescent="0.35">
      <c r="A50">
        <f t="shared" si="0"/>
        <v>49</v>
      </c>
      <c r="B50" s="1" t="s">
        <v>816</v>
      </c>
      <c r="C50" s="1" t="s">
        <v>817</v>
      </c>
    </row>
    <row r="51" spans="1:4" ht="29" x14ac:dyDescent="0.35">
      <c r="A51">
        <f t="shared" si="0"/>
        <v>50</v>
      </c>
      <c r="B51" s="1" t="s">
        <v>818</v>
      </c>
      <c r="C51" s="1" t="s">
        <v>819</v>
      </c>
    </row>
    <row r="52" spans="1:4" x14ac:dyDescent="0.35">
      <c r="A52">
        <f t="shared" si="0"/>
        <v>51</v>
      </c>
      <c r="B52" s="1" t="s">
        <v>820</v>
      </c>
      <c r="C52" s="1" t="s">
        <v>821</v>
      </c>
    </row>
    <row r="53" spans="1:4" x14ac:dyDescent="0.35">
      <c r="A53">
        <f t="shared" si="0"/>
        <v>52</v>
      </c>
      <c r="B53" s="1" t="s">
        <v>1207</v>
      </c>
      <c r="C53" s="1" t="s">
        <v>1208</v>
      </c>
    </row>
    <row r="54" spans="1:4" x14ac:dyDescent="0.35">
      <c r="A54">
        <f t="shared" si="0"/>
        <v>53</v>
      </c>
      <c r="B54" s="1" t="s">
        <v>822</v>
      </c>
      <c r="C54" s="1" t="s">
        <v>823</v>
      </c>
    </row>
    <row r="55" spans="1:4" x14ac:dyDescent="0.35">
      <c r="A55">
        <f t="shared" si="0"/>
        <v>54</v>
      </c>
      <c r="B55" s="1" t="s">
        <v>1209</v>
      </c>
      <c r="C55" s="1" t="s">
        <v>1210</v>
      </c>
    </row>
    <row r="56" spans="1:4" x14ac:dyDescent="0.35">
      <c r="A56">
        <f t="shared" si="0"/>
        <v>55</v>
      </c>
      <c r="B56" s="1" t="s">
        <v>824</v>
      </c>
      <c r="C56" s="1" t="s">
        <v>825</v>
      </c>
    </row>
    <row r="57" spans="1:4" ht="29" x14ac:dyDescent="0.35">
      <c r="A57">
        <f t="shared" si="0"/>
        <v>56</v>
      </c>
      <c r="B57" s="1" t="s">
        <v>826</v>
      </c>
      <c r="C57" s="1" t="s">
        <v>827</v>
      </c>
    </row>
    <row r="58" spans="1:4" ht="29" x14ac:dyDescent="0.35">
      <c r="A58">
        <f t="shared" si="0"/>
        <v>57</v>
      </c>
      <c r="B58" s="1" t="s">
        <v>1211</v>
      </c>
      <c r="C58" s="1" t="s">
        <v>1212</v>
      </c>
    </row>
    <row r="59" spans="1:4" x14ac:dyDescent="0.35">
      <c r="A59">
        <f t="shared" si="0"/>
        <v>58</v>
      </c>
      <c r="B59" s="1" t="s">
        <v>1213</v>
      </c>
      <c r="C59" s="1" t="s">
        <v>1214</v>
      </c>
    </row>
    <row r="60" spans="1:4" ht="29" x14ac:dyDescent="0.35">
      <c r="A60">
        <f t="shared" si="0"/>
        <v>59</v>
      </c>
      <c r="B60" s="1" t="s">
        <v>1215</v>
      </c>
      <c r="C60" s="1" t="s">
        <v>1216</v>
      </c>
    </row>
    <row r="61" spans="1:4" ht="29" x14ac:dyDescent="0.35">
      <c r="A61">
        <f t="shared" si="0"/>
        <v>60</v>
      </c>
      <c r="B61" s="1" t="s">
        <v>1217</v>
      </c>
      <c r="C61" s="1" t="s">
        <v>1218</v>
      </c>
      <c r="D61" s="1" t="s">
        <v>1219</v>
      </c>
    </row>
    <row r="62" spans="1:4" x14ac:dyDescent="0.35">
      <c r="A62">
        <f t="shared" si="0"/>
        <v>61</v>
      </c>
      <c r="B62" s="1" t="s">
        <v>1220</v>
      </c>
      <c r="C62" s="1" t="s">
        <v>1221</v>
      </c>
    </row>
    <row r="63" spans="1:4" ht="29" x14ac:dyDescent="0.35">
      <c r="A63">
        <f t="shared" si="0"/>
        <v>62</v>
      </c>
      <c r="B63" s="1" t="s">
        <v>1222</v>
      </c>
      <c r="C63" s="1" t="s">
        <v>1223</v>
      </c>
    </row>
    <row r="64" spans="1:4" x14ac:dyDescent="0.35">
      <c r="A64">
        <f t="shared" si="0"/>
        <v>63</v>
      </c>
      <c r="B64" s="1" t="s">
        <v>1224</v>
      </c>
      <c r="C64" s="1" t="s">
        <v>1225</v>
      </c>
    </row>
    <row r="65" spans="1:4" ht="29" x14ac:dyDescent="0.35">
      <c r="A65">
        <f t="shared" si="0"/>
        <v>64</v>
      </c>
      <c r="B65" s="1" t="s">
        <v>828</v>
      </c>
      <c r="C65" s="1" t="s">
        <v>829</v>
      </c>
    </row>
    <row r="66" spans="1:4" ht="29" x14ac:dyDescent="0.35">
      <c r="A66">
        <f t="shared" si="0"/>
        <v>65</v>
      </c>
      <c r="B66" s="1" t="s">
        <v>1226</v>
      </c>
      <c r="C66" s="1" t="s">
        <v>1227</v>
      </c>
    </row>
    <row r="67" spans="1:4" ht="29" x14ac:dyDescent="0.35">
      <c r="A67">
        <f t="shared" si="0"/>
        <v>66</v>
      </c>
      <c r="B67" s="1" t="s">
        <v>1228</v>
      </c>
      <c r="C67" s="1" t="s">
        <v>1229</v>
      </c>
    </row>
    <row r="68" spans="1:4" x14ac:dyDescent="0.35">
      <c r="A68">
        <f t="shared" ref="A68:A131" si="1">SUM(A67+1)</f>
        <v>67</v>
      </c>
      <c r="B68" s="1" t="s">
        <v>830</v>
      </c>
      <c r="C68" s="1" t="s">
        <v>831</v>
      </c>
    </row>
    <row r="69" spans="1:4" ht="29" x14ac:dyDescent="0.35">
      <c r="A69">
        <f t="shared" si="1"/>
        <v>68</v>
      </c>
      <c r="B69" s="1" t="s">
        <v>832</v>
      </c>
      <c r="C69" s="1" t="s">
        <v>833</v>
      </c>
    </row>
    <row r="70" spans="1:4" ht="29" x14ac:dyDescent="0.35">
      <c r="A70">
        <f t="shared" si="1"/>
        <v>69</v>
      </c>
      <c r="B70" s="1" t="s">
        <v>1230</v>
      </c>
      <c r="C70" s="1" t="s">
        <v>1231</v>
      </c>
    </row>
    <row r="71" spans="1:4" x14ac:dyDescent="0.35">
      <c r="A71">
        <f t="shared" si="1"/>
        <v>70</v>
      </c>
      <c r="B71" s="1" t="s">
        <v>834</v>
      </c>
      <c r="C71" s="1" t="s">
        <v>835</v>
      </c>
    </row>
    <row r="72" spans="1:4" ht="29" x14ac:dyDescent="0.35">
      <c r="A72">
        <f t="shared" si="1"/>
        <v>71</v>
      </c>
      <c r="B72" s="1" t="s">
        <v>836</v>
      </c>
      <c r="C72" s="1" t="s">
        <v>837</v>
      </c>
    </row>
    <row r="73" spans="1:4" ht="29" x14ac:dyDescent="0.35">
      <c r="A73">
        <f t="shared" si="1"/>
        <v>72</v>
      </c>
      <c r="B73" s="1" t="s">
        <v>1232</v>
      </c>
      <c r="C73" s="1" t="s">
        <v>1233</v>
      </c>
      <c r="D73" s="1" t="s">
        <v>1234</v>
      </c>
    </row>
    <row r="74" spans="1:4" ht="29" x14ac:dyDescent="0.35">
      <c r="A74">
        <f t="shared" si="1"/>
        <v>73</v>
      </c>
      <c r="B74" s="1" t="s">
        <v>838</v>
      </c>
      <c r="C74" s="1" t="s">
        <v>839</v>
      </c>
    </row>
    <row r="75" spans="1:4" x14ac:dyDescent="0.35">
      <c r="A75">
        <f t="shared" si="1"/>
        <v>74</v>
      </c>
      <c r="B75" s="1" t="s">
        <v>840</v>
      </c>
      <c r="C75" s="1" t="s">
        <v>841</v>
      </c>
    </row>
    <row r="76" spans="1:4" ht="29" x14ac:dyDescent="0.35">
      <c r="A76">
        <f t="shared" si="1"/>
        <v>75</v>
      </c>
      <c r="B76" s="1" t="s">
        <v>842</v>
      </c>
      <c r="C76" s="1" t="s">
        <v>843</v>
      </c>
    </row>
    <row r="77" spans="1:4" x14ac:dyDescent="0.35">
      <c r="A77">
        <f t="shared" si="1"/>
        <v>76</v>
      </c>
      <c r="B77" s="1" t="s">
        <v>1235</v>
      </c>
      <c r="C77" s="1" t="s">
        <v>1236</v>
      </c>
    </row>
    <row r="78" spans="1:4" ht="29" x14ac:dyDescent="0.35">
      <c r="A78">
        <f t="shared" si="1"/>
        <v>77</v>
      </c>
      <c r="B78" s="1" t="s">
        <v>1237</v>
      </c>
      <c r="C78" s="1" t="s">
        <v>1238</v>
      </c>
    </row>
    <row r="79" spans="1:4" x14ac:dyDescent="0.35">
      <c r="A79">
        <f t="shared" si="1"/>
        <v>78</v>
      </c>
      <c r="B79" s="1" t="s">
        <v>1239</v>
      </c>
      <c r="C79" s="1" t="s">
        <v>1240</v>
      </c>
    </row>
    <row r="80" spans="1:4" ht="29" x14ac:dyDescent="0.35">
      <c r="A80">
        <f t="shared" si="1"/>
        <v>79</v>
      </c>
      <c r="B80" s="1" t="s">
        <v>1241</v>
      </c>
      <c r="C80" s="1" t="s">
        <v>1242</v>
      </c>
    </row>
    <row r="81" spans="1:3" x14ac:dyDescent="0.35">
      <c r="A81">
        <f t="shared" si="1"/>
        <v>80</v>
      </c>
      <c r="B81" s="1" t="s">
        <v>1243</v>
      </c>
      <c r="C81" s="1" t="s">
        <v>1244</v>
      </c>
    </row>
    <row r="82" spans="1:3" ht="29" x14ac:dyDescent="0.35">
      <c r="A82">
        <f t="shared" si="1"/>
        <v>81</v>
      </c>
      <c r="B82" s="1" t="s">
        <v>1245</v>
      </c>
      <c r="C82" s="1" t="s">
        <v>1246</v>
      </c>
    </row>
    <row r="83" spans="1:3" ht="29" x14ac:dyDescent="0.35">
      <c r="A83">
        <f t="shared" si="1"/>
        <v>82</v>
      </c>
      <c r="B83" s="1" t="s">
        <v>1247</v>
      </c>
      <c r="C83" s="1" t="s">
        <v>1248</v>
      </c>
    </row>
    <row r="84" spans="1:3" ht="29" x14ac:dyDescent="0.35">
      <c r="A84">
        <f t="shared" si="1"/>
        <v>83</v>
      </c>
      <c r="B84" s="1" t="s">
        <v>1249</v>
      </c>
      <c r="C84" s="1" t="s">
        <v>1250</v>
      </c>
    </row>
    <row r="85" spans="1:3" x14ac:dyDescent="0.35">
      <c r="A85">
        <f t="shared" si="1"/>
        <v>84</v>
      </c>
      <c r="B85" s="1" t="s">
        <v>1251</v>
      </c>
      <c r="C85" s="1" t="s">
        <v>1252</v>
      </c>
    </row>
    <row r="86" spans="1:3" x14ac:dyDescent="0.35">
      <c r="A86">
        <f t="shared" si="1"/>
        <v>85</v>
      </c>
      <c r="B86" s="1" t="s">
        <v>1253</v>
      </c>
      <c r="C86" s="1" t="s">
        <v>1254</v>
      </c>
    </row>
    <row r="87" spans="1:3" x14ac:dyDescent="0.35">
      <c r="A87">
        <f t="shared" si="1"/>
        <v>86</v>
      </c>
      <c r="B87" s="1" t="s">
        <v>844</v>
      </c>
      <c r="C87" s="1" t="s">
        <v>845</v>
      </c>
    </row>
    <row r="88" spans="1:3" x14ac:dyDescent="0.35">
      <c r="A88">
        <f t="shared" si="1"/>
        <v>87</v>
      </c>
      <c r="B88" s="1" t="s">
        <v>844</v>
      </c>
      <c r="C88" s="1" t="s">
        <v>845</v>
      </c>
    </row>
    <row r="89" spans="1:3" ht="29" x14ac:dyDescent="0.35">
      <c r="A89">
        <f t="shared" si="1"/>
        <v>88</v>
      </c>
      <c r="B89" s="1" t="s">
        <v>846</v>
      </c>
      <c r="C89" s="1" t="s">
        <v>847</v>
      </c>
    </row>
    <row r="90" spans="1:3" x14ac:dyDescent="0.35">
      <c r="A90">
        <f t="shared" si="1"/>
        <v>89</v>
      </c>
      <c r="B90" s="1" t="s">
        <v>848</v>
      </c>
      <c r="C90" s="1" t="s">
        <v>849</v>
      </c>
    </row>
    <row r="91" spans="1:3" ht="29" x14ac:dyDescent="0.35">
      <c r="A91">
        <f t="shared" si="1"/>
        <v>90</v>
      </c>
      <c r="B91" s="1" t="s">
        <v>850</v>
      </c>
      <c r="C91" s="1" t="s">
        <v>851</v>
      </c>
    </row>
    <row r="92" spans="1:3" ht="29" x14ac:dyDescent="0.35">
      <c r="A92">
        <f t="shared" si="1"/>
        <v>91</v>
      </c>
      <c r="B92" s="1" t="s">
        <v>852</v>
      </c>
      <c r="C92" s="1" t="s">
        <v>853</v>
      </c>
    </row>
    <row r="93" spans="1:3" ht="29" x14ac:dyDescent="0.35">
      <c r="A93">
        <f t="shared" si="1"/>
        <v>92</v>
      </c>
      <c r="B93" s="1" t="s">
        <v>1255</v>
      </c>
      <c r="C93" s="1" t="s">
        <v>1256</v>
      </c>
    </row>
    <row r="94" spans="1:3" ht="29" x14ac:dyDescent="0.35">
      <c r="A94">
        <f t="shared" si="1"/>
        <v>93</v>
      </c>
      <c r="B94" s="1" t="s">
        <v>1257</v>
      </c>
      <c r="C94" s="1" t="s">
        <v>1258</v>
      </c>
    </row>
    <row r="95" spans="1:3" x14ac:dyDescent="0.35">
      <c r="A95">
        <f t="shared" si="1"/>
        <v>94</v>
      </c>
      <c r="B95" s="1" t="s">
        <v>854</v>
      </c>
      <c r="C95" s="1" t="s">
        <v>855</v>
      </c>
    </row>
    <row r="96" spans="1:3" x14ac:dyDescent="0.35">
      <c r="A96">
        <f t="shared" si="1"/>
        <v>95</v>
      </c>
      <c r="B96" s="1" t="s">
        <v>856</v>
      </c>
      <c r="C96" s="1" t="s">
        <v>857</v>
      </c>
    </row>
    <row r="97" spans="1:4" ht="29" x14ac:dyDescent="0.35">
      <c r="A97">
        <f t="shared" si="1"/>
        <v>96</v>
      </c>
      <c r="B97" s="1" t="s">
        <v>1259</v>
      </c>
      <c r="C97" s="1" t="s">
        <v>1260</v>
      </c>
    </row>
    <row r="98" spans="1:4" ht="29" x14ac:dyDescent="0.35">
      <c r="A98">
        <f t="shared" si="1"/>
        <v>97</v>
      </c>
      <c r="B98" s="1" t="s">
        <v>858</v>
      </c>
      <c r="C98" s="1" t="s">
        <v>859</v>
      </c>
    </row>
    <row r="99" spans="1:4" x14ac:dyDescent="0.35">
      <c r="A99">
        <f t="shared" si="1"/>
        <v>98</v>
      </c>
      <c r="B99" s="1" t="s">
        <v>1261</v>
      </c>
      <c r="C99" s="1" t="s">
        <v>1262</v>
      </c>
      <c r="D99" s="1" t="s">
        <v>1263</v>
      </c>
    </row>
    <row r="100" spans="1:4" x14ac:dyDescent="0.35">
      <c r="A100">
        <f t="shared" si="1"/>
        <v>99</v>
      </c>
      <c r="B100" s="1" t="s">
        <v>860</v>
      </c>
      <c r="C100" s="1" t="s">
        <v>861</v>
      </c>
    </row>
    <row r="101" spans="1:4" ht="29" x14ac:dyDescent="0.35">
      <c r="A101">
        <f t="shared" si="1"/>
        <v>100</v>
      </c>
      <c r="B101" s="1" t="s">
        <v>1264</v>
      </c>
      <c r="C101" s="1" t="s">
        <v>1265</v>
      </c>
    </row>
    <row r="102" spans="1:4" x14ac:dyDescent="0.35">
      <c r="A102">
        <f t="shared" si="1"/>
        <v>101</v>
      </c>
      <c r="B102" s="1" t="s">
        <v>862</v>
      </c>
      <c r="C102" s="1" t="s">
        <v>863</v>
      </c>
    </row>
    <row r="103" spans="1:4" x14ac:dyDescent="0.35">
      <c r="A103">
        <f t="shared" si="1"/>
        <v>102</v>
      </c>
      <c r="B103" s="1" t="s">
        <v>864</v>
      </c>
      <c r="C103" s="1" t="s">
        <v>865</v>
      </c>
      <c r="D103" s="1" t="s">
        <v>866</v>
      </c>
    </row>
    <row r="104" spans="1:4" ht="29" x14ac:dyDescent="0.35">
      <c r="A104">
        <f t="shared" si="1"/>
        <v>103</v>
      </c>
      <c r="B104" s="1" t="s">
        <v>867</v>
      </c>
      <c r="C104" s="1" t="s">
        <v>868</v>
      </c>
    </row>
    <row r="105" spans="1:4" x14ac:dyDescent="0.35">
      <c r="A105">
        <f t="shared" si="1"/>
        <v>104</v>
      </c>
      <c r="B105" s="1" t="s">
        <v>869</v>
      </c>
      <c r="C105" s="1" t="s">
        <v>870</v>
      </c>
    </row>
    <row r="106" spans="1:4" x14ac:dyDescent="0.35">
      <c r="A106">
        <f t="shared" si="1"/>
        <v>105</v>
      </c>
      <c r="B106" s="1" t="s">
        <v>869</v>
      </c>
      <c r="C106" s="1" t="s">
        <v>871</v>
      </c>
    </row>
    <row r="107" spans="1:4" x14ac:dyDescent="0.35">
      <c r="A107">
        <f t="shared" si="1"/>
        <v>106</v>
      </c>
      <c r="B107" s="1" t="s">
        <v>869</v>
      </c>
      <c r="C107" s="1" t="s">
        <v>872</v>
      </c>
    </row>
    <row r="108" spans="1:4" ht="29" x14ac:dyDescent="0.35">
      <c r="A108">
        <f t="shared" si="1"/>
        <v>107</v>
      </c>
      <c r="B108" s="1" t="s">
        <v>1266</v>
      </c>
      <c r="C108" s="1" t="s">
        <v>1267</v>
      </c>
    </row>
    <row r="109" spans="1:4" ht="29" x14ac:dyDescent="0.35">
      <c r="A109">
        <f t="shared" si="1"/>
        <v>108</v>
      </c>
      <c r="B109" s="1" t="s">
        <v>873</v>
      </c>
      <c r="C109" s="1" t="s">
        <v>874</v>
      </c>
    </row>
    <row r="110" spans="1:4" ht="29" x14ac:dyDescent="0.35">
      <c r="A110">
        <f t="shared" si="1"/>
        <v>109</v>
      </c>
      <c r="B110" s="1" t="s">
        <v>1268</v>
      </c>
      <c r="C110" s="1" t="s">
        <v>1269</v>
      </c>
    </row>
    <row r="111" spans="1:4" x14ac:dyDescent="0.35">
      <c r="A111">
        <f t="shared" si="1"/>
        <v>110</v>
      </c>
      <c r="B111" s="1" t="s">
        <v>1270</v>
      </c>
      <c r="C111" s="1" t="s">
        <v>1271</v>
      </c>
    </row>
    <row r="112" spans="1:4" x14ac:dyDescent="0.35">
      <c r="A112">
        <f t="shared" si="1"/>
        <v>111</v>
      </c>
      <c r="B112" s="1" t="s">
        <v>875</v>
      </c>
      <c r="C112" s="1" t="s">
        <v>876</v>
      </c>
    </row>
    <row r="113" spans="1:3" ht="29" x14ac:dyDescent="0.35">
      <c r="A113">
        <f t="shared" si="1"/>
        <v>112</v>
      </c>
      <c r="B113" s="1" t="s">
        <v>1272</v>
      </c>
      <c r="C113" s="1" t="s">
        <v>1273</v>
      </c>
    </row>
    <row r="114" spans="1:3" x14ac:dyDescent="0.35">
      <c r="A114">
        <f t="shared" si="1"/>
        <v>113</v>
      </c>
      <c r="B114" s="1" t="s">
        <v>877</v>
      </c>
      <c r="C114" s="1" t="s">
        <v>878</v>
      </c>
    </row>
    <row r="115" spans="1:3" ht="29" x14ac:dyDescent="0.35">
      <c r="A115">
        <f t="shared" si="1"/>
        <v>114</v>
      </c>
      <c r="B115" s="1" t="s">
        <v>879</v>
      </c>
      <c r="C115" s="1" t="s">
        <v>880</v>
      </c>
    </row>
    <row r="116" spans="1:3" ht="29" x14ac:dyDescent="0.35">
      <c r="A116">
        <f t="shared" si="1"/>
        <v>115</v>
      </c>
      <c r="B116" s="1" t="s">
        <v>881</v>
      </c>
      <c r="C116" s="1" t="s">
        <v>882</v>
      </c>
    </row>
    <row r="117" spans="1:3" x14ac:dyDescent="0.35">
      <c r="A117">
        <f t="shared" si="1"/>
        <v>116</v>
      </c>
      <c r="B117" s="1" t="s">
        <v>883</v>
      </c>
      <c r="C117" s="1" t="s">
        <v>884</v>
      </c>
    </row>
    <row r="118" spans="1:3" ht="29" x14ac:dyDescent="0.35">
      <c r="A118">
        <f t="shared" si="1"/>
        <v>117</v>
      </c>
      <c r="B118" s="1" t="s">
        <v>1274</v>
      </c>
      <c r="C118" s="1" t="s">
        <v>1275</v>
      </c>
    </row>
    <row r="119" spans="1:3" ht="29" x14ac:dyDescent="0.35">
      <c r="A119">
        <f t="shared" si="1"/>
        <v>118</v>
      </c>
      <c r="B119" s="1" t="s">
        <v>1276</v>
      </c>
      <c r="C119" s="1" t="s">
        <v>1277</v>
      </c>
    </row>
    <row r="120" spans="1:3" ht="29" x14ac:dyDescent="0.35">
      <c r="A120">
        <f t="shared" si="1"/>
        <v>119</v>
      </c>
      <c r="B120" s="1" t="s">
        <v>885</v>
      </c>
      <c r="C120" s="1" t="s">
        <v>886</v>
      </c>
    </row>
    <row r="121" spans="1:3" ht="29" x14ac:dyDescent="0.35">
      <c r="A121">
        <f t="shared" si="1"/>
        <v>120</v>
      </c>
      <c r="B121" s="1" t="s">
        <v>887</v>
      </c>
      <c r="C121" s="1" t="s">
        <v>888</v>
      </c>
    </row>
    <row r="122" spans="1:3" ht="29" x14ac:dyDescent="0.35">
      <c r="A122">
        <f t="shared" si="1"/>
        <v>121</v>
      </c>
      <c r="B122" s="1" t="s">
        <v>889</v>
      </c>
      <c r="C122" s="1" t="s">
        <v>890</v>
      </c>
    </row>
    <row r="123" spans="1:3" ht="29" x14ac:dyDescent="0.35">
      <c r="A123">
        <f t="shared" si="1"/>
        <v>122</v>
      </c>
      <c r="B123" s="1" t="s">
        <v>1278</v>
      </c>
      <c r="C123" s="1" t="s">
        <v>1279</v>
      </c>
    </row>
    <row r="124" spans="1:3" ht="29" x14ac:dyDescent="0.35">
      <c r="A124">
        <f t="shared" si="1"/>
        <v>123</v>
      </c>
      <c r="B124" s="1" t="s">
        <v>1280</v>
      </c>
      <c r="C124" s="1" t="s">
        <v>1281</v>
      </c>
    </row>
    <row r="125" spans="1:3" x14ac:dyDescent="0.35">
      <c r="A125">
        <f t="shared" si="1"/>
        <v>124</v>
      </c>
      <c r="B125" s="1" t="s">
        <v>891</v>
      </c>
      <c r="C125" s="1" t="s">
        <v>892</v>
      </c>
    </row>
    <row r="126" spans="1:3" ht="29" x14ac:dyDescent="0.35">
      <c r="A126">
        <f t="shared" si="1"/>
        <v>125</v>
      </c>
      <c r="B126" s="1" t="s">
        <v>1282</v>
      </c>
      <c r="C126" s="1" t="s">
        <v>1283</v>
      </c>
    </row>
    <row r="127" spans="1:3" ht="29" x14ac:dyDescent="0.35">
      <c r="A127">
        <f t="shared" si="1"/>
        <v>126</v>
      </c>
      <c r="B127" s="1" t="s">
        <v>893</v>
      </c>
      <c r="C127" s="1" t="s">
        <v>894</v>
      </c>
    </row>
    <row r="128" spans="1:3" x14ac:dyDescent="0.35">
      <c r="A128">
        <f t="shared" si="1"/>
        <v>127</v>
      </c>
      <c r="B128" s="1" t="s">
        <v>895</v>
      </c>
      <c r="C128" s="1" t="s">
        <v>896</v>
      </c>
    </row>
    <row r="129" spans="1:3" ht="29" x14ac:dyDescent="0.35">
      <c r="A129">
        <f t="shared" si="1"/>
        <v>128</v>
      </c>
      <c r="B129" s="1" t="s">
        <v>1284</v>
      </c>
      <c r="C129" s="1" t="s">
        <v>1285</v>
      </c>
    </row>
    <row r="130" spans="1:3" x14ac:dyDescent="0.35">
      <c r="A130">
        <f t="shared" si="1"/>
        <v>129</v>
      </c>
      <c r="B130" s="1" t="s">
        <v>897</v>
      </c>
      <c r="C130" s="1" t="s">
        <v>898</v>
      </c>
    </row>
    <row r="131" spans="1:3" x14ac:dyDescent="0.35">
      <c r="A131">
        <f t="shared" si="1"/>
        <v>130</v>
      </c>
      <c r="B131" s="1" t="s">
        <v>899</v>
      </c>
      <c r="C131" s="1" t="s">
        <v>900</v>
      </c>
    </row>
    <row r="132" spans="1:3" x14ac:dyDescent="0.35">
      <c r="A132">
        <f t="shared" ref="A132:A195" si="2">SUM(A131+1)</f>
        <v>131</v>
      </c>
      <c r="B132" s="1" t="s">
        <v>901</v>
      </c>
      <c r="C132" s="1" t="s">
        <v>902</v>
      </c>
    </row>
    <row r="133" spans="1:3" x14ac:dyDescent="0.35">
      <c r="A133">
        <f t="shared" si="2"/>
        <v>132</v>
      </c>
      <c r="B133" s="1" t="s">
        <v>1286</v>
      </c>
      <c r="C133" s="1" t="s">
        <v>1287</v>
      </c>
    </row>
    <row r="134" spans="1:3" ht="29" x14ac:dyDescent="0.35">
      <c r="A134">
        <f t="shared" si="2"/>
        <v>133</v>
      </c>
      <c r="B134" s="1" t="s">
        <v>1288</v>
      </c>
      <c r="C134" s="1" t="s">
        <v>1289</v>
      </c>
    </row>
    <row r="135" spans="1:3" x14ac:dyDescent="0.35">
      <c r="A135">
        <f t="shared" si="2"/>
        <v>134</v>
      </c>
      <c r="B135" s="1" t="s">
        <v>1290</v>
      </c>
      <c r="C135" s="1" t="s">
        <v>1291</v>
      </c>
    </row>
    <row r="136" spans="1:3" x14ac:dyDescent="0.35">
      <c r="A136">
        <f t="shared" si="2"/>
        <v>135</v>
      </c>
      <c r="B136" s="1" t="s">
        <v>903</v>
      </c>
      <c r="C136" s="1" t="s">
        <v>904</v>
      </c>
    </row>
    <row r="137" spans="1:3" x14ac:dyDescent="0.35">
      <c r="A137">
        <f t="shared" si="2"/>
        <v>136</v>
      </c>
      <c r="B137" s="1" t="s">
        <v>905</v>
      </c>
      <c r="C137" s="1" t="s">
        <v>906</v>
      </c>
    </row>
    <row r="138" spans="1:3" ht="29" x14ac:dyDescent="0.35">
      <c r="A138">
        <f t="shared" si="2"/>
        <v>137</v>
      </c>
      <c r="B138" s="1" t="s">
        <v>907</v>
      </c>
      <c r="C138" s="1" t="s">
        <v>908</v>
      </c>
    </row>
    <row r="139" spans="1:3" x14ac:dyDescent="0.35">
      <c r="A139">
        <f t="shared" si="2"/>
        <v>138</v>
      </c>
      <c r="B139" s="1" t="s">
        <v>1292</v>
      </c>
    </row>
    <row r="140" spans="1:3" x14ac:dyDescent="0.35">
      <c r="A140">
        <f t="shared" si="2"/>
        <v>139</v>
      </c>
      <c r="B140" s="1" t="s">
        <v>1293</v>
      </c>
      <c r="C140" s="1" t="s">
        <v>1294</v>
      </c>
    </row>
    <row r="141" spans="1:3" x14ac:dyDescent="0.35">
      <c r="A141">
        <f t="shared" si="2"/>
        <v>140</v>
      </c>
      <c r="B141" s="1" t="s">
        <v>909</v>
      </c>
      <c r="C141" s="1" t="s">
        <v>910</v>
      </c>
    </row>
    <row r="142" spans="1:3" ht="29" x14ac:dyDescent="0.35">
      <c r="A142">
        <f t="shared" si="2"/>
        <v>141</v>
      </c>
      <c r="B142" s="1" t="s">
        <v>911</v>
      </c>
      <c r="C142" s="1" t="s">
        <v>912</v>
      </c>
    </row>
    <row r="143" spans="1:3" ht="29" x14ac:dyDescent="0.35">
      <c r="A143">
        <f t="shared" si="2"/>
        <v>142</v>
      </c>
      <c r="B143" s="1" t="s">
        <v>913</v>
      </c>
      <c r="C143" s="1" t="s">
        <v>914</v>
      </c>
    </row>
    <row r="144" spans="1:3" ht="29" x14ac:dyDescent="0.35">
      <c r="A144">
        <f t="shared" si="2"/>
        <v>143</v>
      </c>
      <c r="B144" s="1" t="s">
        <v>915</v>
      </c>
      <c r="C144" s="1" t="s">
        <v>916</v>
      </c>
    </row>
    <row r="145" spans="1:4" x14ac:dyDescent="0.35">
      <c r="A145">
        <f t="shared" si="2"/>
        <v>144</v>
      </c>
      <c r="B145" s="1" t="s">
        <v>917</v>
      </c>
      <c r="C145" s="1" t="s">
        <v>918</v>
      </c>
    </row>
    <row r="146" spans="1:4" ht="29" x14ac:dyDescent="0.35">
      <c r="A146">
        <f t="shared" si="2"/>
        <v>145</v>
      </c>
      <c r="B146" s="1" t="s">
        <v>919</v>
      </c>
      <c r="C146" s="1" t="s">
        <v>920</v>
      </c>
    </row>
    <row r="147" spans="1:4" ht="29" x14ac:dyDescent="0.35">
      <c r="A147">
        <f t="shared" si="2"/>
        <v>146</v>
      </c>
      <c r="B147" s="1" t="s">
        <v>921</v>
      </c>
      <c r="C147" s="1" t="s">
        <v>922</v>
      </c>
    </row>
    <row r="148" spans="1:4" x14ac:dyDescent="0.35">
      <c r="A148">
        <f t="shared" si="2"/>
        <v>147</v>
      </c>
      <c r="B148" s="1" t="s">
        <v>923</v>
      </c>
      <c r="C148" s="1" t="s">
        <v>924</v>
      </c>
    </row>
    <row r="149" spans="1:4" x14ac:dyDescent="0.35">
      <c r="A149">
        <f t="shared" si="2"/>
        <v>148</v>
      </c>
      <c r="B149" s="1" t="s">
        <v>1295</v>
      </c>
      <c r="C149" s="1" t="s">
        <v>1296</v>
      </c>
    </row>
    <row r="150" spans="1:4" x14ac:dyDescent="0.35">
      <c r="A150">
        <f t="shared" si="2"/>
        <v>149</v>
      </c>
      <c r="B150" s="1" t="s">
        <v>925</v>
      </c>
      <c r="C150" s="1" t="s">
        <v>926</v>
      </c>
    </row>
    <row r="151" spans="1:4" x14ac:dyDescent="0.35">
      <c r="A151">
        <f t="shared" si="2"/>
        <v>150</v>
      </c>
      <c r="B151" s="1" t="s">
        <v>927</v>
      </c>
      <c r="C151" s="1" t="s">
        <v>928</v>
      </c>
    </row>
    <row r="152" spans="1:4" ht="29" x14ac:dyDescent="0.35">
      <c r="A152">
        <f t="shared" si="2"/>
        <v>151</v>
      </c>
      <c r="B152" s="1" t="s">
        <v>1297</v>
      </c>
      <c r="C152" s="1" t="s">
        <v>1298</v>
      </c>
    </row>
    <row r="153" spans="1:4" ht="43.5" x14ac:dyDescent="0.35">
      <c r="A153">
        <f t="shared" si="2"/>
        <v>152</v>
      </c>
      <c r="B153" s="1" t="s">
        <v>1299</v>
      </c>
      <c r="C153" s="1" t="s">
        <v>1300</v>
      </c>
      <c r="D153" s="1" t="s">
        <v>1301</v>
      </c>
    </row>
    <row r="154" spans="1:4" x14ac:dyDescent="0.35">
      <c r="A154">
        <f t="shared" si="2"/>
        <v>153</v>
      </c>
      <c r="B154" s="1" t="s">
        <v>929</v>
      </c>
      <c r="C154" s="1" t="s">
        <v>930</v>
      </c>
    </row>
    <row r="155" spans="1:4" x14ac:dyDescent="0.35">
      <c r="A155">
        <f t="shared" si="2"/>
        <v>154</v>
      </c>
      <c r="B155" s="1" t="s">
        <v>931</v>
      </c>
      <c r="C155" s="1" t="s">
        <v>932</v>
      </c>
    </row>
    <row r="156" spans="1:4" x14ac:dyDescent="0.35">
      <c r="A156">
        <f t="shared" si="2"/>
        <v>155</v>
      </c>
      <c r="B156" s="1" t="s">
        <v>1302</v>
      </c>
      <c r="C156" s="1" t="s">
        <v>1303</v>
      </c>
    </row>
    <row r="157" spans="1:4" ht="29" x14ac:dyDescent="0.35">
      <c r="A157">
        <f t="shared" si="2"/>
        <v>156</v>
      </c>
      <c r="B157" s="1" t="s">
        <v>933</v>
      </c>
      <c r="C157" s="1" t="s">
        <v>934</v>
      </c>
    </row>
    <row r="158" spans="1:4" ht="29" x14ac:dyDescent="0.35">
      <c r="A158">
        <f t="shared" si="2"/>
        <v>157</v>
      </c>
      <c r="B158" s="1" t="s">
        <v>933</v>
      </c>
      <c r="C158" s="1" t="s">
        <v>935</v>
      </c>
    </row>
    <row r="159" spans="1:4" ht="29" x14ac:dyDescent="0.35">
      <c r="A159">
        <f t="shared" si="2"/>
        <v>158</v>
      </c>
      <c r="B159" s="1" t="s">
        <v>933</v>
      </c>
      <c r="C159" s="1" t="s">
        <v>936</v>
      </c>
    </row>
    <row r="160" spans="1:4" ht="29" x14ac:dyDescent="0.35">
      <c r="A160">
        <f t="shared" si="2"/>
        <v>159</v>
      </c>
      <c r="B160" s="1" t="s">
        <v>933</v>
      </c>
      <c r="C160" s="1" t="s">
        <v>937</v>
      </c>
    </row>
    <row r="161" spans="1:4" ht="29" x14ac:dyDescent="0.35">
      <c r="A161">
        <f t="shared" si="2"/>
        <v>160</v>
      </c>
      <c r="B161" s="1" t="s">
        <v>323</v>
      </c>
    </row>
    <row r="162" spans="1:4" x14ac:dyDescent="0.35">
      <c r="A162">
        <f t="shared" si="2"/>
        <v>161</v>
      </c>
      <c r="B162" s="1" t="s">
        <v>1304</v>
      </c>
      <c r="C162" s="1" t="s">
        <v>1305</v>
      </c>
    </row>
    <row r="163" spans="1:4" ht="29" x14ac:dyDescent="0.35">
      <c r="A163">
        <f t="shared" si="2"/>
        <v>162</v>
      </c>
      <c r="B163" s="1" t="s">
        <v>1306</v>
      </c>
      <c r="C163" s="1" t="s">
        <v>1307</v>
      </c>
    </row>
    <row r="164" spans="1:4" ht="29" x14ac:dyDescent="0.35">
      <c r="A164">
        <f t="shared" si="2"/>
        <v>163</v>
      </c>
      <c r="B164" s="1" t="s">
        <v>938</v>
      </c>
      <c r="C164" s="1" t="s">
        <v>939</v>
      </c>
    </row>
    <row r="165" spans="1:4" ht="29" x14ac:dyDescent="0.35">
      <c r="A165">
        <f t="shared" si="2"/>
        <v>164</v>
      </c>
      <c r="B165" s="1" t="s">
        <v>1308</v>
      </c>
      <c r="C165" s="1" t="s">
        <v>1309</v>
      </c>
    </row>
    <row r="166" spans="1:4" ht="29" x14ac:dyDescent="0.35">
      <c r="A166">
        <f t="shared" si="2"/>
        <v>165</v>
      </c>
      <c r="B166" s="1" t="s">
        <v>1310</v>
      </c>
      <c r="C166" s="1" t="s">
        <v>1311</v>
      </c>
    </row>
    <row r="167" spans="1:4" ht="29" x14ac:dyDescent="0.35">
      <c r="A167">
        <f t="shared" si="2"/>
        <v>166</v>
      </c>
      <c r="B167" s="1" t="s">
        <v>1312</v>
      </c>
      <c r="C167" s="1" t="s">
        <v>1313</v>
      </c>
    </row>
    <row r="168" spans="1:4" ht="29" x14ac:dyDescent="0.35">
      <c r="A168">
        <f t="shared" si="2"/>
        <v>167</v>
      </c>
      <c r="B168" s="1" t="s">
        <v>940</v>
      </c>
      <c r="C168" s="1" t="s">
        <v>941</v>
      </c>
    </row>
    <row r="169" spans="1:4" ht="29" x14ac:dyDescent="0.35">
      <c r="A169">
        <f t="shared" si="2"/>
        <v>168</v>
      </c>
      <c r="B169" s="1" t="s">
        <v>942</v>
      </c>
      <c r="C169" s="1" t="s">
        <v>943</v>
      </c>
    </row>
    <row r="170" spans="1:4" x14ac:dyDescent="0.35">
      <c r="A170">
        <f t="shared" si="2"/>
        <v>169</v>
      </c>
      <c r="B170" s="1" t="s">
        <v>944</v>
      </c>
      <c r="C170" s="1" t="s">
        <v>945</v>
      </c>
    </row>
    <row r="171" spans="1:4" ht="29" x14ac:dyDescent="0.35">
      <c r="A171">
        <f t="shared" si="2"/>
        <v>170</v>
      </c>
      <c r="B171" s="1" t="s">
        <v>1314</v>
      </c>
      <c r="C171" s="1" t="s">
        <v>1315</v>
      </c>
    </row>
    <row r="172" spans="1:4" ht="29" x14ac:dyDescent="0.35">
      <c r="A172">
        <f t="shared" si="2"/>
        <v>171</v>
      </c>
      <c r="B172" s="1" t="s">
        <v>1316</v>
      </c>
      <c r="C172" s="1" t="s">
        <v>1317</v>
      </c>
    </row>
    <row r="173" spans="1:4" ht="29" x14ac:dyDescent="0.35">
      <c r="A173">
        <f t="shared" si="2"/>
        <v>172</v>
      </c>
      <c r="B173" s="1" t="s">
        <v>1318</v>
      </c>
      <c r="C173" s="1" t="s">
        <v>1319</v>
      </c>
    </row>
    <row r="174" spans="1:4" x14ac:dyDescent="0.35">
      <c r="A174">
        <f t="shared" si="2"/>
        <v>173</v>
      </c>
      <c r="B174" s="1" t="s">
        <v>1320</v>
      </c>
      <c r="C174" s="1" t="s">
        <v>1321</v>
      </c>
      <c r="D174" s="1" t="s">
        <v>1322</v>
      </c>
    </row>
    <row r="175" spans="1:4" x14ac:dyDescent="0.35">
      <c r="A175">
        <f t="shared" si="2"/>
        <v>174</v>
      </c>
      <c r="B175" s="1" t="s">
        <v>946</v>
      </c>
      <c r="C175" s="1" t="s">
        <v>947</v>
      </c>
    </row>
    <row r="176" spans="1:4" ht="29" x14ac:dyDescent="0.35">
      <c r="A176">
        <f t="shared" si="2"/>
        <v>175</v>
      </c>
      <c r="B176" s="1" t="s">
        <v>1323</v>
      </c>
      <c r="C176" s="1" t="s">
        <v>1324</v>
      </c>
    </row>
    <row r="177" spans="1:4" ht="29" x14ac:dyDescent="0.35">
      <c r="A177">
        <f t="shared" si="2"/>
        <v>176</v>
      </c>
      <c r="B177" s="1" t="s">
        <v>948</v>
      </c>
      <c r="C177" s="1" t="s">
        <v>949</v>
      </c>
    </row>
    <row r="178" spans="1:4" ht="29" x14ac:dyDescent="0.35">
      <c r="A178">
        <f t="shared" si="2"/>
        <v>177</v>
      </c>
      <c r="B178" s="1" t="s">
        <v>1325</v>
      </c>
      <c r="C178" s="1" t="s">
        <v>1326</v>
      </c>
    </row>
    <row r="179" spans="1:4" ht="29" x14ac:dyDescent="0.35">
      <c r="A179">
        <f t="shared" si="2"/>
        <v>178</v>
      </c>
      <c r="B179" s="1" t="s">
        <v>1327</v>
      </c>
      <c r="C179" s="1" t="s">
        <v>1328</v>
      </c>
    </row>
    <row r="180" spans="1:4" ht="29" x14ac:dyDescent="0.35">
      <c r="A180">
        <f t="shared" si="2"/>
        <v>179</v>
      </c>
      <c r="B180" s="1" t="s">
        <v>1329</v>
      </c>
      <c r="C180" s="1" t="s">
        <v>1330</v>
      </c>
    </row>
    <row r="181" spans="1:4" ht="29" x14ac:dyDescent="0.35">
      <c r="A181">
        <f t="shared" si="2"/>
        <v>180</v>
      </c>
      <c r="B181" s="1" t="s">
        <v>950</v>
      </c>
      <c r="C181" s="1" t="s">
        <v>951</v>
      </c>
    </row>
    <row r="182" spans="1:4" ht="29" x14ac:dyDescent="0.35">
      <c r="A182">
        <f t="shared" si="2"/>
        <v>181</v>
      </c>
      <c r="B182" s="1" t="s">
        <v>1331</v>
      </c>
      <c r="C182" s="1" t="s">
        <v>1332</v>
      </c>
    </row>
    <row r="183" spans="1:4" x14ac:dyDescent="0.35">
      <c r="A183">
        <f t="shared" si="2"/>
        <v>182</v>
      </c>
      <c r="B183" s="1" t="s">
        <v>952</v>
      </c>
      <c r="C183" s="1" t="s">
        <v>953</v>
      </c>
    </row>
    <row r="184" spans="1:4" x14ac:dyDescent="0.35">
      <c r="A184">
        <f t="shared" si="2"/>
        <v>183</v>
      </c>
      <c r="B184" s="1" t="s">
        <v>954</v>
      </c>
      <c r="C184" s="1" t="s">
        <v>955</v>
      </c>
    </row>
    <row r="185" spans="1:4" ht="29" x14ac:dyDescent="0.35">
      <c r="A185">
        <f t="shared" si="2"/>
        <v>184</v>
      </c>
      <c r="B185" s="1" t="s">
        <v>956</v>
      </c>
      <c r="C185" s="1" t="s">
        <v>957</v>
      </c>
    </row>
    <row r="186" spans="1:4" ht="29" x14ac:dyDescent="0.35">
      <c r="A186">
        <f t="shared" si="2"/>
        <v>185</v>
      </c>
      <c r="B186" s="1" t="s">
        <v>958</v>
      </c>
      <c r="C186" s="1" t="s">
        <v>959</v>
      </c>
    </row>
    <row r="187" spans="1:4" ht="29" x14ac:dyDescent="0.35">
      <c r="A187">
        <f t="shared" si="2"/>
        <v>186</v>
      </c>
      <c r="B187" s="1" t="s">
        <v>1333</v>
      </c>
      <c r="C187" s="1" t="s">
        <v>1334</v>
      </c>
    </row>
    <row r="188" spans="1:4" x14ac:dyDescent="0.35">
      <c r="A188">
        <f t="shared" si="2"/>
        <v>187</v>
      </c>
      <c r="B188" s="1" t="s">
        <v>1335</v>
      </c>
      <c r="C188" s="1" t="s">
        <v>1336</v>
      </c>
    </row>
    <row r="189" spans="1:4" ht="29" x14ac:dyDescent="0.35">
      <c r="A189">
        <f t="shared" si="2"/>
        <v>188</v>
      </c>
      <c r="B189" s="1" t="s">
        <v>1337</v>
      </c>
      <c r="C189" s="1" t="s">
        <v>1338</v>
      </c>
    </row>
    <row r="190" spans="1:4" ht="29" x14ac:dyDescent="0.35">
      <c r="A190">
        <f t="shared" si="2"/>
        <v>189</v>
      </c>
      <c r="B190" s="1" t="s">
        <v>368</v>
      </c>
    </row>
    <row r="191" spans="1:4" x14ac:dyDescent="0.35">
      <c r="A191">
        <f t="shared" si="2"/>
        <v>190</v>
      </c>
      <c r="B191" s="1" t="s">
        <v>960</v>
      </c>
      <c r="C191" s="1" t="s">
        <v>961</v>
      </c>
      <c r="D191" s="1" t="s">
        <v>962</v>
      </c>
    </row>
    <row r="192" spans="1:4" ht="29" x14ac:dyDescent="0.35">
      <c r="A192">
        <f t="shared" si="2"/>
        <v>191</v>
      </c>
      <c r="B192" s="1" t="s">
        <v>1339</v>
      </c>
      <c r="C192" s="1" t="s">
        <v>1340</v>
      </c>
    </row>
    <row r="193" spans="1:3" x14ac:dyDescent="0.35">
      <c r="A193">
        <f t="shared" si="2"/>
        <v>192</v>
      </c>
      <c r="B193" s="1" t="s">
        <v>1341</v>
      </c>
      <c r="C193" s="1" t="s">
        <v>1342</v>
      </c>
    </row>
    <row r="194" spans="1:3" ht="29" x14ac:dyDescent="0.35">
      <c r="A194">
        <f t="shared" si="2"/>
        <v>193</v>
      </c>
      <c r="B194" s="1" t="s">
        <v>963</v>
      </c>
      <c r="C194" s="1" t="s">
        <v>964</v>
      </c>
    </row>
    <row r="195" spans="1:3" ht="29" x14ac:dyDescent="0.35">
      <c r="A195">
        <f t="shared" si="2"/>
        <v>194</v>
      </c>
      <c r="B195" s="1" t="s">
        <v>965</v>
      </c>
      <c r="C195" s="1" t="s">
        <v>966</v>
      </c>
    </row>
    <row r="196" spans="1:3" ht="29" x14ac:dyDescent="0.35">
      <c r="A196">
        <f t="shared" ref="A196:A259" si="3">SUM(A195+1)</f>
        <v>195</v>
      </c>
      <c r="B196" s="1" t="s">
        <v>1343</v>
      </c>
      <c r="C196" s="1" t="s">
        <v>1344</v>
      </c>
    </row>
    <row r="197" spans="1:3" ht="29" x14ac:dyDescent="0.35">
      <c r="A197">
        <f t="shared" si="3"/>
        <v>196</v>
      </c>
      <c r="B197" s="1" t="s">
        <v>967</v>
      </c>
      <c r="C197" s="1" t="s">
        <v>968</v>
      </c>
    </row>
    <row r="198" spans="1:3" ht="29" x14ac:dyDescent="0.35">
      <c r="A198">
        <f t="shared" si="3"/>
        <v>197</v>
      </c>
      <c r="B198" s="1" t="s">
        <v>1345</v>
      </c>
      <c r="C198" s="1" t="s">
        <v>1346</v>
      </c>
    </row>
    <row r="199" spans="1:3" ht="29" x14ac:dyDescent="0.35">
      <c r="A199">
        <f t="shared" si="3"/>
        <v>198</v>
      </c>
      <c r="B199" s="1" t="s">
        <v>969</v>
      </c>
      <c r="C199" s="1" t="s">
        <v>970</v>
      </c>
    </row>
    <row r="200" spans="1:3" ht="29" x14ac:dyDescent="0.35">
      <c r="A200">
        <f t="shared" si="3"/>
        <v>199</v>
      </c>
      <c r="B200" s="1" t="s">
        <v>969</v>
      </c>
      <c r="C200" s="1" t="s">
        <v>971</v>
      </c>
    </row>
    <row r="201" spans="1:3" ht="29" x14ac:dyDescent="0.35">
      <c r="A201">
        <f t="shared" si="3"/>
        <v>200</v>
      </c>
      <c r="B201" s="1" t="s">
        <v>969</v>
      </c>
      <c r="C201" s="1" t="s">
        <v>972</v>
      </c>
    </row>
    <row r="202" spans="1:3" ht="29" x14ac:dyDescent="0.35">
      <c r="A202">
        <f t="shared" si="3"/>
        <v>201</v>
      </c>
      <c r="B202" s="1" t="s">
        <v>969</v>
      </c>
      <c r="C202" s="1" t="s">
        <v>973</v>
      </c>
    </row>
    <row r="203" spans="1:3" ht="29" x14ac:dyDescent="0.35">
      <c r="A203">
        <f t="shared" si="3"/>
        <v>202</v>
      </c>
      <c r="B203" s="1" t="s">
        <v>1347</v>
      </c>
      <c r="C203" s="1" t="s">
        <v>1348</v>
      </c>
    </row>
    <row r="204" spans="1:3" x14ac:dyDescent="0.35">
      <c r="A204">
        <f t="shared" si="3"/>
        <v>203</v>
      </c>
      <c r="B204" s="1" t="s">
        <v>974</v>
      </c>
      <c r="C204" s="1" t="s">
        <v>918</v>
      </c>
    </row>
    <row r="205" spans="1:3" ht="29" x14ac:dyDescent="0.35">
      <c r="A205">
        <f t="shared" si="3"/>
        <v>204</v>
      </c>
      <c r="B205" s="1" t="s">
        <v>975</v>
      </c>
      <c r="C205" s="1" t="s">
        <v>976</v>
      </c>
    </row>
    <row r="206" spans="1:3" ht="29" x14ac:dyDescent="0.35">
      <c r="A206">
        <f t="shared" si="3"/>
        <v>205</v>
      </c>
      <c r="B206" s="1" t="s">
        <v>977</v>
      </c>
      <c r="C206" s="1" t="s">
        <v>978</v>
      </c>
    </row>
    <row r="207" spans="1:3" ht="29" x14ac:dyDescent="0.35">
      <c r="A207">
        <f t="shared" si="3"/>
        <v>206</v>
      </c>
      <c r="B207" s="1" t="s">
        <v>1349</v>
      </c>
      <c r="C207" s="1" t="s">
        <v>1350</v>
      </c>
    </row>
    <row r="208" spans="1:3" ht="29" x14ac:dyDescent="0.35">
      <c r="A208">
        <f t="shared" si="3"/>
        <v>207</v>
      </c>
      <c r="B208" s="1" t="s">
        <v>1351</v>
      </c>
      <c r="C208" s="1" t="s">
        <v>1352</v>
      </c>
    </row>
    <row r="209" spans="1:3" ht="29" x14ac:dyDescent="0.35">
      <c r="A209">
        <f t="shared" si="3"/>
        <v>208</v>
      </c>
      <c r="B209" s="1" t="s">
        <v>979</v>
      </c>
      <c r="C209" s="1" t="s">
        <v>980</v>
      </c>
    </row>
    <row r="210" spans="1:3" x14ac:dyDescent="0.35">
      <c r="A210">
        <f t="shared" si="3"/>
        <v>209</v>
      </c>
      <c r="B210" s="1" t="s">
        <v>981</v>
      </c>
      <c r="C210" s="1" t="s">
        <v>982</v>
      </c>
    </row>
    <row r="211" spans="1:3" x14ac:dyDescent="0.35">
      <c r="A211">
        <f t="shared" si="3"/>
        <v>210</v>
      </c>
      <c r="B211" s="1" t="s">
        <v>983</v>
      </c>
      <c r="C211" s="1" t="s">
        <v>984</v>
      </c>
    </row>
    <row r="212" spans="1:3" ht="29" x14ac:dyDescent="0.35">
      <c r="A212">
        <f t="shared" si="3"/>
        <v>211</v>
      </c>
      <c r="B212" s="1" t="s">
        <v>1353</v>
      </c>
      <c r="C212" s="1" t="s">
        <v>1354</v>
      </c>
    </row>
    <row r="213" spans="1:3" ht="29" x14ac:dyDescent="0.35">
      <c r="A213">
        <f t="shared" si="3"/>
        <v>212</v>
      </c>
      <c r="B213" s="1" t="s">
        <v>985</v>
      </c>
      <c r="C213" s="1" t="s">
        <v>986</v>
      </c>
    </row>
    <row r="214" spans="1:3" ht="29" x14ac:dyDescent="0.35">
      <c r="A214">
        <f t="shared" si="3"/>
        <v>213</v>
      </c>
      <c r="B214" s="1" t="s">
        <v>1355</v>
      </c>
      <c r="C214" s="1" t="s">
        <v>1356</v>
      </c>
    </row>
    <row r="215" spans="1:3" ht="29" x14ac:dyDescent="0.35">
      <c r="A215">
        <f t="shared" si="3"/>
        <v>214</v>
      </c>
      <c r="B215" s="1" t="s">
        <v>1357</v>
      </c>
      <c r="C215" s="1" t="s">
        <v>1358</v>
      </c>
    </row>
    <row r="216" spans="1:3" ht="29" x14ac:dyDescent="0.35">
      <c r="A216">
        <f t="shared" si="3"/>
        <v>215</v>
      </c>
      <c r="B216" s="1" t="s">
        <v>987</v>
      </c>
      <c r="C216" s="1" t="s">
        <v>988</v>
      </c>
    </row>
    <row r="217" spans="1:3" x14ac:dyDescent="0.35">
      <c r="A217">
        <f t="shared" si="3"/>
        <v>216</v>
      </c>
      <c r="B217" s="1" t="s">
        <v>989</v>
      </c>
      <c r="C217" s="1" t="s">
        <v>990</v>
      </c>
    </row>
    <row r="218" spans="1:3" x14ac:dyDescent="0.35">
      <c r="A218">
        <f t="shared" si="3"/>
        <v>217</v>
      </c>
      <c r="B218" s="1" t="s">
        <v>991</v>
      </c>
      <c r="C218" s="1" t="s">
        <v>992</v>
      </c>
    </row>
    <row r="219" spans="1:3" ht="29" x14ac:dyDescent="0.35">
      <c r="A219">
        <f t="shared" si="3"/>
        <v>218</v>
      </c>
      <c r="B219" s="1" t="s">
        <v>1359</v>
      </c>
      <c r="C219" s="1" t="s">
        <v>1360</v>
      </c>
    </row>
    <row r="220" spans="1:3" ht="29" x14ac:dyDescent="0.35">
      <c r="A220">
        <f t="shared" si="3"/>
        <v>219</v>
      </c>
      <c r="B220" s="1" t="s">
        <v>993</v>
      </c>
      <c r="C220" s="1" t="s">
        <v>994</v>
      </c>
    </row>
    <row r="221" spans="1:3" x14ac:dyDescent="0.35">
      <c r="A221">
        <f t="shared" si="3"/>
        <v>220</v>
      </c>
      <c r="B221" s="1" t="s">
        <v>995</v>
      </c>
      <c r="C221" s="1" t="s">
        <v>996</v>
      </c>
    </row>
    <row r="222" spans="1:3" ht="29" x14ac:dyDescent="0.35">
      <c r="A222">
        <f t="shared" si="3"/>
        <v>221</v>
      </c>
      <c r="B222" s="1" t="s">
        <v>1361</v>
      </c>
      <c r="C222" s="1" t="s">
        <v>1362</v>
      </c>
    </row>
    <row r="223" spans="1:3" ht="29" x14ac:dyDescent="0.35">
      <c r="A223">
        <f t="shared" si="3"/>
        <v>222</v>
      </c>
      <c r="B223" s="1" t="s">
        <v>1363</v>
      </c>
      <c r="C223" s="1" t="s">
        <v>1364</v>
      </c>
    </row>
    <row r="224" spans="1:3" ht="29" x14ac:dyDescent="0.35">
      <c r="A224">
        <f t="shared" si="3"/>
        <v>223</v>
      </c>
      <c r="B224" s="1" t="s">
        <v>997</v>
      </c>
      <c r="C224" s="1" t="s">
        <v>998</v>
      </c>
    </row>
    <row r="225" spans="1:4" x14ac:dyDescent="0.35">
      <c r="A225">
        <f t="shared" si="3"/>
        <v>224</v>
      </c>
      <c r="B225" s="1" t="s">
        <v>999</v>
      </c>
      <c r="C225" s="1" t="s">
        <v>990</v>
      </c>
    </row>
    <row r="226" spans="1:4" ht="29" x14ac:dyDescent="0.35">
      <c r="A226">
        <f t="shared" si="3"/>
        <v>225</v>
      </c>
      <c r="B226" s="1" t="s">
        <v>1000</v>
      </c>
      <c r="C226" s="1" t="s">
        <v>1001</v>
      </c>
    </row>
    <row r="227" spans="1:4" x14ac:dyDescent="0.35">
      <c r="A227">
        <f t="shared" si="3"/>
        <v>226</v>
      </c>
      <c r="B227" s="1" t="s">
        <v>1002</v>
      </c>
      <c r="C227" s="1" t="s">
        <v>1003</v>
      </c>
    </row>
    <row r="228" spans="1:4" ht="29" x14ac:dyDescent="0.35">
      <c r="A228">
        <f t="shared" si="3"/>
        <v>227</v>
      </c>
      <c r="B228" s="1" t="s">
        <v>1004</v>
      </c>
      <c r="C228" s="1" t="s">
        <v>1005</v>
      </c>
    </row>
    <row r="229" spans="1:4" ht="29" x14ac:dyDescent="0.35">
      <c r="A229">
        <f t="shared" si="3"/>
        <v>228</v>
      </c>
      <c r="B229" s="1" t="s">
        <v>1365</v>
      </c>
      <c r="C229" s="1" t="s">
        <v>1366</v>
      </c>
    </row>
    <row r="230" spans="1:4" x14ac:dyDescent="0.35">
      <c r="A230">
        <f t="shared" si="3"/>
        <v>229</v>
      </c>
      <c r="B230" s="1" t="s">
        <v>1006</v>
      </c>
      <c r="C230" s="1" t="s">
        <v>1007</v>
      </c>
    </row>
    <row r="231" spans="1:4" ht="29" x14ac:dyDescent="0.35">
      <c r="A231">
        <f t="shared" si="3"/>
        <v>230</v>
      </c>
      <c r="B231" s="1" t="s">
        <v>1367</v>
      </c>
    </row>
    <row r="232" spans="1:4" ht="29" x14ac:dyDescent="0.35">
      <c r="A232">
        <f t="shared" si="3"/>
        <v>231</v>
      </c>
      <c r="B232" s="1" t="s">
        <v>1368</v>
      </c>
      <c r="C232" s="1" t="s">
        <v>1369</v>
      </c>
    </row>
    <row r="233" spans="1:4" ht="29" x14ac:dyDescent="0.35">
      <c r="A233">
        <f t="shared" si="3"/>
        <v>232</v>
      </c>
      <c r="B233" s="1" t="s">
        <v>1008</v>
      </c>
      <c r="C233" s="1" t="s">
        <v>1009</v>
      </c>
    </row>
    <row r="234" spans="1:4" ht="29" x14ac:dyDescent="0.35">
      <c r="A234">
        <f t="shared" si="3"/>
        <v>233</v>
      </c>
      <c r="B234" s="1" t="s">
        <v>1370</v>
      </c>
      <c r="C234" s="1" t="s">
        <v>1371</v>
      </c>
    </row>
    <row r="235" spans="1:4" ht="29" x14ac:dyDescent="0.35">
      <c r="A235">
        <f t="shared" si="3"/>
        <v>234</v>
      </c>
      <c r="B235" s="1" t="s">
        <v>1372</v>
      </c>
      <c r="C235" s="1" t="s">
        <v>1373</v>
      </c>
    </row>
    <row r="236" spans="1:4" ht="29" x14ac:dyDescent="0.35">
      <c r="A236">
        <f t="shared" si="3"/>
        <v>235</v>
      </c>
      <c r="B236" s="1" t="s">
        <v>1374</v>
      </c>
      <c r="C236" s="1" t="s">
        <v>1375</v>
      </c>
      <c r="D236" s="1" t="s">
        <v>1376</v>
      </c>
    </row>
    <row r="237" spans="1:4" ht="29" x14ac:dyDescent="0.35">
      <c r="A237">
        <f t="shared" si="3"/>
        <v>236</v>
      </c>
      <c r="B237" s="1" t="s">
        <v>1377</v>
      </c>
      <c r="C237" s="1" t="s">
        <v>1378</v>
      </c>
      <c r="D237" s="1" t="s">
        <v>1379</v>
      </c>
    </row>
    <row r="238" spans="1:4" ht="29" x14ac:dyDescent="0.35">
      <c r="A238">
        <f t="shared" si="3"/>
        <v>237</v>
      </c>
      <c r="B238" s="1" t="s">
        <v>1380</v>
      </c>
      <c r="C238" s="1" t="s">
        <v>1381</v>
      </c>
    </row>
    <row r="239" spans="1:4" ht="29" x14ac:dyDescent="0.35">
      <c r="A239">
        <f t="shared" si="3"/>
        <v>238</v>
      </c>
      <c r="B239" s="1" t="s">
        <v>1010</v>
      </c>
      <c r="C239" s="1" t="s">
        <v>1011</v>
      </c>
    </row>
    <row r="240" spans="1:4" ht="29" x14ac:dyDescent="0.35">
      <c r="A240">
        <f t="shared" si="3"/>
        <v>239</v>
      </c>
      <c r="B240" s="1" t="s">
        <v>1382</v>
      </c>
      <c r="C240" s="1" t="s">
        <v>1383</v>
      </c>
    </row>
    <row r="241" spans="1:4" ht="29" x14ac:dyDescent="0.35">
      <c r="A241">
        <f t="shared" si="3"/>
        <v>240</v>
      </c>
      <c r="B241" s="1" t="s">
        <v>1012</v>
      </c>
      <c r="C241" s="1" t="s">
        <v>1013</v>
      </c>
    </row>
    <row r="242" spans="1:4" ht="29" x14ac:dyDescent="0.35">
      <c r="A242">
        <f t="shared" si="3"/>
        <v>241</v>
      </c>
      <c r="B242" s="1" t="s">
        <v>1384</v>
      </c>
      <c r="C242" s="1" t="s">
        <v>1385</v>
      </c>
    </row>
    <row r="243" spans="1:4" ht="29" x14ac:dyDescent="0.35">
      <c r="A243">
        <f t="shared" si="3"/>
        <v>242</v>
      </c>
      <c r="B243" s="1" t="s">
        <v>1014</v>
      </c>
      <c r="C243" s="1" t="s">
        <v>1015</v>
      </c>
    </row>
    <row r="244" spans="1:4" ht="29" x14ac:dyDescent="0.35">
      <c r="A244">
        <f t="shared" si="3"/>
        <v>243</v>
      </c>
      <c r="B244" s="1" t="s">
        <v>1016</v>
      </c>
      <c r="C244" s="1" t="s">
        <v>1017</v>
      </c>
    </row>
    <row r="245" spans="1:4" ht="29" x14ac:dyDescent="0.35">
      <c r="A245">
        <f t="shared" si="3"/>
        <v>244</v>
      </c>
      <c r="B245" s="1" t="s">
        <v>1386</v>
      </c>
      <c r="C245" s="1" t="s">
        <v>1387</v>
      </c>
    </row>
    <row r="246" spans="1:4" x14ac:dyDescent="0.35">
      <c r="A246">
        <f t="shared" si="3"/>
        <v>245</v>
      </c>
      <c r="B246" s="1" t="s">
        <v>1018</v>
      </c>
      <c r="C246" s="1" t="s">
        <v>1019</v>
      </c>
    </row>
    <row r="247" spans="1:4" ht="29" x14ac:dyDescent="0.35">
      <c r="A247">
        <f t="shared" si="3"/>
        <v>246</v>
      </c>
      <c r="B247" s="1" t="s">
        <v>1388</v>
      </c>
      <c r="C247" s="1" t="s">
        <v>1389</v>
      </c>
      <c r="D247" s="1" t="s">
        <v>1390</v>
      </c>
    </row>
    <row r="248" spans="1:4" ht="29" x14ac:dyDescent="0.35">
      <c r="A248">
        <f t="shared" si="3"/>
        <v>247</v>
      </c>
      <c r="B248" s="1" t="s">
        <v>1391</v>
      </c>
      <c r="C248" s="1" t="s">
        <v>1392</v>
      </c>
    </row>
    <row r="249" spans="1:4" ht="29" x14ac:dyDescent="0.35">
      <c r="A249">
        <f t="shared" si="3"/>
        <v>248</v>
      </c>
      <c r="B249" s="1" t="s">
        <v>1393</v>
      </c>
    </row>
    <row r="250" spans="1:4" ht="29" x14ac:dyDescent="0.35">
      <c r="A250">
        <f t="shared" si="3"/>
        <v>249</v>
      </c>
      <c r="B250" s="1" t="s">
        <v>1394</v>
      </c>
      <c r="C250" s="1" t="s">
        <v>1395</v>
      </c>
    </row>
    <row r="251" spans="1:4" x14ac:dyDescent="0.35">
      <c r="A251">
        <f t="shared" si="3"/>
        <v>250</v>
      </c>
      <c r="B251" s="1" t="s">
        <v>1396</v>
      </c>
      <c r="C251" s="1" t="s">
        <v>1397</v>
      </c>
    </row>
    <row r="252" spans="1:4" x14ac:dyDescent="0.35">
      <c r="A252">
        <f t="shared" si="3"/>
        <v>251</v>
      </c>
      <c r="B252" s="1" t="s">
        <v>1398</v>
      </c>
      <c r="C252" s="1" t="s">
        <v>1399</v>
      </c>
      <c r="D252" s="1" t="s">
        <v>1400</v>
      </c>
    </row>
    <row r="253" spans="1:4" ht="29" x14ac:dyDescent="0.35">
      <c r="A253">
        <f t="shared" si="3"/>
        <v>252</v>
      </c>
      <c r="B253" s="1" t="s">
        <v>1401</v>
      </c>
      <c r="C253" s="1" t="s">
        <v>1402</v>
      </c>
      <c r="D253" s="1" t="s">
        <v>1403</v>
      </c>
    </row>
    <row r="254" spans="1:4" ht="29" x14ac:dyDescent="0.35">
      <c r="A254">
        <f t="shared" si="3"/>
        <v>253</v>
      </c>
      <c r="B254" s="1" t="s">
        <v>1404</v>
      </c>
      <c r="C254" s="1" t="s">
        <v>1405</v>
      </c>
    </row>
    <row r="255" spans="1:4" ht="29" x14ac:dyDescent="0.35">
      <c r="A255">
        <f t="shared" si="3"/>
        <v>254</v>
      </c>
      <c r="B255" s="1" t="s">
        <v>1406</v>
      </c>
      <c r="C255" s="1" t="s">
        <v>1407</v>
      </c>
    </row>
    <row r="256" spans="1:4" x14ac:dyDescent="0.35">
      <c r="A256">
        <f t="shared" si="3"/>
        <v>255</v>
      </c>
      <c r="B256" s="1" t="s">
        <v>1020</v>
      </c>
      <c r="C256" s="1" t="s">
        <v>1021</v>
      </c>
    </row>
    <row r="257" spans="1:4" x14ac:dyDescent="0.35">
      <c r="A257">
        <f t="shared" si="3"/>
        <v>256</v>
      </c>
      <c r="B257" s="1" t="s">
        <v>1022</v>
      </c>
      <c r="C257" s="1" t="s">
        <v>1023</v>
      </c>
    </row>
    <row r="258" spans="1:4" ht="29" x14ac:dyDescent="0.35">
      <c r="A258">
        <f t="shared" si="3"/>
        <v>257</v>
      </c>
      <c r="B258" s="1" t="s">
        <v>1408</v>
      </c>
      <c r="C258" s="1" t="s">
        <v>1409</v>
      </c>
    </row>
    <row r="259" spans="1:4" x14ac:dyDescent="0.35">
      <c r="A259">
        <f t="shared" si="3"/>
        <v>258</v>
      </c>
      <c r="B259" s="1" t="s">
        <v>1024</v>
      </c>
      <c r="C259" s="1" t="s">
        <v>1025</v>
      </c>
    </row>
    <row r="260" spans="1:4" ht="29" x14ac:dyDescent="0.35">
      <c r="A260">
        <f t="shared" ref="A260:A323" si="4">SUM(A259+1)</f>
        <v>259</v>
      </c>
      <c r="B260" s="1" t="s">
        <v>1410</v>
      </c>
      <c r="C260" s="1" t="s">
        <v>1411</v>
      </c>
    </row>
    <row r="261" spans="1:4" x14ac:dyDescent="0.35">
      <c r="A261">
        <f t="shared" si="4"/>
        <v>260</v>
      </c>
      <c r="B261" s="1" t="s">
        <v>1026</v>
      </c>
      <c r="C261" s="1" t="s">
        <v>1027</v>
      </c>
    </row>
    <row r="262" spans="1:4" x14ac:dyDescent="0.35">
      <c r="A262">
        <f t="shared" si="4"/>
        <v>261</v>
      </c>
      <c r="B262" s="1" t="s">
        <v>1028</v>
      </c>
      <c r="C262" s="1" t="s">
        <v>1029</v>
      </c>
    </row>
    <row r="263" spans="1:4" x14ac:dyDescent="0.35">
      <c r="A263">
        <f t="shared" si="4"/>
        <v>262</v>
      </c>
      <c r="B263" s="1" t="s">
        <v>1030</v>
      </c>
      <c r="C263" s="1" t="s">
        <v>1031</v>
      </c>
    </row>
    <row r="264" spans="1:4" ht="29" x14ac:dyDescent="0.35">
      <c r="A264">
        <f t="shared" si="4"/>
        <v>263</v>
      </c>
      <c r="B264" s="1" t="s">
        <v>1412</v>
      </c>
      <c r="C264" s="1" t="s">
        <v>1413</v>
      </c>
    </row>
    <row r="265" spans="1:4" ht="29" x14ac:dyDescent="0.35">
      <c r="A265">
        <f t="shared" si="4"/>
        <v>264</v>
      </c>
      <c r="B265" s="1" t="s">
        <v>1414</v>
      </c>
    </row>
    <row r="266" spans="1:4" ht="29" x14ac:dyDescent="0.35">
      <c r="A266">
        <f t="shared" si="4"/>
        <v>265</v>
      </c>
      <c r="B266" s="1" t="s">
        <v>1415</v>
      </c>
      <c r="C266" s="1" t="s">
        <v>1416</v>
      </c>
    </row>
    <row r="267" spans="1:4" x14ac:dyDescent="0.35">
      <c r="A267">
        <f t="shared" si="4"/>
        <v>266</v>
      </c>
      <c r="B267" s="1" t="s">
        <v>1032</v>
      </c>
      <c r="C267" s="1" t="s">
        <v>1033</v>
      </c>
    </row>
    <row r="268" spans="1:4" x14ac:dyDescent="0.35">
      <c r="A268">
        <f t="shared" si="4"/>
        <v>267</v>
      </c>
      <c r="B268" s="1" t="s">
        <v>497</v>
      </c>
    </row>
    <row r="269" spans="1:4" ht="72.5" x14ac:dyDescent="0.35">
      <c r="A269">
        <f t="shared" si="4"/>
        <v>268</v>
      </c>
      <c r="B269" s="1" t="s">
        <v>1417</v>
      </c>
      <c r="C269" s="1" t="s">
        <v>1418</v>
      </c>
      <c r="D269" s="1" t="s">
        <v>1419</v>
      </c>
    </row>
    <row r="270" spans="1:4" ht="29" x14ac:dyDescent="0.35">
      <c r="A270">
        <f t="shared" si="4"/>
        <v>269</v>
      </c>
      <c r="B270" s="1" t="s">
        <v>1034</v>
      </c>
      <c r="C270" s="1" t="s">
        <v>1035</v>
      </c>
    </row>
    <row r="271" spans="1:4" x14ac:dyDescent="0.35">
      <c r="A271">
        <f t="shared" si="4"/>
        <v>270</v>
      </c>
      <c r="B271" s="1" t="s">
        <v>502</v>
      </c>
    </row>
    <row r="272" spans="1:4" ht="29" x14ac:dyDescent="0.35">
      <c r="A272">
        <f t="shared" si="4"/>
        <v>271</v>
      </c>
      <c r="B272" s="1" t="s">
        <v>1420</v>
      </c>
      <c r="C272" s="1" t="s">
        <v>1421</v>
      </c>
    </row>
    <row r="273" spans="1:4" x14ac:dyDescent="0.35">
      <c r="A273">
        <f t="shared" si="4"/>
        <v>272</v>
      </c>
      <c r="B273" s="1" t="s">
        <v>1422</v>
      </c>
      <c r="C273" s="1" t="s">
        <v>1423</v>
      </c>
    </row>
    <row r="274" spans="1:4" ht="29" x14ac:dyDescent="0.35">
      <c r="A274">
        <f t="shared" si="4"/>
        <v>273</v>
      </c>
      <c r="B274" s="1" t="s">
        <v>1424</v>
      </c>
      <c r="C274" s="1" t="s">
        <v>1425</v>
      </c>
    </row>
    <row r="275" spans="1:4" ht="29" x14ac:dyDescent="0.35">
      <c r="A275">
        <f t="shared" si="4"/>
        <v>274</v>
      </c>
      <c r="B275" s="1" t="s">
        <v>1036</v>
      </c>
      <c r="C275" s="1" t="s">
        <v>1037</v>
      </c>
    </row>
    <row r="276" spans="1:4" x14ac:dyDescent="0.35">
      <c r="A276">
        <f t="shared" si="4"/>
        <v>275</v>
      </c>
      <c r="B276" s="1" t="s">
        <v>1426</v>
      </c>
      <c r="C276" s="1" t="s">
        <v>1427</v>
      </c>
    </row>
    <row r="277" spans="1:4" ht="29" x14ac:dyDescent="0.35">
      <c r="A277">
        <f t="shared" si="4"/>
        <v>276</v>
      </c>
      <c r="B277" s="1" t="s">
        <v>1428</v>
      </c>
      <c r="C277" s="1" t="s">
        <v>1429</v>
      </c>
    </row>
    <row r="278" spans="1:4" x14ac:dyDescent="0.35">
      <c r="A278">
        <f t="shared" si="4"/>
        <v>277</v>
      </c>
      <c r="B278" s="1" t="s">
        <v>1430</v>
      </c>
      <c r="C278" s="1" t="s">
        <v>1431</v>
      </c>
    </row>
    <row r="279" spans="1:4" x14ac:dyDescent="0.35">
      <c r="A279">
        <f t="shared" si="4"/>
        <v>278</v>
      </c>
      <c r="B279" s="1" t="s">
        <v>516</v>
      </c>
    </row>
    <row r="280" spans="1:4" x14ac:dyDescent="0.35">
      <c r="A280">
        <f t="shared" si="4"/>
        <v>279</v>
      </c>
      <c r="B280" s="1" t="s">
        <v>1432</v>
      </c>
      <c r="C280" s="1" t="s">
        <v>1433</v>
      </c>
    </row>
    <row r="281" spans="1:4" x14ac:dyDescent="0.35">
      <c r="A281">
        <f t="shared" si="4"/>
        <v>280</v>
      </c>
      <c r="B281" s="1" t="s">
        <v>1434</v>
      </c>
      <c r="C281" s="1" t="s">
        <v>1435</v>
      </c>
    </row>
    <row r="282" spans="1:4" ht="29" x14ac:dyDescent="0.35">
      <c r="A282">
        <f t="shared" si="4"/>
        <v>281</v>
      </c>
      <c r="B282" s="1" t="s">
        <v>1436</v>
      </c>
    </row>
    <row r="283" spans="1:4" ht="29" x14ac:dyDescent="0.35">
      <c r="A283">
        <f t="shared" si="4"/>
        <v>282</v>
      </c>
      <c r="B283" s="1" t="s">
        <v>1437</v>
      </c>
      <c r="C283" s="1" t="s">
        <v>1438</v>
      </c>
    </row>
    <row r="284" spans="1:4" ht="29" x14ac:dyDescent="0.35">
      <c r="A284">
        <f t="shared" si="4"/>
        <v>283</v>
      </c>
      <c r="B284" s="1" t="s">
        <v>1038</v>
      </c>
      <c r="C284" s="1" t="s">
        <v>1039</v>
      </c>
    </row>
    <row r="285" spans="1:4" ht="29" x14ac:dyDescent="0.35">
      <c r="A285">
        <f t="shared" si="4"/>
        <v>284</v>
      </c>
      <c r="B285" s="1" t="s">
        <v>1439</v>
      </c>
      <c r="C285" s="1" t="s">
        <v>1440</v>
      </c>
    </row>
    <row r="286" spans="1:4" x14ac:dyDescent="0.35">
      <c r="A286">
        <f t="shared" si="4"/>
        <v>285</v>
      </c>
      <c r="B286" s="1" t="s">
        <v>527</v>
      </c>
    </row>
    <row r="287" spans="1:4" ht="72.5" x14ac:dyDescent="0.35">
      <c r="A287">
        <f t="shared" si="4"/>
        <v>286</v>
      </c>
      <c r="B287" s="1" t="s">
        <v>1417</v>
      </c>
      <c r="C287" s="1" t="s">
        <v>1441</v>
      </c>
      <c r="D287" s="1" t="s">
        <v>1442</v>
      </c>
    </row>
    <row r="288" spans="1:4" ht="29" x14ac:dyDescent="0.35">
      <c r="A288">
        <f t="shared" si="4"/>
        <v>287</v>
      </c>
      <c r="B288" s="1" t="s">
        <v>1443</v>
      </c>
      <c r="C288" s="1" t="s">
        <v>1444</v>
      </c>
    </row>
    <row r="289" spans="1:4" ht="29" x14ac:dyDescent="0.35">
      <c r="A289">
        <f t="shared" si="4"/>
        <v>288</v>
      </c>
      <c r="B289" s="1" t="s">
        <v>1445</v>
      </c>
      <c r="C289" s="1" t="s">
        <v>1446</v>
      </c>
    </row>
    <row r="290" spans="1:4" ht="29" x14ac:dyDescent="0.35">
      <c r="A290">
        <f t="shared" si="4"/>
        <v>289</v>
      </c>
      <c r="B290" s="1" t="s">
        <v>1447</v>
      </c>
    </row>
    <row r="291" spans="1:4" ht="29" x14ac:dyDescent="0.35">
      <c r="A291">
        <f t="shared" si="4"/>
        <v>290</v>
      </c>
      <c r="B291" s="1" t="s">
        <v>1448</v>
      </c>
      <c r="C291" s="1" t="s">
        <v>1449</v>
      </c>
    </row>
    <row r="292" spans="1:4" x14ac:dyDescent="0.35">
      <c r="A292">
        <f t="shared" si="4"/>
        <v>291</v>
      </c>
      <c r="B292" s="1" t="s">
        <v>1450</v>
      </c>
    </row>
    <row r="293" spans="1:4" x14ac:dyDescent="0.35">
      <c r="A293">
        <f t="shared" si="4"/>
        <v>292</v>
      </c>
      <c r="B293" s="1" t="s">
        <v>1451</v>
      </c>
      <c r="C293" s="1" t="s">
        <v>1452</v>
      </c>
    </row>
    <row r="294" spans="1:4" ht="29" x14ac:dyDescent="0.35">
      <c r="A294">
        <f t="shared" si="4"/>
        <v>293</v>
      </c>
      <c r="B294" s="1" t="s">
        <v>1453</v>
      </c>
      <c r="C294" s="1" t="s">
        <v>1454</v>
      </c>
    </row>
    <row r="295" spans="1:4" ht="29" x14ac:dyDescent="0.35">
      <c r="A295">
        <f t="shared" si="4"/>
        <v>294</v>
      </c>
      <c r="B295" s="1" t="s">
        <v>1040</v>
      </c>
      <c r="C295" s="1" t="s">
        <v>1041</v>
      </c>
      <c r="D295" s="1" t="s">
        <v>1042</v>
      </c>
    </row>
    <row r="296" spans="1:4" x14ac:dyDescent="0.35">
      <c r="A296">
        <f t="shared" si="4"/>
        <v>295</v>
      </c>
      <c r="B296" s="1" t="s">
        <v>1043</v>
      </c>
      <c r="C296" s="1" t="s">
        <v>1044</v>
      </c>
    </row>
    <row r="297" spans="1:4" ht="29" x14ac:dyDescent="0.35">
      <c r="A297">
        <f t="shared" si="4"/>
        <v>296</v>
      </c>
      <c r="B297" s="1" t="s">
        <v>1045</v>
      </c>
      <c r="C297" s="1" t="s">
        <v>1046</v>
      </c>
    </row>
    <row r="298" spans="1:4" x14ac:dyDescent="0.35">
      <c r="A298">
        <f t="shared" si="4"/>
        <v>297</v>
      </c>
      <c r="B298" s="1" t="s">
        <v>1455</v>
      </c>
      <c r="C298" s="1" t="s">
        <v>1456</v>
      </c>
    </row>
    <row r="299" spans="1:4" x14ac:dyDescent="0.35">
      <c r="A299">
        <f t="shared" si="4"/>
        <v>298</v>
      </c>
      <c r="B299" s="1" t="s">
        <v>1455</v>
      </c>
      <c r="C299" s="1" t="s">
        <v>1457</v>
      </c>
    </row>
    <row r="300" spans="1:4" ht="29" x14ac:dyDescent="0.35">
      <c r="A300">
        <f t="shared" si="4"/>
        <v>299</v>
      </c>
      <c r="B300" s="1" t="s">
        <v>1040</v>
      </c>
      <c r="C300" s="1" t="s">
        <v>1047</v>
      </c>
      <c r="D300" s="1" t="s">
        <v>1048</v>
      </c>
    </row>
    <row r="301" spans="1:4" ht="29" x14ac:dyDescent="0.35">
      <c r="A301">
        <f t="shared" si="4"/>
        <v>300</v>
      </c>
      <c r="B301" s="1" t="s">
        <v>1458</v>
      </c>
      <c r="C301" s="1" t="s">
        <v>1459</v>
      </c>
    </row>
    <row r="302" spans="1:4" ht="29" x14ac:dyDescent="0.35">
      <c r="A302">
        <f t="shared" si="4"/>
        <v>301</v>
      </c>
      <c r="B302" s="1" t="s">
        <v>1049</v>
      </c>
      <c r="C302" s="1" t="s">
        <v>1050</v>
      </c>
    </row>
    <row r="303" spans="1:4" x14ac:dyDescent="0.35">
      <c r="A303">
        <f t="shared" si="4"/>
        <v>302</v>
      </c>
      <c r="B303" s="1" t="s">
        <v>1051</v>
      </c>
      <c r="C303" s="1" t="s">
        <v>1052</v>
      </c>
    </row>
    <row r="304" spans="1:4" ht="29" x14ac:dyDescent="0.35">
      <c r="A304">
        <f t="shared" si="4"/>
        <v>303</v>
      </c>
      <c r="B304" s="1" t="s">
        <v>1053</v>
      </c>
      <c r="C304" s="1" t="s">
        <v>1054</v>
      </c>
    </row>
    <row r="305" spans="1:4" ht="29" x14ac:dyDescent="0.35">
      <c r="A305">
        <f t="shared" si="4"/>
        <v>304</v>
      </c>
      <c r="B305" s="1" t="s">
        <v>1460</v>
      </c>
      <c r="C305" s="1" t="s">
        <v>1461</v>
      </c>
    </row>
    <row r="306" spans="1:4" ht="29" x14ac:dyDescent="0.35">
      <c r="A306">
        <f t="shared" si="4"/>
        <v>305</v>
      </c>
      <c r="B306" s="1" t="s">
        <v>1055</v>
      </c>
      <c r="C306" s="1" t="s">
        <v>1056</v>
      </c>
    </row>
    <row r="307" spans="1:4" ht="29" x14ac:dyDescent="0.35">
      <c r="A307">
        <f t="shared" si="4"/>
        <v>306</v>
      </c>
      <c r="B307" s="1" t="s">
        <v>566</v>
      </c>
    </row>
    <row r="308" spans="1:4" ht="29" x14ac:dyDescent="0.35">
      <c r="A308">
        <f t="shared" si="4"/>
        <v>307</v>
      </c>
      <c r="B308" s="1" t="s">
        <v>1462</v>
      </c>
    </row>
    <row r="309" spans="1:4" ht="29" x14ac:dyDescent="0.35">
      <c r="A309">
        <f t="shared" si="4"/>
        <v>308</v>
      </c>
      <c r="B309" s="1" t="s">
        <v>1463</v>
      </c>
      <c r="C309" s="1" t="s">
        <v>1464</v>
      </c>
    </row>
    <row r="310" spans="1:4" ht="29" x14ac:dyDescent="0.35">
      <c r="A310">
        <f t="shared" si="4"/>
        <v>309</v>
      </c>
      <c r="B310" s="1" t="s">
        <v>1463</v>
      </c>
      <c r="C310" s="1" t="s">
        <v>1465</v>
      </c>
    </row>
    <row r="311" spans="1:4" x14ac:dyDescent="0.35">
      <c r="A311">
        <f t="shared" si="4"/>
        <v>310</v>
      </c>
      <c r="B311" s="1" t="s">
        <v>1057</v>
      </c>
      <c r="C311" s="1" t="s">
        <v>1058</v>
      </c>
    </row>
    <row r="312" spans="1:4" ht="29" x14ac:dyDescent="0.35">
      <c r="A312">
        <f t="shared" si="4"/>
        <v>311</v>
      </c>
      <c r="B312" s="1" t="s">
        <v>1466</v>
      </c>
      <c r="C312" s="1" t="s">
        <v>1467</v>
      </c>
    </row>
    <row r="313" spans="1:4" ht="29" x14ac:dyDescent="0.35">
      <c r="A313">
        <f t="shared" si="4"/>
        <v>312</v>
      </c>
      <c r="B313" s="1" t="s">
        <v>1468</v>
      </c>
    </row>
    <row r="314" spans="1:4" x14ac:dyDescent="0.35">
      <c r="A314">
        <f t="shared" si="4"/>
        <v>313</v>
      </c>
      <c r="B314" s="1" t="s">
        <v>1059</v>
      </c>
      <c r="C314" s="1" t="s">
        <v>1060</v>
      </c>
    </row>
    <row r="315" spans="1:4" ht="29" x14ac:dyDescent="0.35">
      <c r="A315">
        <f t="shared" si="4"/>
        <v>314</v>
      </c>
      <c r="B315" s="1" t="s">
        <v>1469</v>
      </c>
      <c r="C315" s="1" t="s">
        <v>1470</v>
      </c>
    </row>
    <row r="316" spans="1:4" ht="29" x14ac:dyDescent="0.35">
      <c r="A316">
        <f t="shared" si="4"/>
        <v>315</v>
      </c>
      <c r="B316" s="1" t="s">
        <v>1061</v>
      </c>
      <c r="C316" s="1" t="s">
        <v>1062</v>
      </c>
    </row>
    <row r="317" spans="1:4" x14ac:dyDescent="0.35">
      <c r="A317">
        <f t="shared" si="4"/>
        <v>316</v>
      </c>
      <c r="B317" s="1" t="s">
        <v>1063</v>
      </c>
      <c r="C317" s="1" t="s">
        <v>1064</v>
      </c>
    </row>
    <row r="318" spans="1:4" ht="29" x14ac:dyDescent="0.35">
      <c r="A318">
        <f t="shared" si="4"/>
        <v>317</v>
      </c>
      <c r="B318" s="1" t="s">
        <v>1471</v>
      </c>
    </row>
    <row r="319" spans="1:4" x14ac:dyDescent="0.35">
      <c r="A319">
        <f t="shared" si="4"/>
        <v>318</v>
      </c>
      <c r="B319" s="1" t="s">
        <v>1472</v>
      </c>
      <c r="C319" s="1" t="s">
        <v>1473</v>
      </c>
      <c r="D319" s="1" t="s">
        <v>1474</v>
      </c>
    </row>
    <row r="320" spans="1:4" ht="29" x14ac:dyDescent="0.35">
      <c r="A320">
        <f t="shared" si="4"/>
        <v>319</v>
      </c>
      <c r="B320" s="1" t="s">
        <v>1475</v>
      </c>
      <c r="C320" s="1" t="s">
        <v>1476</v>
      </c>
    </row>
    <row r="321" spans="1:3" ht="29" x14ac:dyDescent="0.35">
      <c r="A321">
        <f t="shared" si="4"/>
        <v>320</v>
      </c>
      <c r="B321" s="1" t="s">
        <v>589</v>
      </c>
    </row>
    <row r="322" spans="1:3" ht="29" x14ac:dyDescent="0.35">
      <c r="A322">
        <f t="shared" si="4"/>
        <v>321</v>
      </c>
      <c r="B322" s="1" t="s">
        <v>1477</v>
      </c>
      <c r="C322" s="1" t="s">
        <v>1478</v>
      </c>
    </row>
    <row r="323" spans="1:3" ht="29" x14ac:dyDescent="0.35">
      <c r="A323">
        <f t="shared" si="4"/>
        <v>322</v>
      </c>
      <c r="B323" s="1" t="s">
        <v>1479</v>
      </c>
      <c r="C323" s="1" t="s">
        <v>1480</v>
      </c>
    </row>
    <row r="324" spans="1:3" ht="29" x14ac:dyDescent="0.35">
      <c r="A324">
        <f t="shared" ref="A324:A387" si="5">SUM(A323+1)</f>
        <v>323</v>
      </c>
      <c r="B324" s="1" t="s">
        <v>1481</v>
      </c>
    </row>
    <row r="325" spans="1:3" x14ac:dyDescent="0.35">
      <c r="A325">
        <f t="shared" si="5"/>
        <v>324</v>
      </c>
      <c r="B325" s="1" t="s">
        <v>1482</v>
      </c>
      <c r="C325" s="1" t="s">
        <v>1483</v>
      </c>
    </row>
    <row r="326" spans="1:3" x14ac:dyDescent="0.35">
      <c r="A326">
        <f t="shared" si="5"/>
        <v>325</v>
      </c>
      <c r="B326" s="1" t="s">
        <v>1065</v>
      </c>
      <c r="C326" s="1" t="s">
        <v>1066</v>
      </c>
    </row>
    <row r="327" spans="1:3" x14ac:dyDescent="0.35">
      <c r="A327">
        <f t="shared" si="5"/>
        <v>326</v>
      </c>
      <c r="B327" s="1" t="s">
        <v>1067</v>
      </c>
      <c r="C327" s="1" t="s">
        <v>1068</v>
      </c>
    </row>
    <row r="328" spans="1:3" ht="29" x14ac:dyDescent="0.35">
      <c r="A328">
        <f t="shared" si="5"/>
        <v>327</v>
      </c>
      <c r="B328" s="1" t="s">
        <v>1484</v>
      </c>
      <c r="C328" s="1" t="s">
        <v>1485</v>
      </c>
    </row>
    <row r="329" spans="1:3" ht="29" x14ac:dyDescent="0.35">
      <c r="A329">
        <f t="shared" si="5"/>
        <v>328</v>
      </c>
      <c r="B329" s="1" t="s">
        <v>1069</v>
      </c>
      <c r="C329" s="1" t="s">
        <v>1070</v>
      </c>
    </row>
    <row r="330" spans="1:3" ht="29" x14ac:dyDescent="0.35">
      <c r="A330">
        <f t="shared" si="5"/>
        <v>329</v>
      </c>
      <c r="B330" s="1" t="s">
        <v>1486</v>
      </c>
      <c r="C330" s="1" t="s">
        <v>1487</v>
      </c>
    </row>
    <row r="331" spans="1:3" ht="29" x14ac:dyDescent="0.35">
      <c r="A331">
        <f t="shared" si="5"/>
        <v>330</v>
      </c>
      <c r="B331" s="1" t="s">
        <v>1071</v>
      </c>
      <c r="C331" s="1" t="s">
        <v>1072</v>
      </c>
    </row>
    <row r="332" spans="1:3" x14ac:dyDescent="0.35">
      <c r="A332">
        <f t="shared" si="5"/>
        <v>331</v>
      </c>
      <c r="B332" s="1" t="s">
        <v>1073</v>
      </c>
      <c r="C332" s="1" t="s">
        <v>1074</v>
      </c>
    </row>
    <row r="333" spans="1:3" x14ac:dyDescent="0.35">
      <c r="A333">
        <f t="shared" si="5"/>
        <v>332</v>
      </c>
      <c r="B333" s="1" t="s">
        <v>1075</v>
      </c>
      <c r="C333" s="1" t="s">
        <v>1076</v>
      </c>
    </row>
    <row r="334" spans="1:3" x14ac:dyDescent="0.35">
      <c r="A334">
        <f t="shared" si="5"/>
        <v>333</v>
      </c>
      <c r="B334" s="1" t="s">
        <v>1077</v>
      </c>
      <c r="C334" s="1" t="s">
        <v>1078</v>
      </c>
    </row>
    <row r="335" spans="1:3" ht="29" x14ac:dyDescent="0.35">
      <c r="A335">
        <f t="shared" si="5"/>
        <v>334</v>
      </c>
      <c r="B335" s="1" t="s">
        <v>1079</v>
      </c>
      <c r="C335" s="1" t="s">
        <v>1080</v>
      </c>
    </row>
    <row r="336" spans="1:3" x14ac:dyDescent="0.35">
      <c r="A336">
        <f t="shared" si="5"/>
        <v>335</v>
      </c>
      <c r="B336" s="1" t="s">
        <v>1081</v>
      </c>
      <c r="C336" s="1" t="s">
        <v>1082</v>
      </c>
    </row>
    <row r="337" spans="1:3" x14ac:dyDescent="0.35">
      <c r="A337">
        <f t="shared" si="5"/>
        <v>336</v>
      </c>
      <c r="B337" s="1" t="s">
        <v>1083</v>
      </c>
      <c r="C337" s="1" t="s">
        <v>1084</v>
      </c>
    </row>
    <row r="338" spans="1:3" x14ac:dyDescent="0.35">
      <c r="A338">
        <f t="shared" si="5"/>
        <v>337</v>
      </c>
      <c r="B338" s="1" t="s">
        <v>1085</v>
      </c>
      <c r="C338" s="1" t="s">
        <v>1086</v>
      </c>
    </row>
    <row r="339" spans="1:3" x14ac:dyDescent="0.35">
      <c r="A339">
        <f t="shared" si="5"/>
        <v>338</v>
      </c>
      <c r="B339" s="1" t="s">
        <v>1087</v>
      </c>
      <c r="C339" s="1" t="s">
        <v>1088</v>
      </c>
    </row>
    <row r="340" spans="1:3" x14ac:dyDescent="0.35">
      <c r="A340">
        <f t="shared" si="5"/>
        <v>339</v>
      </c>
      <c r="B340" s="1" t="s">
        <v>1089</v>
      </c>
      <c r="C340" s="1" t="s">
        <v>1090</v>
      </c>
    </row>
    <row r="341" spans="1:3" x14ac:dyDescent="0.35">
      <c r="A341">
        <f t="shared" si="5"/>
        <v>340</v>
      </c>
      <c r="B341" s="1" t="s">
        <v>1091</v>
      </c>
      <c r="C341" s="1" t="s">
        <v>1092</v>
      </c>
    </row>
    <row r="342" spans="1:3" x14ac:dyDescent="0.35">
      <c r="A342">
        <f t="shared" si="5"/>
        <v>341</v>
      </c>
      <c r="B342" s="1" t="s">
        <v>1093</v>
      </c>
      <c r="C342" s="1" t="s">
        <v>1094</v>
      </c>
    </row>
    <row r="343" spans="1:3" x14ac:dyDescent="0.35">
      <c r="A343">
        <f t="shared" si="5"/>
        <v>342</v>
      </c>
      <c r="B343" s="1" t="s">
        <v>1095</v>
      </c>
      <c r="C343" s="1" t="s">
        <v>1096</v>
      </c>
    </row>
    <row r="344" spans="1:3" ht="29" x14ac:dyDescent="0.35">
      <c r="A344">
        <f t="shared" si="5"/>
        <v>343</v>
      </c>
      <c r="B344" s="1" t="s">
        <v>1097</v>
      </c>
      <c r="C344" s="1" t="s">
        <v>1098</v>
      </c>
    </row>
    <row r="345" spans="1:3" x14ac:dyDescent="0.35">
      <c r="A345">
        <f t="shared" si="5"/>
        <v>344</v>
      </c>
      <c r="B345" s="1" t="s">
        <v>1099</v>
      </c>
      <c r="C345" s="1" t="s">
        <v>1100</v>
      </c>
    </row>
    <row r="346" spans="1:3" x14ac:dyDescent="0.35">
      <c r="A346">
        <f t="shared" si="5"/>
        <v>345</v>
      </c>
      <c r="B346" s="1" t="s">
        <v>1101</v>
      </c>
      <c r="C346" s="1" t="s">
        <v>1102</v>
      </c>
    </row>
    <row r="347" spans="1:3" x14ac:dyDescent="0.35">
      <c r="A347">
        <f t="shared" si="5"/>
        <v>346</v>
      </c>
      <c r="B347" s="1" t="s">
        <v>1103</v>
      </c>
      <c r="C347" s="1" t="s">
        <v>1104</v>
      </c>
    </row>
    <row r="348" spans="1:3" x14ac:dyDescent="0.35">
      <c r="A348">
        <f t="shared" si="5"/>
        <v>347</v>
      </c>
      <c r="B348" s="1" t="s">
        <v>1105</v>
      </c>
      <c r="C348" s="1" t="s">
        <v>1106</v>
      </c>
    </row>
    <row r="349" spans="1:3" ht="29" x14ac:dyDescent="0.35">
      <c r="A349">
        <f t="shared" si="5"/>
        <v>348</v>
      </c>
      <c r="B349" s="1" t="s">
        <v>1488</v>
      </c>
    </row>
    <row r="350" spans="1:3" ht="29" x14ac:dyDescent="0.35">
      <c r="A350">
        <f t="shared" si="5"/>
        <v>349</v>
      </c>
      <c r="B350" s="1" t="s">
        <v>1489</v>
      </c>
      <c r="C350" s="1" t="s">
        <v>1490</v>
      </c>
    </row>
    <row r="351" spans="1:3" ht="29" x14ac:dyDescent="0.35">
      <c r="A351">
        <f t="shared" si="5"/>
        <v>350</v>
      </c>
      <c r="B351" s="1" t="s">
        <v>1107</v>
      </c>
      <c r="C351" s="1" t="s">
        <v>1108</v>
      </c>
    </row>
    <row r="352" spans="1:3" ht="29" x14ac:dyDescent="0.35">
      <c r="A352">
        <f t="shared" si="5"/>
        <v>351</v>
      </c>
      <c r="B352" s="1" t="s">
        <v>1491</v>
      </c>
      <c r="C352" s="1" t="s">
        <v>1492</v>
      </c>
    </row>
    <row r="353" spans="1:3" x14ac:dyDescent="0.35">
      <c r="A353">
        <f t="shared" si="5"/>
        <v>352</v>
      </c>
      <c r="B353" s="1" t="s">
        <v>1109</v>
      </c>
      <c r="C353" s="1" t="s">
        <v>1110</v>
      </c>
    </row>
    <row r="354" spans="1:3" ht="29" x14ac:dyDescent="0.35">
      <c r="A354">
        <f t="shared" si="5"/>
        <v>353</v>
      </c>
      <c r="B354" s="1" t="s">
        <v>642</v>
      </c>
    </row>
    <row r="355" spans="1:3" ht="29" x14ac:dyDescent="0.35">
      <c r="A355">
        <f t="shared" si="5"/>
        <v>354</v>
      </c>
      <c r="B355" s="1" t="s">
        <v>1111</v>
      </c>
      <c r="C355" s="1" t="s">
        <v>1112</v>
      </c>
    </row>
    <row r="356" spans="1:3" ht="29" x14ac:dyDescent="0.35">
      <c r="A356">
        <f t="shared" si="5"/>
        <v>355</v>
      </c>
      <c r="B356" s="1" t="s">
        <v>1113</v>
      </c>
      <c r="C356" s="1" t="s">
        <v>1114</v>
      </c>
    </row>
    <row r="357" spans="1:3" ht="29" x14ac:dyDescent="0.35">
      <c r="A357">
        <f t="shared" si="5"/>
        <v>356</v>
      </c>
      <c r="B357" s="1" t="s">
        <v>1493</v>
      </c>
      <c r="C357" s="1" t="s">
        <v>1494</v>
      </c>
    </row>
    <row r="358" spans="1:3" x14ac:dyDescent="0.35">
      <c r="A358">
        <f t="shared" si="5"/>
        <v>357</v>
      </c>
      <c r="B358" s="1" t="s">
        <v>1115</v>
      </c>
      <c r="C358" s="1" t="s">
        <v>1116</v>
      </c>
    </row>
    <row r="359" spans="1:3" x14ac:dyDescent="0.35">
      <c r="A359">
        <f t="shared" si="5"/>
        <v>358</v>
      </c>
      <c r="B359" s="1" t="s">
        <v>1117</v>
      </c>
      <c r="C359" s="1" t="s">
        <v>1118</v>
      </c>
    </row>
    <row r="360" spans="1:3" ht="29" x14ac:dyDescent="0.35">
      <c r="A360">
        <f t="shared" si="5"/>
        <v>359</v>
      </c>
      <c r="B360" s="1" t="s">
        <v>1495</v>
      </c>
      <c r="C360" s="1" t="s">
        <v>1496</v>
      </c>
    </row>
    <row r="361" spans="1:3" x14ac:dyDescent="0.35">
      <c r="A361">
        <f t="shared" si="5"/>
        <v>360</v>
      </c>
      <c r="B361" s="1" t="s">
        <v>1497</v>
      </c>
      <c r="C361" s="1" t="s">
        <v>1498</v>
      </c>
    </row>
    <row r="362" spans="1:3" ht="29" x14ac:dyDescent="0.35">
      <c r="A362">
        <f t="shared" si="5"/>
        <v>361</v>
      </c>
      <c r="B362" s="1" t="s">
        <v>1119</v>
      </c>
      <c r="C362" s="1" t="s">
        <v>1120</v>
      </c>
    </row>
    <row r="363" spans="1:3" ht="29" x14ac:dyDescent="0.35">
      <c r="A363">
        <f t="shared" si="5"/>
        <v>362</v>
      </c>
      <c r="B363" s="1" t="s">
        <v>1499</v>
      </c>
      <c r="C363" s="1" t="s">
        <v>1500</v>
      </c>
    </row>
    <row r="364" spans="1:3" ht="29" x14ac:dyDescent="0.35">
      <c r="A364">
        <f t="shared" si="5"/>
        <v>363</v>
      </c>
      <c r="B364" s="1" t="s">
        <v>1121</v>
      </c>
      <c r="C364" s="1" t="s">
        <v>1122</v>
      </c>
    </row>
    <row r="365" spans="1:3" ht="29" x14ac:dyDescent="0.35">
      <c r="A365">
        <f t="shared" si="5"/>
        <v>364</v>
      </c>
      <c r="B365" s="1" t="s">
        <v>1123</v>
      </c>
      <c r="C365" s="1" t="s">
        <v>1124</v>
      </c>
    </row>
    <row r="366" spans="1:3" ht="29" x14ac:dyDescent="0.35">
      <c r="A366">
        <f t="shared" si="5"/>
        <v>365</v>
      </c>
      <c r="B366" s="1" t="s">
        <v>1125</v>
      </c>
      <c r="C366" s="1" t="s">
        <v>1126</v>
      </c>
    </row>
    <row r="367" spans="1:3" ht="29" x14ac:dyDescent="0.35">
      <c r="A367">
        <f t="shared" si="5"/>
        <v>366</v>
      </c>
      <c r="B367" s="1" t="s">
        <v>667</v>
      </c>
    </row>
    <row r="368" spans="1:3" ht="29" x14ac:dyDescent="0.35">
      <c r="A368">
        <f t="shared" si="5"/>
        <v>367</v>
      </c>
      <c r="B368" s="1" t="s">
        <v>1127</v>
      </c>
      <c r="C368" s="1" t="s">
        <v>1128</v>
      </c>
    </row>
    <row r="369" spans="1:4" x14ac:dyDescent="0.35">
      <c r="A369">
        <f t="shared" si="5"/>
        <v>368</v>
      </c>
      <c r="B369" s="1" t="s">
        <v>1129</v>
      </c>
      <c r="C369" s="1" t="s">
        <v>1130</v>
      </c>
    </row>
    <row r="370" spans="1:4" ht="29" x14ac:dyDescent="0.35">
      <c r="A370">
        <f t="shared" si="5"/>
        <v>369</v>
      </c>
      <c r="B370" s="1" t="s">
        <v>1131</v>
      </c>
      <c r="C370" s="1" t="s">
        <v>1132</v>
      </c>
    </row>
    <row r="371" spans="1:4" x14ac:dyDescent="0.35">
      <c r="A371">
        <f t="shared" si="5"/>
        <v>370</v>
      </c>
      <c r="B371" s="1" t="s">
        <v>1133</v>
      </c>
      <c r="C371" s="1" t="s">
        <v>1134</v>
      </c>
    </row>
    <row r="372" spans="1:4" ht="29" x14ac:dyDescent="0.35">
      <c r="A372">
        <f t="shared" si="5"/>
        <v>371</v>
      </c>
      <c r="B372" s="1" t="s">
        <v>1501</v>
      </c>
      <c r="C372" s="1" t="s">
        <v>1502</v>
      </c>
    </row>
    <row r="373" spans="1:4" ht="29" x14ac:dyDescent="0.35">
      <c r="A373">
        <f t="shared" si="5"/>
        <v>372</v>
      </c>
      <c r="B373" s="1" t="s">
        <v>678</v>
      </c>
    </row>
    <row r="374" spans="1:4" x14ac:dyDescent="0.35">
      <c r="A374">
        <f t="shared" si="5"/>
        <v>373</v>
      </c>
      <c r="B374" s="1" t="s">
        <v>1503</v>
      </c>
      <c r="C374" s="1" t="s">
        <v>1504</v>
      </c>
      <c r="D374" s="1" t="s">
        <v>1505</v>
      </c>
    </row>
    <row r="375" spans="1:4" x14ac:dyDescent="0.35">
      <c r="A375">
        <f t="shared" si="5"/>
        <v>374</v>
      </c>
      <c r="B375" s="1" t="s">
        <v>1506</v>
      </c>
    </row>
    <row r="376" spans="1:4" ht="29" x14ac:dyDescent="0.35">
      <c r="A376">
        <f t="shared" si="5"/>
        <v>375</v>
      </c>
      <c r="B376" s="1" t="s">
        <v>1507</v>
      </c>
      <c r="C376" s="1" t="s">
        <v>1508</v>
      </c>
    </row>
    <row r="377" spans="1:4" x14ac:dyDescent="0.35">
      <c r="A377">
        <f t="shared" si="5"/>
        <v>376</v>
      </c>
      <c r="B377" s="1" t="s">
        <v>1509</v>
      </c>
      <c r="C377" s="1" t="s">
        <v>1510</v>
      </c>
    </row>
    <row r="378" spans="1:4" ht="29" x14ac:dyDescent="0.35">
      <c r="A378">
        <f t="shared" si="5"/>
        <v>377</v>
      </c>
      <c r="B378" s="1" t="s">
        <v>1511</v>
      </c>
      <c r="C378" s="1" t="s">
        <v>1512</v>
      </c>
    </row>
    <row r="379" spans="1:4" x14ac:dyDescent="0.35">
      <c r="A379">
        <f t="shared" si="5"/>
        <v>378</v>
      </c>
      <c r="B379" s="1" t="s">
        <v>690</v>
      </c>
    </row>
    <row r="380" spans="1:4" ht="29" x14ac:dyDescent="0.35">
      <c r="A380">
        <f t="shared" si="5"/>
        <v>379</v>
      </c>
      <c r="B380" s="1" t="s">
        <v>1513</v>
      </c>
    </row>
    <row r="381" spans="1:4" x14ac:dyDescent="0.35">
      <c r="A381">
        <f t="shared" si="5"/>
        <v>380</v>
      </c>
      <c r="B381" s="1" t="s">
        <v>694</v>
      </c>
    </row>
    <row r="382" spans="1:4" ht="29" x14ac:dyDescent="0.35">
      <c r="A382">
        <f t="shared" si="5"/>
        <v>381</v>
      </c>
      <c r="B382" s="1" t="s">
        <v>1514</v>
      </c>
      <c r="C382" s="1" t="s">
        <v>1515</v>
      </c>
    </row>
    <row r="383" spans="1:4" x14ac:dyDescent="0.35">
      <c r="A383">
        <f t="shared" si="5"/>
        <v>382</v>
      </c>
      <c r="B383" s="1" t="s">
        <v>698</v>
      </c>
    </row>
    <row r="384" spans="1:4" x14ac:dyDescent="0.35">
      <c r="A384">
        <f t="shared" si="5"/>
        <v>383</v>
      </c>
      <c r="B384" s="1" t="s">
        <v>1516</v>
      </c>
    </row>
    <row r="385" spans="1:3" ht="29" x14ac:dyDescent="0.35">
      <c r="A385">
        <f t="shared" si="5"/>
        <v>384</v>
      </c>
      <c r="B385" s="1" t="s">
        <v>1135</v>
      </c>
      <c r="C385" s="1" t="s">
        <v>1136</v>
      </c>
    </row>
    <row r="386" spans="1:3" x14ac:dyDescent="0.35">
      <c r="A386">
        <f t="shared" si="5"/>
        <v>385</v>
      </c>
      <c r="B386" s="1" t="s">
        <v>1137</v>
      </c>
      <c r="C386" s="1" t="s">
        <v>1138</v>
      </c>
    </row>
    <row r="387" spans="1:3" x14ac:dyDescent="0.35">
      <c r="A387">
        <f t="shared" si="5"/>
        <v>386</v>
      </c>
      <c r="B387" s="1" t="s">
        <v>1137</v>
      </c>
      <c r="C387" s="1" t="s">
        <v>1139</v>
      </c>
    </row>
    <row r="388" spans="1:3" x14ac:dyDescent="0.35">
      <c r="A388">
        <f t="shared" ref="A388:A447" si="6">SUM(A387+1)</f>
        <v>387</v>
      </c>
      <c r="B388" s="1" t="s">
        <v>1137</v>
      </c>
      <c r="C388" s="1" t="s">
        <v>1140</v>
      </c>
    </row>
    <row r="389" spans="1:3" ht="29" x14ac:dyDescent="0.35">
      <c r="A389">
        <f t="shared" si="6"/>
        <v>388</v>
      </c>
      <c r="B389" s="1" t="s">
        <v>1517</v>
      </c>
      <c r="C389" s="1" t="s">
        <v>1518</v>
      </c>
    </row>
    <row r="390" spans="1:3" ht="29" x14ac:dyDescent="0.35">
      <c r="A390">
        <f t="shared" si="6"/>
        <v>389</v>
      </c>
      <c r="B390" s="1" t="s">
        <v>1141</v>
      </c>
      <c r="C390" s="1" t="s">
        <v>1142</v>
      </c>
    </row>
    <row r="391" spans="1:3" x14ac:dyDescent="0.35">
      <c r="A391">
        <f t="shared" si="6"/>
        <v>390</v>
      </c>
      <c r="B391" s="1" t="s">
        <v>1519</v>
      </c>
      <c r="C391" s="1" t="s">
        <v>1520</v>
      </c>
    </row>
    <row r="392" spans="1:3" x14ac:dyDescent="0.35">
      <c r="A392">
        <f t="shared" si="6"/>
        <v>391</v>
      </c>
      <c r="B392" s="1" t="s">
        <v>1521</v>
      </c>
      <c r="C392" s="1" t="s">
        <v>1522</v>
      </c>
    </row>
    <row r="393" spans="1:3" ht="29" x14ac:dyDescent="0.35">
      <c r="A393">
        <f t="shared" si="6"/>
        <v>392</v>
      </c>
      <c r="B393" s="1" t="s">
        <v>1523</v>
      </c>
    </row>
    <row r="394" spans="1:3" ht="29" x14ac:dyDescent="0.35">
      <c r="A394">
        <f t="shared" si="6"/>
        <v>393</v>
      </c>
      <c r="B394" s="1" t="s">
        <v>1524</v>
      </c>
    </row>
    <row r="395" spans="1:3" ht="29" x14ac:dyDescent="0.35">
      <c r="A395">
        <f t="shared" si="6"/>
        <v>394</v>
      </c>
      <c r="B395" s="1" t="s">
        <v>1525</v>
      </c>
      <c r="C395" s="1" t="s">
        <v>1526</v>
      </c>
    </row>
    <row r="396" spans="1:3" ht="29" x14ac:dyDescent="0.35">
      <c r="A396">
        <f t="shared" si="6"/>
        <v>395</v>
      </c>
      <c r="B396" s="1" t="s">
        <v>1527</v>
      </c>
      <c r="C396" s="1" t="s">
        <v>1528</v>
      </c>
    </row>
    <row r="397" spans="1:3" ht="29" x14ac:dyDescent="0.35">
      <c r="A397">
        <f t="shared" si="6"/>
        <v>396</v>
      </c>
      <c r="B397" s="1" t="s">
        <v>1143</v>
      </c>
      <c r="C397" s="1" t="s">
        <v>1144</v>
      </c>
    </row>
    <row r="398" spans="1:3" ht="29" x14ac:dyDescent="0.35">
      <c r="A398">
        <f t="shared" si="6"/>
        <v>397</v>
      </c>
      <c r="B398" s="1" t="s">
        <v>1529</v>
      </c>
      <c r="C398" s="1" t="s">
        <v>1530</v>
      </c>
    </row>
    <row r="399" spans="1:3" ht="29" x14ac:dyDescent="0.35">
      <c r="A399">
        <f t="shared" si="6"/>
        <v>398</v>
      </c>
      <c r="B399" s="1" t="s">
        <v>1145</v>
      </c>
      <c r="C399" s="1" t="s">
        <v>1146</v>
      </c>
    </row>
    <row r="400" spans="1:3" ht="29" x14ac:dyDescent="0.35">
      <c r="A400">
        <f t="shared" si="6"/>
        <v>399</v>
      </c>
      <c r="B400" s="1" t="s">
        <v>1147</v>
      </c>
      <c r="C400" s="1" t="s">
        <v>1148</v>
      </c>
    </row>
    <row r="401" spans="1:4" x14ac:dyDescent="0.35">
      <c r="A401">
        <f t="shared" si="6"/>
        <v>400</v>
      </c>
      <c r="B401" s="1" t="s">
        <v>1531</v>
      </c>
    </row>
    <row r="402" spans="1:4" ht="29" x14ac:dyDescent="0.35">
      <c r="A402">
        <f t="shared" si="6"/>
        <v>401</v>
      </c>
      <c r="B402" s="1" t="s">
        <v>1149</v>
      </c>
      <c r="C402" s="1" t="s">
        <v>1150</v>
      </c>
    </row>
    <row r="403" spans="1:4" ht="29" x14ac:dyDescent="0.35">
      <c r="A403">
        <f t="shared" si="6"/>
        <v>402</v>
      </c>
      <c r="B403" s="1" t="s">
        <v>1587</v>
      </c>
      <c r="C403" s="2" t="s">
        <v>1586</v>
      </c>
      <c r="D403" s="1" t="s">
        <v>1532</v>
      </c>
    </row>
    <row r="404" spans="1:4" ht="29" x14ac:dyDescent="0.35">
      <c r="A404">
        <f t="shared" si="6"/>
        <v>403</v>
      </c>
      <c r="B404" s="1" t="s">
        <v>1533</v>
      </c>
      <c r="C404" s="1" t="s">
        <v>1534</v>
      </c>
    </row>
    <row r="405" spans="1:4" ht="29" x14ac:dyDescent="0.35">
      <c r="A405">
        <f t="shared" si="6"/>
        <v>404</v>
      </c>
      <c r="B405" s="1" t="s">
        <v>731</v>
      </c>
    </row>
    <row r="406" spans="1:4" x14ac:dyDescent="0.35">
      <c r="A406">
        <f t="shared" si="6"/>
        <v>405</v>
      </c>
      <c r="B406" s="1" t="s">
        <v>733</v>
      </c>
    </row>
    <row r="407" spans="1:4" ht="29" x14ac:dyDescent="0.35">
      <c r="A407">
        <f t="shared" si="6"/>
        <v>406</v>
      </c>
      <c r="B407" s="1" t="s">
        <v>1535</v>
      </c>
      <c r="C407" s="1" t="s">
        <v>1536</v>
      </c>
    </row>
    <row r="408" spans="1:4" ht="29" x14ac:dyDescent="0.35">
      <c r="A408">
        <f t="shared" si="6"/>
        <v>407</v>
      </c>
      <c r="B408" s="1" t="s">
        <v>1537</v>
      </c>
      <c r="C408" s="1" t="s">
        <v>1538</v>
      </c>
    </row>
    <row r="409" spans="1:4" ht="29" x14ac:dyDescent="0.35">
      <c r="A409">
        <f t="shared" si="6"/>
        <v>408</v>
      </c>
      <c r="B409" s="1" t="s">
        <v>1539</v>
      </c>
      <c r="C409" s="1" t="s">
        <v>1540</v>
      </c>
    </row>
    <row r="410" spans="1:4" ht="29" x14ac:dyDescent="0.35">
      <c r="A410">
        <f t="shared" si="6"/>
        <v>409</v>
      </c>
      <c r="B410" s="1" t="s">
        <v>1541</v>
      </c>
      <c r="C410" s="1" t="s">
        <v>1542</v>
      </c>
    </row>
    <row r="411" spans="1:4" ht="29" x14ac:dyDescent="0.35">
      <c r="A411">
        <f t="shared" si="6"/>
        <v>410</v>
      </c>
      <c r="B411" s="6" t="s">
        <v>1543</v>
      </c>
      <c r="C411" s="1" t="s">
        <v>1544</v>
      </c>
    </row>
    <row r="412" spans="1:4" ht="29" x14ac:dyDescent="0.35">
      <c r="A412">
        <f t="shared" si="6"/>
        <v>411</v>
      </c>
      <c r="B412" s="1" t="s">
        <v>1545</v>
      </c>
      <c r="C412" s="1" t="s">
        <v>1546</v>
      </c>
    </row>
    <row r="413" spans="1:4" x14ac:dyDescent="0.35">
      <c r="A413">
        <f t="shared" si="6"/>
        <v>412</v>
      </c>
      <c r="B413" s="1" t="s">
        <v>1472</v>
      </c>
      <c r="C413" s="1" t="s">
        <v>1473</v>
      </c>
      <c r="D413" s="1" t="s">
        <v>1547</v>
      </c>
    </row>
    <row r="414" spans="1:4" ht="29" x14ac:dyDescent="0.35">
      <c r="A414">
        <f t="shared" si="6"/>
        <v>413</v>
      </c>
      <c r="B414" s="1" t="s">
        <v>1548</v>
      </c>
      <c r="C414" s="1" t="s">
        <v>1549</v>
      </c>
    </row>
    <row r="415" spans="1:4" ht="29" x14ac:dyDescent="0.35">
      <c r="A415">
        <f t="shared" si="6"/>
        <v>414</v>
      </c>
      <c r="B415" s="1" t="s">
        <v>1550</v>
      </c>
      <c r="C415" s="1" t="s">
        <v>1551</v>
      </c>
    </row>
    <row r="416" spans="1:4" x14ac:dyDescent="0.35">
      <c r="A416">
        <f t="shared" si="6"/>
        <v>415</v>
      </c>
      <c r="B416" s="1" t="s">
        <v>1151</v>
      </c>
      <c r="C416" s="1" t="s">
        <v>1152</v>
      </c>
    </row>
    <row r="417" spans="1:4" x14ac:dyDescent="0.35">
      <c r="A417">
        <f t="shared" si="6"/>
        <v>416</v>
      </c>
      <c r="B417" s="1" t="s">
        <v>751</v>
      </c>
    </row>
    <row r="418" spans="1:4" ht="29" x14ac:dyDescent="0.35">
      <c r="A418">
        <f t="shared" si="6"/>
        <v>417</v>
      </c>
      <c r="B418" s="1" t="s">
        <v>1552</v>
      </c>
      <c r="C418" s="1" t="s">
        <v>1553</v>
      </c>
    </row>
    <row r="419" spans="1:4" ht="29" x14ac:dyDescent="0.35">
      <c r="A419">
        <f t="shared" si="6"/>
        <v>418</v>
      </c>
      <c r="B419" s="1" t="s">
        <v>1554</v>
      </c>
      <c r="C419" s="1" t="s">
        <v>1555</v>
      </c>
    </row>
    <row r="420" spans="1:4" ht="29" x14ac:dyDescent="0.35">
      <c r="A420">
        <f t="shared" si="6"/>
        <v>419</v>
      </c>
      <c r="B420" s="1" t="s">
        <v>756</v>
      </c>
    </row>
    <row r="421" spans="1:4" ht="29" x14ac:dyDescent="0.35">
      <c r="A421">
        <f t="shared" si="6"/>
        <v>420</v>
      </c>
      <c r="B421" s="1" t="s">
        <v>1556</v>
      </c>
      <c r="C421" s="1" t="s">
        <v>1557</v>
      </c>
      <c r="D421" s="1" t="s">
        <v>1558</v>
      </c>
    </row>
    <row r="422" spans="1:4" ht="29" x14ac:dyDescent="0.35">
      <c r="A422">
        <f t="shared" si="6"/>
        <v>421</v>
      </c>
      <c r="B422" s="1" t="s">
        <v>759</v>
      </c>
    </row>
    <row r="423" spans="1:4" ht="29" x14ac:dyDescent="0.35">
      <c r="A423">
        <f t="shared" si="6"/>
        <v>422</v>
      </c>
      <c r="B423" s="1" t="s">
        <v>761</v>
      </c>
    </row>
    <row r="424" spans="1:4" ht="29" x14ac:dyDescent="0.35">
      <c r="A424">
        <f t="shared" si="6"/>
        <v>423</v>
      </c>
      <c r="B424" s="1" t="s">
        <v>763</v>
      </c>
    </row>
    <row r="425" spans="1:4" ht="29" x14ac:dyDescent="0.35">
      <c r="A425">
        <f t="shared" si="6"/>
        <v>424</v>
      </c>
      <c r="B425" s="1" t="s">
        <v>1559</v>
      </c>
      <c r="C425" s="1" t="s">
        <v>1560</v>
      </c>
    </row>
    <row r="426" spans="1:4" ht="29" x14ac:dyDescent="0.35">
      <c r="A426">
        <f t="shared" si="6"/>
        <v>425</v>
      </c>
      <c r="B426" s="1" t="s">
        <v>1561</v>
      </c>
      <c r="C426" s="1" t="s">
        <v>1562</v>
      </c>
    </row>
    <row r="427" spans="1:4" ht="29" x14ac:dyDescent="0.35">
      <c r="A427">
        <f t="shared" si="6"/>
        <v>426</v>
      </c>
      <c r="B427" s="1" t="s">
        <v>1563</v>
      </c>
      <c r="C427" s="1" t="s">
        <v>1564</v>
      </c>
    </row>
    <row r="428" spans="1:4" ht="29" x14ac:dyDescent="0.35">
      <c r="A428">
        <f t="shared" si="6"/>
        <v>427</v>
      </c>
      <c r="B428" s="3" t="s">
        <v>1565</v>
      </c>
      <c r="C428" s="1" t="s">
        <v>1566</v>
      </c>
    </row>
    <row r="429" spans="1:4" x14ac:dyDescent="0.35">
      <c r="A429">
        <f t="shared" si="6"/>
        <v>428</v>
      </c>
      <c r="B429" s="1" t="s">
        <v>1567</v>
      </c>
      <c r="C429" s="1" t="s">
        <v>1568</v>
      </c>
    </row>
    <row r="430" spans="1:4" ht="29" x14ac:dyDescent="0.35">
      <c r="A430">
        <f t="shared" si="6"/>
        <v>429</v>
      </c>
      <c r="B430" s="1" t="s">
        <v>1569</v>
      </c>
      <c r="C430" s="1" t="s">
        <v>1570</v>
      </c>
    </row>
    <row r="431" spans="1:4" ht="29" x14ac:dyDescent="0.35">
      <c r="A431">
        <f t="shared" si="6"/>
        <v>430</v>
      </c>
      <c r="B431" s="1" t="s">
        <v>1153</v>
      </c>
      <c r="C431" s="1" t="s">
        <v>1154</v>
      </c>
    </row>
    <row r="432" spans="1:4" x14ac:dyDescent="0.35">
      <c r="A432">
        <f t="shared" si="6"/>
        <v>431</v>
      </c>
      <c r="B432" s="1" t="s">
        <v>1571</v>
      </c>
      <c r="C432" s="1" t="s">
        <v>1572</v>
      </c>
    </row>
    <row r="433" spans="1:4" ht="29" x14ac:dyDescent="0.35">
      <c r="A433">
        <f t="shared" si="6"/>
        <v>432</v>
      </c>
      <c r="B433" s="1" t="s">
        <v>1155</v>
      </c>
      <c r="C433" s="1" t="s">
        <v>1156</v>
      </c>
    </row>
    <row r="434" spans="1:4" ht="29" x14ac:dyDescent="0.35">
      <c r="A434">
        <f t="shared" si="6"/>
        <v>433</v>
      </c>
      <c r="B434" s="1" t="s">
        <v>1573</v>
      </c>
      <c r="C434" s="1" t="s">
        <v>1574</v>
      </c>
    </row>
    <row r="435" spans="1:4" ht="29" x14ac:dyDescent="0.35">
      <c r="A435">
        <f t="shared" si="6"/>
        <v>434</v>
      </c>
      <c r="B435" s="3" t="s">
        <v>1565</v>
      </c>
      <c r="C435" s="1" t="s">
        <v>1575</v>
      </c>
    </row>
    <row r="436" spans="1:4" ht="29" x14ac:dyDescent="0.35">
      <c r="A436">
        <f t="shared" si="6"/>
        <v>435</v>
      </c>
      <c r="B436" s="1" t="s">
        <v>780</v>
      </c>
    </row>
    <row r="437" spans="1:4" ht="29" x14ac:dyDescent="0.35">
      <c r="A437">
        <f t="shared" si="6"/>
        <v>436</v>
      </c>
      <c r="B437" s="1" t="s">
        <v>1576</v>
      </c>
    </row>
    <row r="438" spans="1:4" x14ac:dyDescent="0.35">
      <c r="A438">
        <f t="shared" si="6"/>
        <v>437</v>
      </c>
      <c r="B438" s="1" t="s">
        <v>1157</v>
      </c>
      <c r="C438" s="1" t="s">
        <v>1158</v>
      </c>
    </row>
    <row r="439" spans="1:4" x14ac:dyDescent="0.35">
      <c r="A439">
        <f t="shared" si="6"/>
        <v>438</v>
      </c>
      <c r="B439" s="1" t="s">
        <v>1159</v>
      </c>
      <c r="C439" s="1" t="s">
        <v>1160</v>
      </c>
    </row>
    <row r="440" spans="1:4" x14ac:dyDescent="0.35">
      <c r="A440">
        <f t="shared" si="6"/>
        <v>439</v>
      </c>
      <c r="B440" s="1" t="s">
        <v>787</v>
      </c>
    </row>
    <row r="441" spans="1:4" ht="58" x14ac:dyDescent="0.35">
      <c r="A441">
        <f t="shared" si="6"/>
        <v>440</v>
      </c>
      <c r="B441" s="1" t="s">
        <v>1577</v>
      </c>
      <c r="C441" s="1" t="s">
        <v>1578</v>
      </c>
    </row>
    <row r="442" spans="1:4" x14ac:dyDescent="0.35">
      <c r="A442">
        <f t="shared" si="6"/>
        <v>441</v>
      </c>
      <c r="B442" s="1" t="s">
        <v>1579</v>
      </c>
      <c r="C442" s="1" t="s">
        <v>1580</v>
      </c>
    </row>
    <row r="443" spans="1:4" ht="29" x14ac:dyDescent="0.35">
      <c r="A443">
        <f t="shared" si="6"/>
        <v>442</v>
      </c>
      <c r="B443" s="1" t="s">
        <v>1581</v>
      </c>
      <c r="C443" s="1" t="s">
        <v>1582</v>
      </c>
    </row>
    <row r="444" spans="1:4" ht="29" x14ac:dyDescent="0.35">
      <c r="A444">
        <f t="shared" si="6"/>
        <v>443</v>
      </c>
      <c r="B444" s="1" t="s">
        <v>795</v>
      </c>
    </row>
    <row r="445" spans="1:4" x14ac:dyDescent="0.35">
      <c r="A445">
        <f t="shared" si="6"/>
        <v>444</v>
      </c>
      <c r="B445" s="1" t="s">
        <v>1161</v>
      </c>
      <c r="C445" s="1" t="s">
        <v>1162</v>
      </c>
    </row>
    <row r="446" spans="1:4" x14ac:dyDescent="0.35">
      <c r="A446">
        <f t="shared" si="6"/>
        <v>445</v>
      </c>
      <c r="B446" s="1" t="s">
        <v>1163</v>
      </c>
      <c r="C446" s="1" t="s">
        <v>1164</v>
      </c>
    </row>
    <row r="447" spans="1:4" x14ac:dyDescent="0.35">
      <c r="A447">
        <f t="shared" si="6"/>
        <v>446</v>
      </c>
      <c r="B447" s="1" t="s">
        <v>1583</v>
      </c>
      <c r="C447" s="1" t="s">
        <v>1584</v>
      </c>
      <c r="D447" s="1" t="s">
        <v>1585</v>
      </c>
    </row>
    <row r="448" spans="1:4" x14ac:dyDescent="0.35">
      <c r="A448" s="1"/>
    </row>
    <row r="449" spans="1:1" x14ac:dyDescent="0.35">
      <c r="A449" s="1"/>
    </row>
    <row r="450" spans="1:1" x14ac:dyDescent="0.35">
      <c r="A450" s="1"/>
    </row>
    <row r="451" spans="1:1" x14ac:dyDescent="0.35">
      <c r="A451" s="1"/>
    </row>
    <row r="452" spans="1:1" x14ac:dyDescent="0.35">
      <c r="A452" s="1"/>
    </row>
    <row r="453" spans="1:1" x14ac:dyDescent="0.35">
      <c r="A453" s="1"/>
    </row>
    <row r="454" spans="1:1" x14ac:dyDescent="0.35">
      <c r="A454" s="1"/>
    </row>
    <row r="455" spans="1:1" x14ac:dyDescent="0.35">
      <c r="A455" s="1"/>
    </row>
    <row r="456" spans="1:1" x14ac:dyDescent="0.35">
      <c r="A456" s="1"/>
    </row>
    <row r="457" spans="1:1" x14ac:dyDescent="0.35">
      <c r="A457" s="1"/>
    </row>
    <row r="458" spans="1:1" x14ac:dyDescent="0.35">
      <c r="A458" s="1"/>
    </row>
    <row r="459" spans="1:1" x14ac:dyDescent="0.35">
      <c r="A459" s="1"/>
    </row>
    <row r="460" spans="1:1" x14ac:dyDescent="0.35">
      <c r="A460" s="1"/>
    </row>
    <row r="461" spans="1:1" x14ac:dyDescent="0.35">
      <c r="A461" s="1"/>
    </row>
    <row r="462" spans="1:1" x14ac:dyDescent="0.35">
      <c r="A462" s="1"/>
    </row>
    <row r="463" spans="1:1" x14ac:dyDescent="0.35">
      <c r="A463" s="1"/>
    </row>
    <row r="464" spans="1:1" x14ac:dyDescent="0.35">
      <c r="A464" s="1"/>
    </row>
    <row r="465" spans="1:1" x14ac:dyDescent="0.35">
      <c r="A465" s="1"/>
    </row>
    <row r="466" spans="1:1" x14ac:dyDescent="0.35">
      <c r="A466" s="1"/>
    </row>
    <row r="467" spans="1:1" x14ac:dyDescent="0.35">
      <c r="A467" s="1"/>
    </row>
    <row r="468" spans="1:1" x14ac:dyDescent="0.35">
      <c r="A468" s="1"/>
    </row>
    <row r="469" spans="1:1" x14ac:dyDescent="0.35">
      <c r="A469" s="1"/>
    </row>
    <row r="470" spans="1:1" x14ac:dyDescent="0.35">
      <c r="A470" s="1"/>
    </row>
    <row r="471" spans="1:1" x14ac:dyDescent="0.35">
      <c r="A471" s="1"/>
    </row>
    <row r="472" spans="1:1" x14ac:dyDescent="0.35">
      <c r="A472" s="1"/>
    </row>
    <row r="473" spans="1:1" x14ac:dyDescent="0.35">
      <c r="A473" s="1"/>
    </row>
    <row r="474" spans="1:1" x14ac:dyDescent="0.35">
      <c r="A474" s="1"/>
    </row>
    <row r="475" spans="1:1" x14ac:dyDescent="0.35">
      <c r="A475" s="1"/>
    </row>
    <row r="476" spans="1:1" x14ac:dyDescent="0.35">
      <c r="A476" s="1"/>
    </row>
    <row r="477" spans="1:1" x14ac:dyDescent="0.35">
      <c r="A477" s="1"/>
    </row>
    <row r="478" spans="1:1" x14ac:dyDescent="0.35">
      <c r="A478" s="1"/>
    </row>
  </sheetData>
  <conditionalFormatting sqref="B2:B478 A448:B478">
    <cfRule type="duplicateValues" dxfId="15" priority="1"/>
  </conditionalFormatting>
  <hyperlinks>
    <hyperlink ref="C403" r:id="rId1" xr:uid="{D59DFC8C-030F-4FE7-9FA2-2791AEB50DB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346CE-5BA9-42E9-8611-48F59D4DBBA4}">
  <dimension ref="A1:C463"/>
  <sheetViews>
    <sheetView topLeftCell="C1" workbookViewId="0">
      <selection activeCell="A463" sqref="A463"/>
    </sheetView>
  </sheetViews>
  <sheetFormatPr defaultRowHeight="14.5" x14ac:dyDescent="0.35"/>
  <cols>
    <col min="1" max="1" width="3.81640625" bestFit="1" customWidth="1"/>
    <col min="2" max="2" width="142.54296875" customWidth="1"/>
  </cols>
  <sheetData>
    <row r="1" spans="1:3" ht="29" x14ac:dyDescent="0.35">
      <c r="A1" s="1" t="s">
        <v>0</v>
      </c>
      <c r="B1" s="1" t="s">
        <v>1</v>
      </c>
      <c r="C1" s="1" t="s">
        <v>2</v>
      </c>
    </row>
    <row r="2" spans="1:3" ht="43.5" x14ac:dyDescent="0.35">
      <c r="A2" s="1">
        <v>1</v>
      </c>
      <c r="B2" s="1" t="s">
        <v>3</v>
      </c>
      <c r="C2" s="1" t="s">
        <v>4</v>
      </c>
    </row>
    <row r="3" spans="1:3" ht="29" x14ac:dyDescent="0.35">
      <c r="A3" s="1">
        <f>SUM(A2+1)</f>
        <v>2</v>
      </c>
      <c r="B3" s="1" t="s">
        <v>5</v>
      </c>
      <c r="C3" s="1" t="s">
        <v>6</v>
      </c>
    </row>
    <row r="4" spans="1:3" ht="29" x14ac:dyDescent="0.35">
      <c r="A4" s="1">
        <f t="shared" ref="A4:A67" si="0">SUM(A3+1)</f>
        <v>3</v>
      </c>
      <c r="B4" s="1" t="s">
        <v>7</v>
      </c>
      <c r="C4" s="1" t="s">
        <v>8</v>
      </c>
    </row>
    <row r="5" spans="1:3" ht="43.5" x14ac:dyDescent="0.35">
      <c r="A5" s="1">
        <f t="shared" si="0"/>
        <v>4</v>
      </c>
      <c r="B5" s="1" t="s">
        <v>9</v>
      </c>
      <c r="C5" s="1" t="s">
        <v>10</v>
      </c>
    </row>
    <row r="6" spans="1:3" ht="130.5" x14ac:dyDescent="0.35">
      <c r="A6" s="1">
        <f t="shared" si="0"/>
        <v>5</v>
      </c>
      <c r="B6" s="1" t="s">
        <v>11</v>
      </c>
      <c r="C6" s="1" t="s">
        <v>12</v>
      </c>
    </row>
    <row r="7" spans="1:3" ht="58" x14ac:dyDescent="0.35">
      <c r="A7" s="1">
        <f t="shared" si="0"/>
        <v>6</v>
      </c>
      <c r="B7" s="1" t="s">
        <v>13</v>
      </c>
      <c r="C7" s="1" t="s">
        <v>14</v>
      </c>
    </row>
    <row r="8" spans="1:3" ht="72.5" x14ac:dyDescent="0.35">
      <c r="A8" s="1">
        <f t="shared" si="0"/>
        <v>7</v>
      </c>
      <c r="B8" s="1" t="s">
        <v>15</v>
      </c>
      <c r="C8" s="1" t="s">
        <v>16</v>
      </c>
    </row>
    <row r="9" spans="1:3" ht="29" x14ac:dyDescent="0.35">
      <c r="A9" s="1">
        <f t="shared" si="0"/>
        <v>8</v>
      </c>
      <c r="B9" s="1" t="s">
        <v>17</v>
      </c>
      <c r="C9" s="1" t="s">
        <v>18</v>
      </c>
    </row>
    <row r="10" spans="1:3" ht="58" x14ac:dyDescent="0.35">
      <c r="A10" s="1">
        <f t="shared" si="0"/>
        <v>9</v>
      </c>
      <c r="B10" s="1" t="s">
        <v>19</v>
      </c>
      <c r="C10" s="1" t="s">
        <v>20</v>
      </c>
    </row>
    <row r="11" spans="1:3" ht="43.5" x14ac:dyDescent="0.35">
      <c r="A11" s="1">
        <f t="shared" si="0"/>
        <v>10</v>
      </c>
      <c r="B11" s="1" t="s">
        <v>21</v>
      </c>
      <c r="C11" s="1" t="s">
        <v>22</v>
      </c>
    </row>
    <row r="12" spans="1:3" ht="43.5" x14ac:dyDescent="0.35">
      <c r="A12" s="1">
        <f t="shared" si="0"/>
        <v>11</v>
      </c>
      <c r="B12" s="1" t="s">
        <v>23</v>
      </c>
      <c r="C12" s="1" t="s">
        <v>24</v>
      </c>
    </row>
    <row r="13" spans="1:3" ht="130.5" x14ac:dyDescent="0.35">
      <c r="A13" s="1">
        <f t="shared" si="0"/>
        <v>12</v>
      </c>
      <c r="B13" s="1" t="s">
        <v>25</v>
      </c>
      <c r="C13" s="1" t="s">
        <v>26</v>
      </c>
    </row>
    <row r="14" spans="1:3" ht="29" x14ac:dyDescent="0.35">
      <c r="A14" s="1">
        <f t="shared" si="0"/>
        <v>13</v>
      </c>
      <c r="B14" s="1" t="s">
        <v>27</v>
      </c>
      <c r="C14" s="1" t="s">
        <v>28</v>
      </c>
    </row>
    <row r="15" spans="1:3" ht="29" x14ac:dyDescent="0.35">
      <c r="A15" s="1">
        <f t="shared" si="0"/>
        <v>14</v>
      </c>
      <c r="B15" s="1" t="s">
        <v>29</v>
      </c>
      <c r="C15" s="1" t="s">
        <v>30</v>
      </c>
    </row>
    <row r="16" spans="1:3" ht="29" x14ac:dyDescent="0.35">
      <c r="A16" s="1">
        <f t="shared" si="0"/>
        <v>15</v>
      </c>
      <c r="B16" s="1" t="s">
        <v>31</v>
      </c>
      <c r="C16" s="1" t="s">
        <v>32</v>
      </c>
    </row>
    <row r="17" spans="1:3" ht="29" x14ac:dyDescent="0.35">
      <c r="A17" s="1">
        <f t="shared" si="0"/>
        <v>16</v>
      </c>
      <c r="B17" s="1" t="s">
        <v>33</v>
      </c>
      <c r="C17" s="1" t="s">
        <v>34</v>
      </c>
    </row>
    <row r="18" spans="1:3" ht="29" x14ac:dyDescent="0.35">
      <c r="A18" s="1">
        <f t="shared" si="0"/>
        <v>17</v>
      </c>
      <c r="B18" s="1" t="s">
        <v>35</v>
      </c>
      <c r="C18" s="1" t="s">
        <v>36</v>
      </c>
    </row>
    <row r="19" spans="1:3" ht="29" x14ac:dyDescent="0.35">
      <c r="A19" s="1">
        <f t="shared" si="0"/>
        <v>18</v>
      </c>
      <c r="B19" s="1" t="s">
        <v>37</v>
      </c>
      <c r="C19" s="1" t="s">
        <v>38</v>
      </c>
    </row>
    <row r="20" spans="1:3" ht="29" x14ac:dyDescent="0.35">
      <c r="A20" s="1">
        <f t="shared" si="0"/>
        <v>19</v>
      </c>
      <c r="B20" s="1" t="s">
        <v>39</v>
      </c>
      <c r="C20" s="1" t="s">
        <v>40</v>
      </c>
    </row>
    <row r="21" spans="1:3" ht="29" x14ac:dyDescent="0.35">
      <c r="A21" s="1">
        <f t="shared" si="0"/>
        <v>20</v>
      </c>
      <c r="B21" s="1" t="s">
        <v>41</v>
      </c>
      <c r="C21" s="1" t="s">
        <v>42</v>
      </c>
    </row>
    <row r="22" spans="1:3" ht="58" x14ac:dyDescent="0.35">
      <c r="A22" s="1">
        <f t="shared" si="0"/>
        <v>21</v>
      </c>
      <c r="B22" s="1" t="s">
        <v>43</v>
      </c>
      <c r="C22" s="1" t="s">
        <v>44</v>
      </c>
    </row>
    <row r="23" spans="1:3" ht="87" x14ac:dyDescent="0.35">
      <c r="A23" s="1">
        <f t="shared" si="0"/>
        <v>22</v>
      </c>
      <c r="B23" s="1" t="s">
        <v>45</v>
      </c>
      <c r="C23" s="1" t="s">
        <v>20</v>
      </c>
    </row>
    <row r="24" spans="1:3" ht="29" x14ac:dyDescent="0.35">
      <c r="A24" s="1">
        <f t="shared" si="0"/>
        <v>23</v>
      </c>
      <c r="B24" s="1" t="s">
        <v>46</v>
      </c>
      <c r="C24" s="1" t="s">
        <v>47</v>
      </c>
    </row>
    <row r="25" spans="1:3" ht="29" x14ac:dyDescent="0.35">
      <c r="A25" s="1">
        <f t="shared" si="0"/>
        <v>24</v>
      </c>
      <c r="B25" s="1" t="s">
        <v>48</v>
      </c>
      <c r="C25" s="1" t="s">
        <v>49</v>
      </c>
    </row>
    <row r="26" spans="1:3" ht="29" x14ac:dyDescent="0.35">
      <c r="A26" s="1">
        <f t="shared" si="0"/>
        <v>25</v>
      </c>
      <c r="B26" s="1" t="s">
        <v>50</v>
      </c>
      <c r="C26" s="1" t="s">
        <v>20</v>
      </c>
    </row>
    <row r="27" spans="1:3" ht="29" x14ac:dyDescent="0.35">
      <c r="A27" s="1">
        <f t="shared" si="0"/>
        <v>26</v>
      </c>
      <c r="B27" s="1" t="s">
        <v>51</v>
      </c>
      <c r="C27" s="1" t="s">
        <v>52</v>
      </c>
    </row>
    <row r="28" spans="1:3" ht="29" x14ac:dyDescent="0.35">
      <c r="A28" s="1">
        <f t="shared" si="0"/>
        <v>27</v>
      </c>
      <c r="B28" s="1" t="s">
        <v>53</v>
      </c>
      <c r="C28" s="1" t="s">
        <v>54</v>
      </c>
    </row>
    <row r="29" spans="1:3" ht="43.5" x14ac:dyDescent="0.35">
      <c r="A29" s="1">
        <f t="shared" si="0"/>
        <v>28</v>
      </c>
      <c r="B29" s="1" t="s">
        <v>55</v>
      </c>
      <c r="C29" s="1" t="s">
        <v>56</v>
      </c>
    </row>
    <row r="30" spans="1:3" ht="29" x14ac:dyDescent="0.35">
      <c r="A30" s="1">
        <f t="shared" si="0"/>
        <v>29</v>
      </c>
      <c r="B30" s="1" t="s">
        <v>57</v>
      </c>
      <c r="C30" s="1" t="s">
        <v>58</v>
      </c>
    </row>
    <row r="31" spans="1:3" ht="29" x14ac:dyDescent="0.35">
      <c r="A31" s="1">
        <f t="shared" si="0"/>
        <v>30</v>
      </c>
      <c r="B31" s="1" t="s">
        <v>59</v>
      </c>
      <c r="C31" s="1" t="s">
        <v>60</v>
      </c>
    </row>
    <row r="32" spans="1:3" ht="43.5" x14ac:dyDescent="0.35">
      <c r="A32" s="1">
        <f t="shared" si="0"/>
        <v>31</v>
      </c>
      <c r="B32" s="1" t="s">
        <v>61</v>
      </c>
      <c r="C32" s="1" t="s">
        <v>62</v>
      </c>
    </row>
    <row r="33" spans="1:3" ht="29" x14ac:dyDescent="0.35">
      <c r="A33" s="1">
        <f t="shared" si="0"/>
        <v>32</v>
      </c>
      <c r="B33" s="1" t="s">
        <v>63</v>
      </c>
      <c r="C33" s="1" t="s">
        <v>64</v>
      </c>
    </row>
    <row r="34" spans="1:3" ht="58" x14ac:dyDescent="0.35">
      <c r="A34" s="1">
        <f t="shared" si="0"/>
        <v>33</v>
      </c>
      <c r="B34" s="1" t="s">
        <v>65</v>
      </c>
      <c r="C34" s="1" t="s">
        <v>66</v>
      </c>
    </row>
    <row r="35" spans="1:3" ht="29" x14ac:dyDescent="0.35">
      <c r="A35" s="1">
        <f t="shared" si="0"/>
        <v>34</v>
      </c>
      <c r="B35" s="1" t="s">
        <v>67</v>
      </c>
      <c r="C35" s="1" t="s">
        <v>68</v>
      </c>
    </row>
    <row r="36" spans="1:3" ht="43.5" x14ac:dyDescent="0.35">
      <c r="A36" s="1">
        <f t="shared" si="0"/>
        <v>35</v>
      </c>
      <c r="B36" s="1" t="s">
        <v>69</v>
      </c>
      <c r="C36" s="1" t="s">
        <v>70</v>
      </c>
    </row>
    <row r="37" spans="1:3" ht="29" x14ac:dyDescent="0.35">
      <c r="A37" s="1">
        <f t="shared" si="0"/>
        <v>36</v>
      </c>
      <c r="B37" s="1" t="s">
        <v>71</v>
      </c>
      <c r="C37" s="1" t="s">
        <v>72</v>
      </c>
    </row>
    <row r="38" spans="1:3" ht="43.5" x14ac:dyDescent="0.35">
      <c r="A38" s="1">
        <f t="shared" si="0"/>
        <v>37</v>
      </c>
      <c r="B38" s="1" t="s">
        <v>73</v>
      </c>
      <c r="C38" s="1" t="s">
        <v>74</v>
      </c>
    </row>
    <row r="39" spans="1:3" ht="29" x14ac:dyDescent="0.35">
      <c r="A39" s="1">
        <f t="shared" si="0"/>
        <v>38</v>
      </c>
      <c r="B39" s="1" t="s">
        <v>75</v>
      </c>
      <c r="C39" s="1" t="s">
        <v>76</v>
      </c>
    </row>
    <row r="40" spans="1:3" ht="43.5" x14ac:dyDescent="0.35">
      <c r="A40" s="1">
        <f t="shared" si="0"/>
        <v>39</v>
      </c>
      <c r="B40" s="1" t="s">
        <v>77</v>
      </c>
      <c r="C40" s="1" t="s">
        <v>78</v>
      </c>
    </row>
    <row r="41" spans="1:3" ht="43.5" x14ac:dyDescent="0.35">
      <c r="A41" s="1">
        <f t="shared" si="0"/>
        <v>40</v>
      </c>
      <c r="B41" s="1" t="s">
        <v>79</v>
      </c>
      <c r="C41" s="1" t="s">
        <v>80</v>
      </c>
    </row>
    <row r="42" spans="1:3" ht="29" x14ac:dyDescent="0.35">
      <c r="A42" s="1">
        <f t="shared" si="0"/>
        <v>41</v>
      </c>
      <c r="B42" s="1" t="s">
        <v>81</v>
      </c>
      <c r="C42" s="1" t="s">
        <v>82</v>
      </c>
    </row>
    <row r="43" spans="1:3" ht="29" x14ac:dyDescent="0.35">
      <c r="A43" s="1">
        <f t="shared" si="0"/>
        <v>42</v>
      </c>
      <c r="B43" s="1" t="s">
        <v>83</v>
      </c>
      <c r="C43" s="1" t="s">
        <v>84</v>
      </c>
    </row>
    <row r="44" spans="1:3" ht="29" x14ac:dyDescent="0.35">
      <c r="A44" s="1">
        <f t="shared" si="0"/>
        <v>43</v>
      </c>
      <c r="B44" s="1" t="s">
        <v>85</v>
      </c>
      <c r="C44" s="1" t="s">
        <v>76</v>
      </c>
    </row>
    <row r="45" spans="1:3" ht="130.5" x14ac:dyDescent="0.35">
      <c r="A45" s="1">
        <f t="shared" si="0"/>
        <v>44</v>
      </c>
      <c r="B45" s="1" t="s">
        <v>86</v>
      </c>
      <c r="C45" s="1" t="s">
        <v>87</v>
      </c>
    </row>
    <row r="46" spans="1:3" ht="29" x14ac:dyDescent="0.35">
      <c r="A46" s="1">
        <f t="shared" si="0"/>
        <v>45</v>
      </c>
      <c r="B46" s="1" t="s">
        <v>88</v>
      </c>
      <c r="C46" s="1" t="s">
        <v>84</v>
      </c>
    </row>
    <row r="47" spans="1:3" ht="58" x14ac:dyDescent="0.35">
      <c r="A47" s="1">
        <f t="shared" si="0"/>
        <v>46</v>
      </c>
      <c r="B47" s="1" t="s">
        <v>89</v>
      </c>
      <c r="C47" s="1" t="s">
        <v>76</v>
      </c>
    </row>
    <row r="48" spans="1:3" ht="29" x14ac:dyDescent="0.35">
      <c r="A48" s="1">
        <f t="shared" si="0"/>
        <v>47</v>
      </c>
      <c r="B48" s="1" t="s">
        <v>90</v>
      </c>
      <c r="C48" s="1" t="s">
        <v>91</v>
      </c>
    </row>
    <row r="49" spans="1:3" ht="29" x14ac:dyDescent="0.35">
      <c r="A49" s="1">
        <f t="shared" si="0"/>
        <v>48</v>
      </c>
      <c r="B49" s="1" t="s">
        <v>92</v>
      </c>
      <c r="C49" s="1" t="s">
        <v>93</v>
      </c>
    </row>
    <row r="50" spans="1:3" ht="29" x14ac:dyDescent="0.35">
      <c r="A50" s="1">
        <f t="shared" si="0"/>
        <v>49</v>
      </c>
      <c r="B50" s="1" t="s">
        <v>94</v>
      </c>
      <c r="C50" s="1" t="s">
        <v>93</v>
      </c>
    </row>
    <row r="51" spans="1:3" ht="29" x14ac:dyDescent="0.35">
      <c r="A51" s="1">
        <f t="shared" si="0"/>
        <v>50</v>
      </c>
      <c r="B51" s="1" t="s">
        <v>95</v>
      </c>
      <c r="C51" s="1" t="s">
        <v>76</v>
      </c>
    </row>
    <row r="52" spans="1:3" ht="29" x14ac:dyDescent="0.35">
      <c r="A52" s="1">
        <f t="shared" si="0"/>
        <v>51</v>
      </c>
      <c r="B52" s="1" t="s">
        <v>96</v>
      </c>
      <c r="C52" s="1" t="s">
        <v>93</v>
      </c>
    </row>
    <row r="53" spans="1:3" ht="29" x14ac:dyDescent="0.35">
      <c r="A53" s="1">
        <f t="shared" si="0"/>
        <v>52</v>
      </c>
      <c r="B53" s="1" t="s">
        <v>97</v>
      </c>
      <c r="C53" s="1" t="s">
        <v>98</v>
      </c>
    </row>
    <row r="54" spans="1:3" ht="29" x14ac:dyDescent="0.35">
      <c r="A54" s="1">
        <f t="shared" si="0"/>
        <v>53</v>
      </c>
      <c r="B54" s="1" t="s">
        <v>99</v>
      </c>
      <c r="C54" s="1" t="s">
        <v>100</v>
      </c>
    </row>
    <row r="55" spans="1:3" ht="43.5" x14ac:dyDescent="0.35">
      <c r="A55" s="1">
        <f t="shared" si="0"/>
        <v>54</v>
      </c>
      <c r="B55" s="1" t="s">
        <v>101</v>
      </c>
      <c r="C55" s="1" t="s">
        <v>102</v>
      </c>
    </row>
    <row r="56" spans="1:3" ht="29" x14ac:dyDescent="0.35">
      <c r="A56" s="1">
        <f t="shared" si="0"/>
        <v>55</v>
      </c>
      <c r="B56" s="1" t="s">
        <v>103</v>
      </c>
      <c r="C56" s="1" t="s">
        <v>100</v>
      </c>
    </row>
    <row r="57" spans="1:3" ht="87" x14ac:dyDescent="0.35">
      <c r="A57" s="1">
        <f t="shared" si="0"/>
        <v>56</v>
      </c>
      <c r="B57" s="1" t="s">
        <v>104</v>
      </c>
      <c r="C57" s="1" t="s">
        <v>105</v>
      </c>
    </row>
    <row r="58" spans="1:3" ht="87" x14ac:dyDescent="0.35">
      <c r="A58" s="1">
        <f t="shared" si="0"/>
        <v>57</v>
      </c>
      <c r="B58" s="1" t="s">
        <v>106</v>
      </c>
      <c r="C58" s="1" t="s">
        <v>105</v>
      </c>
    </row>
    <row r="59" spans="1:3" ht="130.5" x14ac:dyDescent="0.35">
      <c r="A59" s="1">
        <f t="shared" si="0"/>
        <v>58</v>
      </c>
      <c r="B59" s="1" t="s">
        <v>107</v>
      </c>
      <c r="C59" s="1" t="s">
        <v>108</v>
      </c>
    </row>
    <row r="60" spans="1:3" ht="58" x14ac:dyDescent="0.35">
      <c r="A60" s="1">
        <f t="shared" si="0"/>
        <v>59</v>
      </c>
      <c r="B60" s="1" t="s">
        <v>109</v>
      </c>
      <c r="C60" s="1" t="s">
        <v>110</v>
      </c>
    </row>
    <row r="61" spans="1:3" ht="58" x14ac:dyDescent="0.35">
      <c r="A61" s="1">
        <f t="shared" si="0"/>
        <v>60</v>
      </c>
      <c r="B61" s="1" t="s">
        <v>111</v>
      </c>
      <c r="C61" s="1" t="s">
        <v>112</v>
      </c>
    </row>
    <row r="62" spans="1:3" ht="43.5" x14ac:dyDescent="0.35">
      <c r="A62" s="1">
        <f t="shared" si="0"/>
        <v>61</v>
      </c>
      <c r="B62" s="1" t="s">
        <v>113</v>
      </c>
      <c r="C62" s="1" t="s">
        <v>114</v>
      </c>
    </row>
    <row r="63" spans="1:3" ht="101.5" x14ac:dyDescent="0.35">
      <c r="A63" s="1">
        <f t="shared" si="0"/>
        <v>62</v>
      </c>
      <c r="B63" s="1" t="s">
        <v>115</v>
      </c>
      <c r="C63" s="1" t="s">
        <v>116</v>
      </c>
    </row>
    <row r="64" spans="1:3" ht="101.5" x14ac:dyDescent="0.35">
      <c r="A64" s="1">
        <f t="shared" si="0"/>
        <v>63</v>
      </c>
      <c r="B64" s="1" t="s">
        <v>117</v>
      </c>
      <c r="C64" s="1" t="s">
        <v>116</v>
      </c>
    </row>
    <row r="65" spans="1:3" ht="29" x14ac:dyDescent="0.35">
      <c r="A65" s="1">
        <f t="shared" si="0"/>
        <v>64</v>
      </c>
      <c r="B65" s="1" t="s">
        <v>118</v>
      </c>
      <c r="C65" s="1" t="s">
        <v>119</v>
      </c>
    </row>
    <row r="66" spans="1:3" ht="116" x14ac:dyDescent="0.35">
      <c r="A66" s="1">
        <f t="shared" si="0"/>
        <v>65</v>
      </c>
      <c r="B66" s="1" t="s">
        <v>120</v>
      </c>
      <c r="C66" s="1" t="s">
        <v>121</v>
      </c>
    </row>
    <row r="67" spans="1:3" ht="29" x14ac:dyDescent="0.35">
      <c r="A67" s="1">
        <f t="shared" si="0"/>
        <v>66</v>
      </c>
      <c r="B67" s="1" t="s">
        <v>122</v>
      </c>
      <c r="C67" s="1" t="s">
        <v>123</v>
      </c>
    </row>
    <row r="68" spans="1:3" ht="101.5" x14ac:dyDescent="0.35">
      <c r="A68" s="1">
        <f t="shared" ref="A68:A131" si="1">SUM(A67+1)</f>
        <v>67</v>
      </c>
      <c r="B68" s="1" t="s">
        <v>124</v>
      </c>
      <c r="C68" s="1" t="s">
        <v>125</v>
      </c>
    </row>
    <row r="69" spans="1:3" ht="58" x14ac:dyDescent="0.35">
      <c r="A69" s="1">
        <f t="shared" si="1"/>
        <v>68</v>
      </c>
      <c r="B69" s="1" t="s">
        <v>126</v>
      </c>
      <c r="C69" s="1" t="s">
        <v>127</v>
      </c>
    </row>
    <row r="70" spans="1:3" ht="72.5" x14ac:dyDescent="0.35">
      <c r="A70" s="1">
        <f t="shared" si="1"/>
        <v>69</v>
      </c>
      <c r="B70" s="1" t="s">
        <v>128</v>
      </c>
      <c r="C70" s="1" t="s">
        <v>129</v>
      </c>
    </row>
    <row r="71" spans="1:3" ht="29" x14ac:dyDescent="0.35">
      <c r="A71" s="1">
        <f t="shared" si="1"/>
        <v>70</v>
      </c>
      <c r="B71" s="1" t="s">
        <v>130</v>
      </c>
      <c r="C71" s="1" t="s">
        <v>93</v>
      </c>
    </row>
    <row r="72" spans="1:3" ht="29" x14ac:dyDescent="0.35">
      <c r="A72" s="1">
        <f t="shared" si="1"/>
        <v>71</v>
      </c>
      <c r="B72" s="1" t="s">
        <v>131</v>
      </c>
      <c r="C72" s="1" t="s">
        <v>76</v>
      </c>
    </row>
    <row r="73" spans="1:3" ht="43.5" x14ac:dyDescent="0.35">
      <c r="A73" s="1">
        <f t="shared" si="1"/>
        <v>72</v>
      </c>
      <c r="B73" s="1" t="s">
        <v>132</v>
      </c>
      <c r="C73" s="1" t="s">
        <v>133</v>
      </c>
    </row>
    <row r="74" spans="1:3" ht="29" x14ac:dyDescent="0.35">
      <c r="A74" s="1">
        <f t="shared" si="1"/>
        <v>73</v>
      </c>
      <c r="B74" s="1" t="s">
        <v>134</v>
      </c>
      <c r="C74" s="1" t="s">
        <v>135</v>
      </c>
    </row>
    <row r="75" spans="1:3" ht="43.5" x14ac:dyDescent="0.35">
      <c r="A75" s="1">
        <f t="shared" si="1"/>
        <v>74</v>
      </c>
      <c r="B75" s="1" t="s">
        <v>136</v>
      </c>
      <c r="C75" s="1" t="s">
        <v>137</v>
      </c>
    </row>
    <row r="76" spans="1:3" ht="58" x14ac:dyDescent="0.35">
      <c r="A76" s="1">
        <f t="shared" si="1"/>
        <v>75</v>
      </c>
      <c r="B76" s="1" t="s">
        <v>138</v>
      </c>
      <c r="C76" s="1" t="s">
        <v>139</v>
      </c>
    </row>
    <row r="77" spans="1:3" ht="43.5" x14ac:dyDescent="0.35">
      <c r="A77" s="1">
        <f t="shared" si="1"/>
        <v>76</v>
      </c>
      <c r="B77" s="1" t="s">
        <v>140</v>
      </c>
      <c r="C77" s="1" t="s">
        <v>141</v>
      </c>
    </row>
    <row r="78" spans="1:3" ht="43.5" x14ac:dyDescent="0.35">
      <c r="A78" s="1">
        <f t="shared" si="1"/>
        <v>77</v>
      </c>
      <c r="B78" s="1" t="s">
        <v>142</v>
      </c>
      <c r="C78" s="1" t="s">
        <v>143</v>
      </c>
    </row>
    <row r="79" spans="1:3" ht="29" x14ac:dyDescent="0.35">
      <c r="A79" s="1">
        <f t="shared" si="1"/>
        <v>78</v>
      </c>
      <c r="B79" s="1" t="s">
        <v>144</v>
      </c>
      <c r="C79" s="1" t="s">
        <v>143</v>
      </c>
    </row>
    <row r="80" spans="1:3" ht="29" x14ac:dyDescent="0.35">
      <c r="A80" s="1">
        <f t="shared" si="1"/>
        <v>79</v>
      </c>
      <c r="B80" s="1" t="s">
        <v>145</v>
      </c>
      <c r="C80" s="1" t="s">
        <v>143</v>
      </c>
    </row>
    <row r="81" spans="1:3" ht="29" x14ac:dyDescent="0.35">
      <c r="A81" s="1">
        <f t="shared" si="1"/>
        <v>80</v>
      </c>
      <c r="B81" s="1" t="s">
        <v>146</v>
      </c>
      <c r="C81" s="1" t="s">
        <v>147</v>
      </c>
    </row>
    <row r="82" spans="1:3" ht="29" x14ac:dyDescent="0.35">
      <c r="A82" s="1">
        <f t="shared" si="1"/>
        <v>81</v>
      </c>
      <c r="B82" s="1" t="s">
        <v>148</v>
      </c>
      <c r="C82" s="1" t="s">
        <v>149</v>
      </c>
    </row>
    <row r="83" spans="1:3" ht="29" x14ac:dyDescent="0.35">
      <c r="A83" s="1">
        <f t="shared" si="1"/>
        <v>82</v>
      </c>
      <c r="B83" s="1" t="s">
        <v>150</v>
      </c>
      <c r="C83" s="1" t="s">
        <v>143</v>
      </c>
    </row>
    <row r="84" spans="1:3" ht="43.5" x14ac:dyDescent="0.35">
      <c r="A84" s="1">
        <f t="shared" si="1"/>
        <v>83</v>
      </c>
      <c r="B84" s="1" t="s">
        <v>151</v>
      </c>
      <c r="C84" s="1" t="s">
        <v>143</v>
      </c>
    </row>
    <row r="85" spans="1:3" ht="29" x14ac:dyDescent="0.35">
      <c r="A85" s="1">
        <f t="shared" si="1"/>
        <v>84</v>
      </c>
      <c r="B85" s="1" t="s">
        <v>152</v>
      </c>
      <c r="C85" s="1" t="s">
        <v>153</v>
      </c>
    </row>
    <row r="86" spans="1:3" ht="43.5" x14ac:dyDescent="0.35">
      <c r="A86" s="1">
        <f t="shared" si="1"/>
        <v>85</v>
      </c>
      <c r="B86" s="1" t="s">
        <v>154</v>
      </c>
      <c r="C86" s="1" t="s">
        <v>155</v>
      </c>
    </row>
    <row r="87" spans="1:3" ht="29" x14ac:dyDescent="0.35">
      <c r="A87" s="1">
        <f t="shared" si="1"/>
        <v>86</v>
      </c>
      <c r="B87" s="1" t="s">
        <v>156</v>
      </c>
      <c r="C87" s="1" t="s">
        <v>157</v>
      </c>
    </row>
    <row r="88" spans="1:3" ht="29" x14ac:dyDescent="0.35">
      <c r="A88" s="1">
        <f t="shared" si="1"/>
        <v>87</v>
      </c>
      <c r="B88" s="1" t="s">
        <v>158</v>
      </c>
      <c r="C88" s="1" t="s">
        <v>159</v>
      </c>
    </row>
    <row r="89" spans="1:3" ht="43.5" x14ac:dyDescent="0.35">
      <c r="A89" s="1">
        <f t="shared" si="1"/>
        <v>88</v>
      </c>
      <c r="B89" s="1" t="s">
        <v>160</v>
      </c>
      <c r="C89" s="1" t="s">
        <v>161</v>
      </c>
    </row>
    <row r="90" spans="1:3" ht="43.5" x14ac:dyDescent="0.35">
      <c r="A90" s="1">
        <f t="shared" si="1"/>
        <v>89</v>
      </c>
      <c r="B90" s="1" t="s">
        <v>162</v>
      </c>
      <c r="C90" s="1" t="s">
        <v>102</v>
      </c>
    </row>
    <row r="91" spans="1:3" ht="101.5" x14ac:dyDescent="0.35">
      <c r="A91" s="1">
        <f t="shared" si="1"/>
        <v>90</v>
      </c>
      <c r="B91" s="1" t="s">
        <v>163</v>
      </c>
      <c r="C91" s="1" t="s">
        <v>125</v>
      </c>
    </row>
    <row r="92" spans="1:3" ht="58" x14ac:dyDescent="0.35">
      <c r="A92" s="1">
        <f t="shared" si="1"/>
        <v>91</v>
      </c>
      <c r="B92" s="1" t="s">
        <v>164</v>
      </c>
      <c r="C92" s="1" t="s">
        <v>137</v>
      </c>
    </row>
    <row r="93" spans="1:3" ht="29" x14ac:dyDescent="0.35">
      <c r="A93" s="1">
        <f t="shared" si="1"/>
        <v>92</v>
      </c>
      <c r="B93" s="1" t="s">
        <v>165</v>
      </c>
      <c r="C93" s="1" t="s">
        <v>166</v>
      </c>
    </row>
    <row r="94" spans="1:3" ht="58" x14ac:dyDescent="0.35">
      <c r="A94" s="1">
        <f t="shared" si="1"/>
        <v>93</v>
      </c>
      <c r="B94" s="1" t="s">
        <v>167</v>
      </c>
      <c r="C94" s="1" t="s">
        <v>168</v>
      </c>
    </row>
    <row r="95" spans="1:3" ht="29" x14ac:dyDescent="0.35">
      <c r="A95" s="1">
        <f t="shared" si="1"/>
        <v>94</v>
      </c>
      <c r="B95" s="1" t="s">
        <v>169</v>
      </c>
      <c r="C95" s="1" t="s">
        <v>170</v>
      </c>
    </row>
    <row r="96" spans="1:3" ht="29" x14ac:dyDescent="0.35">
      <c r="A96" s="1">
        <f t="shared" si="1"/>
        <v>95</v>
      </c>
      <c r="B96" s="1" t="s">
        <v>171</v>
      </c>
      <c r="C96" s="1" t="s">
        <v>172</v>
      </c>
    </row>
    <row r="97" spans="1:3" ht="72.5" x14ac:dyDescent="0.35">
      <c r="A97" s="1">
        <f t="shared" si="1"/>
        <v>96</v>
      </c>
      <c r="B97" s="1" t="s">
        <v>173</v>
      </c>
      <c r="C97" s="1" t="s">
        <v>174</v>
      </c>
    </row>
    <row r="98" spans="1:3" ht="72.5" x14ac:dyDescent="0.35">
      <c r="A98" s="1">
        <f t="shared" si="1"/>
        <v>97</v>
      </c>
      <c r="B98" s="1" t="s">
        <v>175</v>
      </c>
      <c r="C98" s="1" t="s">
        <v>176</v>
      </c>
    </row>
    <row r="99" spans="1:3" x14ac:dyDescent="0.35">
      <c r="A99" s="1">
        <f t="shared" si="1"/>
        <v>98</v>
      </c>
      <c r="B99" s="1" t="s">
        <v>177</v>
      </c>
      <c r="C99" s="1" t="s">
        <v>143</v>
      </c>
    </row>
    <row r="100" spans="1:3" ht="29" x14ac:dyDescent="0.35">
      <c r="A100" s="1">
        <f t="shared" si="1"/>
        <v>99</v>
      </c>
      <c r="B100" s="1" t="s">
        <v>178</v>
      </c>
      <c r="C100" s="1" t="s">
        <v>137</v>
      </c>
    </row>
    <row r="101" spans="1:3" ht="43.5" x14ac:dyDescent="0.35">
      <c r="A101" s="1">
        <f t="shared" si="1"/>
        <v>100</v>
      </c>
      <c r="B101" s="1" t="s">
        <v>179</v>
      </c>
      <c r="C101" s="1" t="s">
        <v>180</v>
      </c>
    </row>
    <row r="102" spans="1:3" ht="29" x14ac:dyDescent="0.35">
      <c r="A102" s="1">
        <f t="shared" si="1"/>
        <v>101</v>
      </c>
      <c r="B102" s="1" t="s">
        <v>181</v>
      </c>
      <c r="C102" s="1" t="s">
        <v>182</v>
      </c>
    </row>
    <row r="103" spans="1:3" ht="29" x14ac:dyDescent="0.35">
      <c r="A103" s="1">
        <f t="shared" si="1"/>
        <v>102</v>
      </c>
      <c r="B103" s="1" t="s">
        <v>183</v>
      </c>
      <c r="C103" s="1" t="s">
        <v>172</v>
      </c>
    </row>
    <row r="104" spans="1:3" ht="101.5" x14ac:dyDescent="0.35">
      <c r="A104" s="1">
        <f t="shared" si="1"/>
        <v>103</v>
      </c>
      <c r="B104" s="1" t="s">
        <v>184</v>
      </c>
      <c r="C104" s="1" t="s">
        <v>185</v>
      </c>
    </row>
    <row r="105" spans="1:3" ht="29" x14ac:dyDescent="0.35">
      <c r="A105" s="1">
        <f t="shared" si="1"/>
        <v>104</v>
      </c>
      <c r="B105" s="1" t="s">
        <v>186</v>
      </c>
      <c r="C105" s="1" t="s">
        <v>76</v>
      </c>
    </row>
    <row r="106" spans="1:3" ht="29" x14ac:dyDescent="0.35">
      <c r="A106" s="1">
        <f t="shared" si="1"/>
        <v>105</v>
      </c>
      <c r="B106" s="1" t="s">
        <v>187</v>
      </c>
      <c r="C106" s="1" t="s">
        <v>182</v>
      </c>
    </row>
    <row r="107" spans="1:3" ht="43.5" x14ac:dyDescent="0.35">
      <c r="A107" s="1">
        <f t="shared" si="1"/>
        <v>106</v>
      </c>
      <c r="B107" s="1" t="s">
        <v>188</v>
      </c>
      <c r="C107" s="1" t="s">
        <v>189</v>
      </c>
    </row>
    <row r="108" spans="1:3" ht="29" x14ac:dyDescent="0.35">
      <c r="A108" s="1">
        <f t="shared" si="1"/>
        <v>107</v>
      </c>
      <c r="B108" s="1" t="s">
        <v>190</v>
      </c>
      <c r="C108" s="1" t="s">
        <v>93</v>
      </c>
    </row>
    <row r="109" spans="1:3" ht="87" x14ac:dyDescent="0.35">
      <c r="A109" s="1">
        <f t="shared" si="1"/>
        <v>108</v>
      </c>
      <c r="B109" s="1" t="s">
        <v>191</v>
      </c>
      <c r="C109" s="1" t="s">
        <v>192</v>
      </c>
    </row>
    <row r="110" spans="1:3" ht="29" x14ac:dyDescent="0.35">
      <c r="A110" s="1">
        <f t="shared" si="1"/>
        <v>109</v>
      </c>
      <c r="B110" s="1" t="s">
        <v>193</v>
      </c>
      <c r="C110" s="1" t="s">
        <v>93</v>
      </c>
    </row>
    <row r="111" spans="1:3" ht="58" x14ac:dyDescent="0.35">
      <c r="A111" s="1">
        <f t="shared" si="1"/>
        <v>110</v>
      </c>
      <c r="B111" s="1" t="s">
        <v>194</v>
      </c>
      <c r="C111" s="1" t="s">
        <v>174</v>
      </c>
    </row>
    <row r="112" spans="1:3" ht="43.5" x14ac:dyDescent="0.35">
      <c r="A112" s="1">
        <f t="shared" si="1"/>
        <v>111</v>
      </c>
      <c r="B112" s="1" t="s">
        <v>195</v>
      </c>
      <c r="C112" s="1" t="s">
        <v>196</v>
      </c>
    </row>
    <row r="113" spans="1:3" ht="72.5" x14ac:dyDescent="0.35">
      <c r="A113" s="1">
        <f t="shared" si="1"/>
        <v>112</v>
      </c>
      <c r="B113" s="1" t="s">
        <v>197</v>
      </c>
      <c r="C113" s="1" t="s">
        <v>137</v>
      </c>
    </row>
    <row r="114" spans="1:3" ht="43.5" x14ac:dyDescent="0.35">
      <c r="A114" s="1">
        <f t="shared" si="1"/>
        <v>113</v>
      </c>
      <c r="B114" s="1" t="s">
        <v>198</v>
      </c>
      <c r="C114" s="1" t="s">
        <v>137</v>
      </c>
    </row>
    <row r="115" spans="1:3" ht="174" x14ac:dyDescent="0.35">
      <c r="A115" s="1">
        <f t="shared" si="1"/>
        <v>114</v>
      </c>
      <c r="B115" s="1" t="s">
        <v>199</v>
      </c>
      <c r="C115" s="1" t="s">
        <v>200</v>
      </c>
    </row>
    <row r="116" spans="1:3" ht="29" x14ac:dyDescent="0.35">
      <c r="A116" s="1">
        <f t="shared" si="1"/>
        <v>115</v>
      </c>
      <c r="B116" s="1" t="s">
        <v>201</v>
      </c>
      <c r="C116" s="1" t="s">
        <v>202</v>
      </c>
    </row>
    <row r="117" spans="1:3" ht="29" x14ac:dyDescent="0.35">
      <c r="A117" s="1">
        <f t="shared" si="1"/>
        <v>116</v>
      </c>
      <c r="B117" s="1" t="s">
        <v>203</v>
      </c>
      <c r="C117" s="1" t="s">
        <v>202</v>
      </c>
    </row>
    <row r="118" spans="1:3" ht="29" x14ac:dyDescent="0.35">
      <c r="A118" s="1">
        <f t="shared" si="1"/>
        <v>117</v>
      </c>
      <c r="B118" s="1" t="s">
        <v>204</v>
      </c>
      <c r="C118" s="1" t="s">
        <v>205</v>
      </c>
    </row>
    <row r="119" spans="1:3" ht="29" x14ac:dyDescent="0.35">
      <c r="A119" s="1">
        <f t="shared" si="1"/>
        <v>118</v>
      </c>
      <c r="B119" s="1" t="s">
        <v>206</v>
      </c>
      <c r="C119" s="1" t="s">
        <v>207</v>
      </c>
    </row>
    <row r="120" spans="1:3" ht="29" x14ac:dyDescent="0.35">
      <c r="A120" s="1">
        <f t="shared" si="1"/>
        <v>119</v>
      </c>
      <c r="B120" s="1" t="s">
        <v>208</v>
      </c>
      <c r="C120" s="1" t="s">
        <v>209</v>
      </c>
    </row>
    <row r="121" spans="1:3" ht="29" x14ac:dyDescent="0.35">
      <c r="A121" s="1">
        <f t="shared" si="1"/>
        <v>120</v>
      </c>
      <c r="B121" s="1" t="s">
        <v>210</v>
      </c>
      <c r="C121" s="1" t="s">
        <v>211</v>
      </c>
    </row>
    <row r="122" spans="1:3" ht="29" x14ac:dyDescent="0.35">
      <c r="A122" s="1">
        <f t="shared" si="1"/>
        <v>121</v>
      </c>
      <c r="B122" s="1" t="s">
        <v>212</v>
      </c>
      <c r="C122" s="1" t="s">
        <v>213</v>
      </c>
    </row>
    <row r="123" spans="1:3" ht="159.5" x14ac:dyDescent="0.35">
      <c r="A123" s="1">
        <f t="shared" si="1"/>
        <v>122</v>
      </c>
      <c r="B123" s="1" t="s">
        <v>214</v>
      </c>
      <c r="C123" s="1" t="s">
        <v>215</v>
      </c>
    </row>
    <row r="124" spans="1:3" ht="58" x14ac:dyDescent="0.35">
      <c r="A124" s="1">
        <f t="shared" si="1"/>
        <v>123</v>
      </c>
      <c r="B124" s="1" t="s">
        <v>216</v>
      </c>
      <c r="C124" s="1" t="s">
        <v>217</v>
      </c>
    </row>
    <row r="125" spans="1:3" ht="29" x14ac:dyDescent="0.35">
      <c r="A125" s="1">
        <f t="shared" si="1"/>
        <v>124</v>
      </c>
      <c r="B125" s="1" t="s">
        <v>218</v>
      </c>
      <c r="C125" s="1" t="s">
        <v>219</v>
      </c>
    </row>
    <row r="126" spans="1:3" ht="29" x14ac:dyDescent="0.35">
      <c r="A126" s="1">
        <f t="shared" si="1"/>
        <v>125</v>
      </c>
      <c r="B126" s="1" t="s">
        <v>220</v>
      </c>
      <c r="C126" s="1" t="s">
        <v>221</v>
      </c>
    </row>
    <row r="127" spans="1:3" ht="58" x14ac:dyDescent="0.35">
      <c r="A127" s="1">
        <f t="shared" si="1"/>
        <v>126</v>
      </c>
      <c r="B127" s="1" t="s">
        <v>222</v>
      </c>
      <c r="C127" s="1" t="s">
        <v>223</v>
      </c>
    </row>
    <row r="128" spans="1:3" ht="29" x14ac:dyDescent="0.35">
      <c r="A128" s="1">
        <f t="shared" si="1"/>
        <v>127</v>
      </c>
      <c r="B128" s="1" t="s">
        <v>224</v>
      </c>
      <c r="C128" s="1" t="s">
        <v>225</v>
      </c>
    </row>
    <row r="129" spans="1:3" ht="43.5" x14ac:dyDescent="0.35">
      <c r="A129" s="1">
        <f t="shared" si="1"/>
        <v>128</v>
      </c>
      <c r="B129" s="1" t="s">
        <v>226</v>
      </c>
      <c r="C129" s="1" t="s">
        <v>227</v>
      </c>
    </row>
    <row r="130" spans="1:3" ht="29" x14ac:dyDescent="0.35">
      <c r="A130" s="1">
        <f t="shared" si="1"/>
        <v>129</v>
      </c>
      <c r="B130" s="1" t="s">
        <v>228</v>
      </c>
      <c r="C130" s="1" t="s">
        <v>229</v>
      </c>
    </row>
    <row r="131" spans="1:3" ht="58" x14ac:dyDescent="0.35">
      <c r="A131" s="1">
        <f t="shared" si="1"/>
        <v>130</v>
      </c>
      <c r="B131" s="1" t="s">
        <v>230</v>
      </c>
      <c r="C131" s="1" t="s">
        <v>231</v>
      </c>
    </row>
    <row r="132" spans="1:3" ht="29" x14ac:dyDescent="0.35">
      <c r="A132" s="1">
        <f t="shared" ref="A132:A195" si="2">SUM(A131+1)</f>
        <v>131</v>
      </c>
      <c r="B132" s="1" t="s">
        <v>232</v>
      </c>
      <c r="C132" s="1" t="s">
        <v>233</v>
      </c>
    </row>
    <row r="133" spans="1:3" ht="29" x14ac:dyDescent="0.35">
      <c r="A133" s="1">
        <f t="shared" si="2"/>
        <v>132</v>
      </c>
      <c r="B133" s="1" t="s">
        <v>234</v>
      </c>
      <c r="C133" s="1" t="s">
        <v>235</v>
      </c>
    </row>
    <row r="134" spans="1:3" ht="29" x14ac:dyDescent="0.35">
      <c r="A134" s="1">
        <f t="shared" si="2"/>
        <v>133</v>
      </c>
      <c r="B134" s="1" t="s">
        <v>236</v>
      </c>
      <c r="C134" s="1" t="s">
        <v>237</v>
      </c>
    </row>
    <row r="135" spans="1:3" ht="29" x14ac:dyDescent="0.35">
      <c r="A135" s="1">
        <f t="shared" si="2"/>
        <v>134</v>
      </c>
      <c r="B135" s="1" t="s">
        <v>238</v>
      </c>
      <c r="C135" s="1" t="s">
        <v>4</v>
      </c>
    </row>
    <row r="136" spans="1:3" ht="43.5" x14ac:dyDescent="0.35">
      <c r="A136" s="1">
        <f t="shared" si="2"/>
        <v>135</v>
      </c>
      <c r="B136" s="1" t="s">
        <v>241</v>
      </c>
      <c r="C136" s="1" t="s">
        <v>242</v>
      </c>
    </row>
    <row r="137" spans="1:3" ht="29" x14ac:dyDescent="0.35">
      <c r="A137" s="1">
        <f t="shared" si="2"/>
        <v>136</v>
      </c>
      <c r="B137" s="1" t="s">
        <v>243</v>
      </c>
      <c r="C137" s="1" t="s">
        <v>244</v>
      </c>
    </row>
    <row r="138" spans="1:3" ht="58" x14ac:dyDescent="0.35">
      <c r="A138" s="1">
        <f t="shared" si="2"/>
        <v>137</v>
      </c>
      <c r="B138" s="1" t="s">
        <v>245</v>
      </c>
      <c r="C138" s="1" t="s">
        <v>246</v>
      </c>
    </row>
    <row r="139" spans="1:3" ht="43.5" x14ac:dyDescent="0.35">
      <c r="A139" s="1">
        <f t="shared" si="2"/>
        <v>138</v>
      </c>
      <c r="B139" s="1" t="s">
        <v>247</v>
      </c>
      <c r="C139" s="1" t="s">
        <v>137</v>
      </c>
    </row>
    <row r="140" spans="1:3" ht="29" x14ac:dyDescent="0.35">
      <c r="A140" s="1">
        <f t="shared" si="2"/>
        <v>139</v>
      </c>
      <c r="B140" s="1" t="s">
        <v>248</v>
      </c>
      <c r="C140" s="1" t="s">
        <v>249</v>
      </c>
    </row>
    <row r="141" spans="1:3" ht="58" x14ac:dyDescent="0.35">
      <c r="A141" s="1">
        <f t="shared" si="2"/>
        <v>140</v>
      </c>
      <c r="B141" s="1" t="s">
        <v>250</v>
      </c>
      <c r="C141" s="1" t="s">
        <v>251</v>
      </c>
    </row>
    <row r="142" spans="1:3" x14ac:dyDescent="0.35">
      <c r="A142" s="1">
        <f t="shared" si="2"/>
        <v>141</v>
      </c>
      <c r="B142" s="1" t="s">
        <v>252</v>
      </c>
      <c r="C142" s="1" t="s">
        <v>253</v>
      </c>
    </row>
    <row r="143" spans="1:3" ht="29" x14ac:dyDescent="0.35">
      <c r="A143" s="1">
        <f t="shared" si="2"/>
        <v>142</v>
      </c>
      <c r="B143" s="1" t="s">
        <v>254</v>
      </c>
      <c r="C143" s="1" t="s">
        <v>255</v>
      </c>
    </row>
    <row r="144" spans="1:3" ht="29" x14ac:dyDescent="0.35">
      <c r="A144" s="1">
        <f t="shared" si="2"/>
        <v>143</v>
      </c>
      <c r="B144" s="1" t="s">
        <v>256</v>
      </c>
      <c r="C144" s="1" t="s">
        <v>213</v>
      </c>
    </row>
    <row r="145" spans="1:3" ht="29" x14ac:dyDescent="0.35">
      <c r="A145" s="1">
        <f t="shared" si="2"/>
        <v>144</v>
      </c>
      <c r="B145" s="1" t="s">
        <v>257</v>
      </c>
      <c r="C145" s="1" t="s">
        <v>213</v>
      </c>
    </row>
    <row r="146" spans="1:3" ht="43.5" x14ac:dyDescent="0.35">
      <c r="A146" s="1">
        <f t="shared" si="2"/>
        <v>145</v>
      </c>
      <c r="B146" s="1" t="s">
        <v>258</v>
      </c>
      <c r="C146" s="1" t="s">
        <v>259</v>
      </c>
    </row>
    <row r="147" spans="1:3" ht="58" x14ac:dyDescent="0.35">
      <c r="A147" s="1">
        <f t="shared" si="2"/>
        <v>146</v>
      </c>
      <c r="B147" s="1" t="s">
        <v>260</v>
      </c>
      <c r="C147" s="1" t="s">
        <v>261</v>
      </c>
    </row>
    <row r="148" spans="1:3" ht="29" x14ac:dyDescent="0.35">
      <c r="A148" s="1">
        <f t="shared" si="2"/>
        <v>147</v>
      </c>
      <c r="B148" s="1" t="s">
        <v>262</v>
      </c>
      <c r="C148" s="1" t="s">
        <v>263</v>
      </c>
    </row>
    <row r="149" spans="1:3" ht="29" x14ac:dyDescent="0.35">
      <c r="A149" s="1">
        <f t="shared" si="2"/>
        <v>148</v>
      </c>
      <c r="B149" s="1" t="s">
        <v>264</v>
      </c>
      <c r="C149" s="1" t="s">
        <v>265</v>
      </c>
    </row>
    <row r="150" spans="1:3" ht="29" x14ac:dyDescent="0.35">
      <c r="A150" s="1">
        <f t="shared" si="2"/>
        <v>149</v>
      </c>
      <c r="B150" s="1" t="s">
        <v>266</v>
      </c>
      <c r="C150" s="1" t="s">
        <v>267</v>
      </c>
    </row>
    <row r="151" spans="1:3" ht="58" x14ac:dyDescent="0.35">
      <c r="A151" s="1">
        <f t="shared" si="2"/>
        <v>150</v>
      </c>
      <c r="B151" s="1" t="s">
        <v>268</v>
      </c>
      <c r="C151" s="1" t="s">
        <v>269</v>
      </c>
    </row>
    <row r="152" spans="1:3" ht="43.5" x14ac:dyDescent="0.35">
      <c r="A152" s="1">
        <f t="shared" si="2"/>
        <v>151</v>
      </c>
      <c r="B152" s="1" t="s">
        <v>270</v>
      </c>
      <c r="C152" s="1" t="s">
        <v>249</v>
      </c>
    </row>
    <row r="153" spans="1:3" ht="29" x14ac:dyDescent="0.35">
      <c r="A153" s="1">
        <f t="shared" si="2"/>
        <v>152</v>
      </c>
      <c r="B153" s="1" t="s">
        <v>271</v>
      </c>
      <c r="C153" s="1" t="s">
        <v>272</v>
      </c>
    </row>
    <row r="154" spans="1:3" ht="58" x14ac:dyDescent="0.35">
      <c r="A154" s="1">
        <f t="shared" si="2"/>
        <v>153</v>
      </c>
      <c r="B154" s="1" t="s">
        <v>273</v>
      </c>
      <c r="C154" s="1" t="s">
        <v>274</v>
      </c>
    </row>
    <row r="155" spans="1:3" ht="29" x14ac:dyDescent="0.35">
      <c r="A155" s="1">
        <f t="shared" si="2"/>
        <v>154</v>
      </c>
      <c r="B155" s="1" t="s">
        <v>275</v>
      </c>
      <c r="C155" s="1" t="s">
        <v>276</v>
      </c>
    </row>
    <row r="156" spans="1:3" ht="29" x14ac:dyDescent="0.35">
      <c r="A156" s="1">
        <f t="shared" si="2"/>
        <v>155</v>
      </c>
      <c r="B156" s="1" t="s">
        <v>277</v>
      </c>
      <c r="C156" s="1" t="s">
        <v>143</v>
      </c>
    </row>
    <row r="157" spans="1:3" ht="58" x14ac:dyDescent="0.35">
      <c r="A157" s="1">
        <f t="shared" si="2"/>
        <v>156</v>
      </c>
      <c r="B157" s="1" t="s">
        <v>278</v>
      </c>
      <c r="C157" s="1" t="s">
        <v>174</v>
      </c>
    </row>
    <row r="158" spans="1:3" ht="29" x14ac:dyDescent="0.35">
      <c r="A158" s="1">
        <f t="shared" si="2"/>
        <v>157</v>
      </c>
      <c r="B158" s="1" t="s">
        <v>279</v>
      </c>
      <c r="C158" s="1" t="s">
        <v>280</v>
      </c>
    </row>
    <row r="159" spans="1:3" x14ac:dyDescent="0.35">
      <c r="A159" s="1">
        <f t="shared" si="2"/>
        <v>158</v>
      </c>
      <c r="B159" s="1" t="s">
        <v>281</v>
      </c>
      <c r="C159" s="1" t="s">
        <v>282</v>
      </c>
    </row>
    <row r="160" spans="1:3" ht="29" x14ac:dyDescent="0.35">
      <c r="A160" s="1">
        <f t="shared" si="2"/>
        <v>159</v>
      </c>
      <c r="B160" s="1" t="s">
        <v>283</v>
      </c>
      <c r="C160" s="1" t="s">
        <v>143</v>
      </c>
    </row>
    <row r="161" spans="1:3" ht="72.5" x14ac:dyDescent="0.35">
      <c r="A161" s="1">
        <f t="shared" si="2"/>
        <v>160</v>
      </c>
      <c r="B161" s="1" t="s">
        <v>284</v>
      </c>
      <c r="C161" s="1" t="s">
        <v>285</v>
      </c>
    </row>
    <row r="162" spans="1:3" ht="58" x14ac:dyDescent="0.35">
      <c r="A162" s="1">
        <f t="shared" si="2"/>
        <v>161</v>
      </c>
      <c r="B162" s="1" t="s">
        <v>286</v>
      </c>
      <c r="C162" s="1" t="s">
        <v>223</v>
      </c>
    </row>
    <row r="163" spans="1:3" ht="72.5" x14ac:dyDescent="0.35">
      <c r="A163" s="1">
        <f t="shared" si="2"/>
        <v>162</v>
      </c>
      <c r="B163" s="1" t="s">
        <v>287</v>
      </c>
      <c r="C163" s="1" t="s">
        <v>217</v>
      </c>
    </row>
    <row r="164" spans="1:3" ht="29" x14ac:dyDescent="0.35">
      <c r="A164" s="1">
        <f t="shared" si="2"/>
        <v>163</v>
      </c>
      <c r="B164" s="1" t="s">
        <v>288</v>
      </c>
      <c r="C164" s="1" t="s">
        <v>289</v>
      </c>
    </row>
    <row r="165" spans="1:3" ht="29" x14ac:dyDescent="0.35">
      <c r="A165" s="1">
        <f t="shared" si="2"/>
        <v>164</v>
      </c>
      <c r="B165" s="1" t="s">
        <v>290</v>
      </c>
      <c r="C165" s="1" t="s">
        <v>291</v>
      </c>
    </row>
    <row r="166" spans="1:3" ht="29" x14ac:dyDescent="0.35">
      <c r="A166" s="1">
        <f t="shared" si="2"/>
        <v>165</v>
      </c>
      <c r="B166" s="1" t="s">
        <v>292</v>
      </c>
      <c r="C166" s="1" t="s">
        <v>276</v>
      </c>
    </row>
    <row r="167" spans="1:3" ht="58" x14ac:dyDescent="0.35">
      <c r="A167" s="1">
        <f t="shared" si="2"/>
        <v>166</v>
      </c>
      <c r="B167" s="1" t="s">
        <v>293</v>
      </c>
      <c r="C167" s="1" t="s">
        <v>294</v>
      </c>
    </row>
    <row r="168" spans="1:3" ht="29" x14ac:dyDescent="0.35">
      <c r="A168" s="1">
        <f t="shared" si="2"/>
        <v>167</v>
      </c>
      <c r="B168" s="1" t="s">
        <v>295</v>
      </c>
      <c r="C168" s="1" t="s">
        <v>296</v>
      </c>
    </row>
    <row r="169" spans="1:3" ht="29" x14ac:dyDescent="0.35">
      <c r="A169" s="1">
        <f t="shared" si="2"/>
        <v>168</v>
      </c>
      <c r="B169" s="1" t="s">
        <v>297</v>
      </c>
      <c r="C169" s="1" t="s">
        <v>280</v>
      </c>
    </row>
    <row r="170" spans="1:3" ht="29" x14ac:dyDescent="0.35">
      <c r="A170" s="1">
        <f t="shared" si="2"/>
        <v>169</v>
      </c>
      <c r="B170" s="1" t="s">
        <v>298</v>
      </c>
      <c r="C170" s="1" t="s">
        <v>76</v>
      </c>
    </row>
    <row r="171" spans="1:3" ht="29" x14ac:dyDescent="0.35">
      <c r="A171" s="1">
        <f t="shared" si="2"/>
        <v>170</v>
      </c>
      <c r="B171" s="1" t="s">
        <v>299</v>
      </c>
      <c r="C171" s="1" t="s">
        <v>213</v>
      </c>
    </row>
    <row r="172" spans="1:3" ht="29" x14ac:dyDescent="0.35">
      <c r="A172" s="1">
        <f t="shared" si="2"/>
        <v>171</v>
      </c>
      <c r="B172" s="1" t="s">
        <v>300</v>
      </c>
      <c r="C172" s="1" t="s">
        <v>213</v>
      </c>
    </row>
    <row r="173" spans="1:3" ht="29" x14ac:dyDescent="0.35">
      <c r="A173" s="1">
        <f t="shared" si="2"/>
        <v>172</v>
      </c>
      <c r="B173" s="1" t="s">
        <v>301</v>
      </c>
      <c r="C173" s="1" t="s">
        <v>280</v>
      </c>
    </row>
    <row r="174" spans="1:3" ht="29" x14ac:dyDescent="0.35">
      <c r="A174" s="1">
        <f t="shared" si="2"/>
        <v>173</v>
      </c>
      <c r="B174" s="1" t="s">
        <v>302</v>
      </c>
      <c r="C174" s="1" t="s">
        <v>253</v>
      </c>
    </row>
    <row r="175" spans="1:3" ht="29" x14ac:dyDescent="0.35">
      <c r="A175" s="1">
        <f t="shared" si="2"/>
        <v>174</v>
      </c>
      <c r="B175" s="1" t="s">
        <v>303</v>
      </c>
      <c r="C175" s="1" t="s">
        <v>304</v>
      </c>
    </row>
    <row r="176" spans="1:3" ht="29" x14ac:dyDescent="0.35">
      <c r="A176" s="1">
        <f t="shared" si="2"/>
        <v>175</v>
      </c>
      <c r="B176" s="1" t="s">
        <v>305</v>
      </c>
      <c r="C176" s="1" t="s">
        <v>304</v>
      </c>
    </row>
    <row r="177" spans="1:3" ht="29" x14ac:dyDescent="0.35">
      <c r="A177" s="1">
        <f t="shared" si="2"/>
        <v>176</v>
      </c>
      <c r="B177" s="1" t="s">
        <v>306</v>
      </c>
      <c r="C177" s="1" t="s">
        <v>143</v>
      </c>
    </row>
    <row r="178" spans="1:3" x14ac:dyDescent="0.35">
      <c r="A178" s="1">
        <f t="shared" si="2"/>
        <v>177</v>
      </c>
      <c r="B178" s="1" t="s">
        <v>307</v>
      </c>
      <c r="C178" s="1" t="s">
        <v>308</v>
      </c>
    </row>
    <row r="179" spans="1:3" ht="29" x14ac:dyDescent="0.35">
      <c r="A179" s="1">
        <f t="shared" si="2"/>
        <v>178</v>
      </c>
      <c r="B179" s="1" t="s">
        <v>309</v>
      </c>
      <c r="C179" s="1" t="s">
        <v>310</v>
      </c>
    </row>
    <row r="180" spans="1:3" ht="130.5" x14ac:dyDescent="0.35">
      <c r="A180" s="1">
        <f t="shared" si="2"/>
        <v>179</v>
      </c>
      <c r="B180" s="1" t="s">
        <v>311</v>
      </c>
      <c r="C180" s="1" t="s">
        <v>312</v>
      </c>
    </row>
    <row r="181" spans="1:3" ht="174" x14ac:dyDescent="0.35">
      <c r="A181" s="1">
        <f t="shared" si="2"/>
        <v>180</v>
      </c>
      <c r="B181" s="1" t="s">
        <v>313</v>
      </c>
      <c r="C181" s="1" t="s">
        <v>314</v>
      </c>
    </row>
    <row r="182" spans="1:3" ht="29" x14ac:dyDescent="0.35">
      <c r="A182" s="1">
        <f t="shared" si="2"/>
        <v>181</v>
      </c>
      <c r="B182" s="1" t="s">
        <v>315</v>
      </c>
      <c r="C182" s="1" t="s">
        <v>316</v>
      </c>
    </row>
    <row r="183" spans="1:3" ht="29" x14ac:dyDescent="0.35">
      <c r="A183" s="1">
        <f t="shared" si="2"/>
        <v>182</v>
      </c>
      <c r="B183" s="1" t="s">
        <v>317</v>
      </c>
      <c r="C183" s="1" t="s">
        <v>316</v>
      </c>
    </row>
    <row r="184" spans="1:3" ht="43.5" x14ac:dyDescent="0.35">
      <c r="A184" s="1">
        <f t="shared" si="2"/>
        <v>183</v>
      </c>
      <c r="B184" s="1" t="s">
        <v>318</v>
      </c>
      <c r="C184" s="1" t="s">
        <v>76</v>
      </c>
    </row>
    <row r="185" spans="1:3" ht="29" x14ac:dyDescent="0.35">
      <c r="A185" s="1">
        <f t="shared" si="2"/>
        <v>184</v>
      </c>
      <c r="B185" s="1" t="s">
        <v>323</v>
      </c>
      <c r="C185" s="1" t="s">
        <v>324</v>
      </c>
    </row>
    <row r="186" spans="1:3" ht="58" x14ac:dyDescent="0.35">
      <c r="A186" s="1">
        <f t="shared" si="2"/>
        <v>185</v>
      </c>
      <c r="B186" s="1" t="s">
        <v>325</v>
      </c>
      <c r="C186" s="1" t="s">
        <v>326</v>
      </c>
    </row>
    <row r="187" spans="1:3" ht="72.5" x14ac:dyDescent="0.35">
      <c r="A187" s="1">
        <f t="shared" si="2"/>
        <v>186</v>
      </c>
      <c r="B187" s="1" t="s">
        <v>327</v>
      </c>
      <c r="C187" s="1" t="s">
        <v>242</v>
      </c>
    </row>
    <row r="188" spans="1:3" ht="29" x14ac:dyDescent="0.35">
      <c r="A188" s="1">
        <f t="shared" si="2"/>
        <v>187</v>
      </c>
      <c r="B188" s="1" t="s">
        <v>328</v>
      </c>
      <c r="C188" s="1" t="s">
        <v>213</v>
      </c>
    </row>
    <row r="189" spans="1:3" ht="87" x14ac:dyDescent="0.35">
      <c r="A189" s="1">
        <f t="shared" si="2"/>
        <v>188</v>
      </c>
      <c r="B189" s="1" t="s">
        <v>329</v>
      </c>
      <c r="C189" s="1" t="s">
        <v>330</v>
      </c>
    </row>
    <row r="190" spans="1:3" ht="58" x14ac:dyDescent="0.35">
      <c r="A190" s="1">
        <f t="shared" si="2"/>
        <v>189</v>
      </c>
      <c r="B190" s="1" t="s">
        <v>331</v>
      </c>
      <c r="C190" s="1" t="s">
        <v>332</v>
      </c>
    </row>
    <row r="191" spans="1:3" ht="101.5" x14ac:dyDescent="0.35">
      <c r="A191" s="1">
        <f t="shared" si="2"/>
        <v>190</v>
      </c>
      <c r="B191" s="1" t="s">
        <v>333</v>
      </c>
      <c r="C191" s="1" t="s">
        <v>330</v>
      </c>
    </row>
    <row r="192" spans="1:3" ht="43.5" x14ac:dyDescent="0.35">
      <c r="A192" s="1">
        <f t="shared" si="2"/>
        <v>191</v>
      </c>
      <c r="B192" s="1" t="s">
        <v>334</v>
      </c>
      <c r="C192" s="1" t="s">
        <v>335</v>
      </c>
    </row>
    <row r="193" spans="1:3" ht="29" x14ac:dyDescent="0.35">
      <c r="A193" s="1">
        <f t="shared" si="2"/>
        <v>192</v>
      </c>
      <c r="B193" s="1" t="s">
        <v>336</v>
      </c>
      <c r="C193" s="1" t="s">
        <v>337</v>
      </c>
    </row>
    <row r="194" spans="1:3" ht="29" x14ac:dyDescent="0.35">
      <c r="A194" s="1">
        <f t="shared" si="2"/>
        <v>193</v>
      </c>
      <c r="B194" s="1" t="s">
        <v>338</v>
      </c>
      <c r="C194" s="1" t="s">
        <v>339</v>
      </c>
    </row>
    <row r="195" spans="1:3" ht="58" x14ac:dyDescent="0.35">
      <c r="A195" s="1">
        <f t="shared" si="2"/>
        <v>194</v>
      </c>
      <c r="B195" s="1" t="s">
        <v>340</v>
      </c>
      <c r="C195" s="1" t="s">
        <v>341</v>
      </c>
    </row>
    <row r="196" spans="1:3" ht="43.5" x14ac:dyDescent="0.35">
      <c r="A196" s="1">
        <f t="shared" ref="A196:A259" si="3">SUM(A195+1)</f>
        <v>195</v>
      </c>
      <c r="B196" s="1" t="s">
        <v>342</v>
      </c>
      <c r="C196" s="1" t="s">
        <v>343</v>
      </c>
    </row>
    <row r="197" spans="1:3" ht="58" x14ac:dyDescent="0.35">
      <c r="A197" s="1">
        <f t="shared" si="3"/>
        <v>196</v>
      </c>
      <c r="B197" s="1" t="s">
        <v>344</v>
      </c>
      <c r="C197" s="1" t="s">
        <v>345</v>
      </c>
    </row>
    <row r="198" spans="1:3" ht="43.5" x14ac:dyDescent="0.35">
      <c r="A198" s="1">
        <f t="shared" si="3"/>
        <v>197</v>
      </c>
      <c r="B198" s="1" t="s">
        <v>346</v>
      </c>
      <c r="C198" s="1" t="s">
        <v>347</v>
      </c>
    </row>
    <row r="199" spans="1:3" ht="29" x14ac:dyDescent="0.35">
      <c r="A199" s="1">
        <f t="shared" si="3"/>
        <v>198</v>
      </c>
      <c r="B199" s="1" t="s">
        <v>348</v>
      </c>
      <c r="C199" s="1" t="s">
        <v>349</v>
      </c>
    </row>
    <row r="200" spans="1:3" ht="58" x14ac:dyDescent="0.35">
      <c r="A200" s="1">
        <f t="shared" si="3"/>
        <v>199</v>
      </c>
      <c r="B200" s="1" t="s">
        <v>350</v>
      </c>
      <c r="C200" s="1" t="s">
        <v>76</v>
      </c>
    </row>
    <row r="201" spans="1:3" ht="29" x14ac:dyDescent="0.35">
      <c r="A201" s="1">
        <f t="shared" si="3"/>
        <v>200</v>
      </c>
      <c r="B201" s="1" t="s">
        <v>351</v>
      </c>
      <c r="C201" s="1" t="s">
        <v>352</v>
      </c>
    </row>
    <row r="202" spans="1:3" ht="43.5" x14ac:dyDescent="0.35">
      <c r="A202" s="1">
        <f t="shared" si="3"/>
        <v>201</v>
      </c>
      <c r="B202" s="1" t="s">
        <v>353</v>
      </c>
      <c r="C202" s="1" t="s">
        <v>354</v>
      </c>
    </row>
    <row r="203" spans="1:3" ht="58" x14ac:dyDescent="0.35">
      <c r="A203" s="1">
        <f t="shared" si="3"/>
        <v>202</v>
      </c>
      <c r="B203" s="1" t="s">
        <v>355</v>
      </c>
      <c r="C203" s="1" t="s">
        <v>76</v>
      </c>
    </row>
    <row r="204" spans="1:3" ht="58" x14ac:dyDescent="0.35">
      <c r="A204" s="1">
        <f t="shared" si="3"/>
        <v>203</v>
      </c>
      <c r="B204" s="1" t="s">
        <v>356</v>
      </c>
      <c r="C204" s="1" t="s">
        <v>242</v>
      </c>
    </row>
    <row r="205" spans="1:3" ht="29" x14ac:dyDescent="0.35">
      <c r="A205" s="1">
        <f t="shared" si="3"/>
        <v>204</v>
      </c>
      <c r="B205" s="1" t="s">
        <v>357</v>
      </c>
      <c r="C205" s="1" t="s">
        <v>242</v>
      </c>
    </row>
    <row r="206" spans="1:3" ht="43.5" x14ac:dyDescent="0.35">
      <c r="A206" s="1">
        <f t="shared" si="3"/>
        <v>205</v>
      </c>
      <c r="B206" s="1" t="s">
        <v>358</v>
      </c>
      <c r="C206" s="1" t="s">
        <v>242</v>
      </c>
    </row>
    <row r="207" spans="1:3" ht="29" x14ac:dyDescent="0.35">
      <c r="A207" s="1">
        <f t="shared" si="3"/>
        <v>206</v>
      </c>
      <c r="B207" s="1" t="s">
        <v>359</v>
      </c>
      <c r="C207" s="1" t="s">
        <v>213</v>
      </c>
    </row>
    <row r="208" spans="1:3" ht="29" x14ac:dyDescent="0.35">
      <c r="A208" s="1">
        <f t="shared" si="3"/>
        <v>207</v>
      </c>
      <c r="B208" s="1" t="s">
        <v>360</v>
      </c>
      <c r="C208" s="1" t="s">
        <v>280</v>
      </c>
    </row>
    <row r="209" spans="1:3" ht="29" x14ac:dyDescent="0.35">
      <c r="A209" s="1">
        <f t="shared" si="3"/>
        <v>208</v>
      </c>
      <c r="B209" s="1" t="s">
        <v>361</v>
      </c>
      <c r="C209" s="1" t="s">
        <v>304</v>
      </c>
    </row>
    <row r="210" spans="1:3" ht="29" x14ac:dyDescent="0.35">
      <c r="A210" s="1">
        <f t="shared" si="3"/>
        <v>209</v>
      </c>
      <c r="B210" s="1" t="s">
        <v>362</v>
      </c>
      <c r="C210" s="1" t="s">
        <v>253</v>
      </c>
    </row>
    <row r="211" spans="1:3" ht="43.5" x14ac:dyDescent="0.35">
      <c r="A211" s="1">
        <f t="shared" si="3"/>
        <v>210</v>
      </c>
      <c r="B211" s="1" t="s">
        <v>363</v>
      </c>
      <c r="C211" s="1" t="s">
        <v>274</v>
      </c>
    </row>
    <row r="212" spans="1:3" ht="29" x14ac:dyDescent="0.35">
      <c r="A212" s="1">
        <f t="shared" si="3"/>
        <v>211</v>
      </c>
      <c r="B212" s="1" t="s">
        <v>364</v>
      </c>
      <c r="C212" s="1" t="s">
        <v>365</v>
      </c>
    </row>
    <row r="213" spans="1:3" ht="58" x14ac:dyDescent="0.35">
      <c r="A213" s="1">
        <f t="shared" si="3"/>
        <v>212</v>
      </c>
      <c r="B213" s="1" t="s">
        <v>366</v>
      </c>
      <c r="C213" s="1" t="s">
        <v>367</v>
      </c>
    </row>
    <row r="214" spans="1:3" ht="29" x14ac:dyDescent="0.35">
      <c r="A214" s="1">
        <f t="shared" si="3"/>
        <v>213</v>
      </c>
      <c r="B214" s="1" t="s">
        <v>368</v>
      </c>
      <c r="C214" s="1" t="s">
        <v>369</v>
      </c>
    </row>
    <row r="215" spans="1:3" ht="29" x14ac:dyDescent="0.35">
      <c r="A215" s="1">
        <f t="shared" si="3"/>
        <v>214</v>
      </c>
      <c r="B215" s="1" t="s">
        <v>370</v>
      </c>
      <c r="C215" s="1" t="s">
        <v>371</v>
      </c>
    </row>
    <row r="216" spans="1:3" ht="58" x14ac:dyDescent="0.35">
      <c r="A216" s="1">
        <f t="shared" si="3"/>
        <v>215</v>
      </c>
      <c r="B216" s="1" t="s">
        <v>372</v>
      </c>
      <c r="C216" s="1" t="s">
        <v>373</v>
      </c>
    </row>
    <row r="217" spans="1:3" ht="43.5" x14ac:dyDescent="0.35">
      <c r="A217" s="1">
        <f t="shared" si="3"/>
        <v>216</v>
      </c>
      <c r="B217" s="1" t="s">
        <v>374</v>
      </c>
      <c r="C217" s="1" t="s">
        <v>375</v>
      </c>
    </row>
    <row r="218" spans="1:3" ht="29" x14ac:dyDescent="0.35">
      <c r="A218" s="1">
        <f t="shared" si="3"/>
        <v>217</v>
      </c>
      <c r="B218" s="1" t="s">
        <v>376</v>
      </c>
      <c r="C218" s="1" t="s">
        <v>377</v>
      </c>
    </row>
    <row r="219" spans="1:3" ht="29" x14ac:dyDescent="0.35">
      <c r="A219" s="1">
        <f t="shared" si="3"/>
        <v>218</v>
      </c>
      <c r="B219" s="1" t="s">
        <v>378</v>
      </c>
      <c r="C219" s="1" t="s">
        <v>379</v>
      </c>
    </row>
    <row r="220" spans="1:3" ht="58" x14ac:dyDescent="0.35">
      <c r="A220" s="1">
        <f t="shared" si="3"/>
        <v>219</v>
      </c>
      <c r="B220" s="1" t="s">
        <v>380</v>
      </c>
      <c r="C220" s="1" t="s">
        <v>76</v>
      </c>
    </row>
    <row r="221" spans="1:3" ht="29" x14ac:dyDescent="0.35">
      <c r="A221" s="1">
        <f t="shared" si="3"/>
        <v>220</v>
      </c>
      <c r="B221" s="1" t="s">
        <v>381</v>
      </c>
      <c r="C221" s="1" t="s">
        <v>382</v>
      </c>
    </row>
    <row r="222" spans="1:3" ht="43.5" x14ac:dyDescent="0.35">
      <c r="A222" s="1">
        <f t="shared" si="3"/>
        <v>221</v>
      </c>
      <c r="B222" s="1" t="s">
        <v>383</v>
      </c>
      <c r="C222" s="1" t="s">
        <v>326</v>
      </c>
    </row>
    <row r="223" spans="1:3" ht="29" x14ac:dyDescent="0.35">
      <c r="A223" s="1">
        <f t="shared" si="3"/>
        <v>222</v>
      </c>
      <c r="B223" s="1" t="s">
        <v>384</v>
      </c>
      <c r="C223" s="1" t="s">
        <v>4</v>
      </c>
    </row>
    <row r="224" spans="1:3" ht="29" x14ac:dyDescent="0.35">
      <c r="A224" s="1">
        <f t="shared" si="3"/>
        <v>223</v>
      </c>
      <c r="B224" s="1" t="s">
        <v>385</v>
      </c>
      <c r="C224" s="1" t="s">
        <v>4</v>
      </c>
    </row>
    <row r="225" spans="1:3" ht="29" x14ac:dyDescent="0.35">
      <c r="A225" s="1">
        <f t="shared" si="3"/>
        <v>224</v>
      </c>
      <c r="B225" s="1" t="s">
        <v>386</v>
      </c>
      <c r="C225" s="1" t="s">
        <v>4</v>
      </c>
    </row>
    <row r="226" spans="1:3" ht="29" x14ac:dyDescent="0.35">
      <c r="A226" s="1">
        <f t="shared" si="3"/>
        <v>225</v>
      </c>
      <c r="B226" s="1" t="s">
        <v>387</v>
      </c>
      <c r="C226" s="1" t="s">
        <v>4</v>
      </c>
    </row>
    <row r="227" spans="1:3" ht="58" x14ac:dyDescent="0.35">
      <c r="A227" s="1">
        <f t="shared" si="3"/>
        <v>226</v>
      </c>
      <c r="B227" s="1" t="s">
        <v>388</v>
      </c>
      <c r="C227" s="1" t="s">
        <v>242</v>
      </c>
    </row>
    <row r="228" spans="1:3" ht="29" x14ac:dyDescent="0.35">
      <c r="A228" s="1">
        <f t="shared" si="3"/>
        <v>227</v>
      </c>
      <c r="B228" s="1" t="s">
        <v>389</v>
      </c>
      <c r="C228" s="1" t="s">
        <v>280</v>
      </c>
    </row>
    <row r="229" spans="1:3" ht="29" x14ac:dyDescent="0.35">
      <c r="A229" s="1">
        <f t="shared" si="3"/>
        <v>228</v>
      </c>
      <c r="B229" s="1" t="s">
        <v>390</v>
      </c>
      <c r="C229" s="1" t="s">
        <v>391</v>
      </c>
    </row>
    <row r="230" spans="1:3" ht="29" x14ac:dyDescent="0.35">
      <c r="A230" s="1">
        <f t="shared" si="3"/>
        <v>229</v>
      </c>
      <c r="B230" s="1" t="s">
        <v>392</v>
      </c>
      <c r="C230" s="1" t="s">
        <v>393</v>
      </c>
    </row>
    <row r="231" spans="1:3" ht="43.5" x14ac:dyDescent="0.35">
      <c r="A231" s="1">
        <f t="shared" si="3"/>
        <v>230</v>
      </c>
      <c r="B231" s="1" t="s">
        <v>394</v>
      </c>
      <c r="C231" s="1" t="s">
        <v>263</v>
      </c>
    </row>
    <row r="232" spans="1:3" ht="43.5" x14ac:dyDescent="0.35">
      <c r="A232" s="1">
        <f t="shared" si="3"/>
        <v>231</v>
      </c>
      <c r="B232" s="1" t="s">
        <v>395</v>
      </c>
      <c r="C232" s="1" t="s">
        <v>396</v>
      </c>
    </row>
    <row r="233" spans="1:3" ht="29" x14ac:dyDescent="0.35">
      <c r="A233" s="1">
        <f t="shared" si="3"/>
        <v>232</v>
      </c>
      <c r="B233" s="1" t="s">
        <v>397</v>
      </c>
      <c r="C233" s="1" t="s">
        <v>304</v>
      </c>
    </row>
    <row r="234" spans="1:3" ht="29" x14ac:dyDescent="0.35">
      <c r="A234" s="1">
        <f t="shared" si="3"/>
        <v>233</v>
      </c>
      <c r="B234" s="1" t="s">
        <v>398</v>
      </c>
      <c r="C234" s="1" t="s">
        <v>213</v>
      </c>
    </row>
    <row r="235" spans="1:3" ht="29" x14ac:dyDescent="0.35">
      <c r="A235" s="1">
        <f t="shared" si="3"/>
        <v>234</v>
      </c>
      <c r="B235" s="1" t="s">
        <v>399</v>
      </c>
      <c r="C235" s="1" t="s">
        <v>259</v>
      </c>
    </row>
    <row r="236" spans="1:3" ht="58" x14ac:dyDescent="0.35">
      <c r="A236" s="1">
        <f t="shared" si="3"/>
        <v>235</v>
      </c>
      <c r="B236" s="1" t="s">
        <v>400</v>
      </c>
      <c r="C236" s="1" t="s">
        <v>401</v>
      </c>
    </row>
    <row r="237" spans="1:3" ht="29" x14ac:dyDescent="0.35">
      <c r="A237" s="1">
        <f t="shared" si="3"/>
        <v>236</v>
      </c>
      <c r="B237" s="1" t="s">
        <v>402</v>
      </c>
      <c r="C237" s="1" t="s">
        <v>403</v>
      </c>
    </row>
    <row r="238" spans="1:3" ht="58" x14ac:dyDescent="0.35">
      <c r="A238" s="1">
        <f t="shared" si="3"/>
        <v>237</v>
      </c>
      <c r="B238" s="1" t="s">
        <v>404</v>
      </c>
      <c r="C238" s="1" t="s">
        <v>405</v>
      </c>
    </row>
    <row r="239" spans="1:3" ht="72.5" x14ac:dyDescent="0.35">
      <c r="A239" s="1">
        <f t="shared" si="3"/>
        <v>238</v>
      </c>
      <c r="B239" s="1" t="s">
        <v>406</v>
      </c>
      <c r="C239" s="1" t="s">
        <v>407</v>
      </c>
    </row>
    <row r="240" spans="1:3" ht="29" x14ac:dyDescent="0.35">
      <c r="A240" s="1">
        <f t="shared" si="3"/>
        <v>239</v>
      </c>
      <c r="B240" s="1" t="s">
        <v>408</v>
      </c>
      <c r="C240" s="1" t="s">
        <v>409</v>
      </c>
    </row>
    <row r="241" spans="1:3" ht="29" x14ac:dyDescent="0.35">
      <c r="A241" s="1">
        <f t="shared" si="3"/>
        <v>240</v>
      </c>
      <c r="B241" s="1" t="s">
        <v>410</v>
      </c>
      <c r="C241" s="1" t="s">
        <v>411</v>
      </c>
    </row>
    <row r="242" spans="1:3" ht="43.5" x14ac:dyDescent="0.35">
      <c r="A242" s="1">
        <f t="shared" si="3"/>
        <v>241</v>
      </c>
      <c r="B242" s="1" t="s">
        <v>412</v>
      </c>
      <c r="C242" s="1" t="s">
        <v>413</v>
      </c>
    </row>
    <row r="243" spans="1:3" ht="58" x14ac:dyDescent="0.35">
      <c r="A243" s="1">
        <f t="shared" si="3"/>
        <v>242</v>
      </c>
      <c r="B243" s="1" t="s">
        <v>414</v>
      </c>
      <c r="C243" s="1" t="s">
        <v>133</v>
      </c>
    </row>
    <row r="244" spans="1:3" ht="29" x14ac:dyDescent="0.35">
      <c r="A244" s="1">
        <f t="shared" si="3"/>
        <v>243</v>
      </c>
      <c r="B244" s="1" t="s">
        <v>415</v>
      </c>
      <c r="C244" s="1" t="s">
        <v>382</v>
      </c>
    </row>
    <row r="245" spans="1:3" ht="29" x14ac:dyDescent="0.35">
      <c r="A245" s="1">
        <f t="shared" si="3"/>
        <v>244</v>
      </c>
      <c r="B245" s="1" t="s">
        <v>416</v>
      </c>
      <c r="C245" s="1" t="s">
        <v>417</v>
      </c>
    </row>
    <row r="246" spans="1:3" ht="58" x14ac:dyDescent="0.35">
      <c r="A246" s="1">
        <f t="shared" si="3"/>
        <v>245</v>
      </c>
      <c r="B246" s="1" t="s">
        <v>418</v>
      </c>
      <c r="C246" s="1" t="s">
        <v>419</v>
      </c>
    </row>
    <row r="247" spans="1:3" ht="43.5" x14ac:dyDescent="0.35">
      <c r="A247" s="1">
        <f t="shared" si="3"/>
        <v>246</v>
      </c>
      <c r="B247" s="1" t="s">
        <v>420</v>
      </c>
      <c r="C247" s="1" t="s">
        <v>421</v>
      </c>
    </row>
    <row r="248" spans="1:3" ht="29" x14ac:dyDescent="0.35">
      <c r="A248" s="1">
        <f t="shared" si="3"/>
        <v>247</v>
      </c>
      <c r="B248" s="1" t="s">
        <v>422</v>
      </c>
      <c r="C248" s="1" t="s">
        <v>379</v>
      </c>
    </row>
    <row r="249" spans="1:3" ht="29" x14ac:dyDescent="0.35">
      <c r="A249" s="1">
        <f t="shared" si="3"/>
        <v>248</v>
      </c>
      <c r="B249" s="1" t="s">
        <v>423</v>
      </c>
      <c r="C249" s="1" t="s">
        <v>411</v>
      </c>
    </row>
    <row r="250" spans="1:3" ht="29" x14ac:dyDescent="0.35">
      <c r="A250" s="1">
        <f t="shared" si="3"/>
        <v>249</v>
      </c>
      <c r="B250" s="1" t="s">
        <v>424</v>
      </c>
      <c r="C250" s="1" t="s">
        <v>133</v>
      </c>
    </row>
    <row r="251" spans="1:3" x14ac:dyDescent="0.35">
      <c r="A251" s="1">
        <f t="shared" si="3"/>
        <v>250</v>
      </c>
      <c r="B251" s="1" t="s">
        <v>425</v>
      </c>
      <c r="C251" s="1" t="s">
        <v>426</v>
      </c>
    </row>
    <row r="252" spans="1:3" ht="29" x14ac:dyDescent="0.35">
      <c r="A252" s="1">
        <f t="shared" si="3"/>
        <v>251</v>
      </c>
      <c r="B252" s="1" t="s">
        <v>427</v>
      </c>
      <c r="C252" s="1" t="s">
        <v>428</v>
      </c>
    </row>
    <row r="253" spans="1:3" ht="58" x14ac:dyDescent="0.35">
      <c r="A253" s="1">
        <f t="shared" si="3"/>
        <v>252</v>
      </c>
      <c r="B253" s="1" t="s">
        <v>429</v>
      </c>
      <c r="C253" s="1" t="s">
        <v>137</v>
      </c>
    </row>
    <row r="254" spans="1:3" x14ac:dyDescent="0.35">
      <c r="A254" s="1">
        <f t="shared" si="3"/>
        <v>253</v>
      </c>
      <c r="B254" s="1" t="s">
        <v>430</v>
      </c>
      <c r="C254" s="1" t="s">
        <v>431</v>
      </c>
    </row>
    <row r="255" spans="1:3" ht="72.5" x14ac:dyDescent="0.35">
      <c r="A255" s="1">
        <f t="shared" si="3"/>
        <v>254</v>
      </c>
      <c r="B255" s="1" t="s">
        <v>432</v>
      </c>
      <c r="C255" s="1" t="s">
        <v>433</v>
      </c>
    </row>
    <row r="256" spans="1:3" ht="116" x14ac:dyDescent="0.35">
      <c r="A256" s="1">
        <f t="shared" si="3"/>
        <v>255</v>
      </c>
      <c r="B256" s="1" t="s">
        <v>434</v>
      </c>
      <c r="C256" s="1" t="s">
        <v>435</v>
      </c>
    </row>
    <row r="257" spans="1:3" ht="29" x14ac:dyDescent="0.35">
      <c r="A257" s="1">
        <f t="shared" si="3"/>
        <v>256</v>
      </c>
      <c r="B257" s="1" t="s">
        <v>436</v>
      </c>
      <c r="C257" s="1" t="s">
        <v>437</v>
      </c>
    </row>
    <row r="258" spans="1:3" ht="58" x14ac:dyDescent="0.35">
      <c r="A258" s="1">
        <f t="shared" si="3"/>
        <v>257</v>
      </c>
      <c r="B258" s="1" t="s">
        <v>438</v>
      </c>
      <c r="C258" s="1" t="s">
        <v>91</v>
      </c>
    </row>
    <row r="259" spans="1:3" ht="58" x14ac:dyDescent="0.35">
      <c r="A259" s="1">
        <f t="shared" si="3"/>
        <v>258</v>
      </c>
      <c r="B259" s="1" t="s">
        <v>439</v>
      </c>
      <c r="C259" s="1" t="s">
        <v>440</v>
      </c>
    </row>
    <row r="260" spans="1:3" ht="87" x14ac:dyDescent="0.35">
      <c r="A260" s="1">
        <f t="shared" ref="A260:A323" si="4">SUM(A259+1)</f>
        <v>259</v>
      </c>
      <c r="B260" s="1" t="s">
        <v>441</v>
      </c>
      <c r="C260" s="1" t="s">
        <v>442</v>
      </c>
    </row>
    <row r="261" spans="1:3" ht="87" x14ac:dyDescent="0.35">
      <c r="A261" s="1">
        <f t="shared" si="4"/>
        <v>260</v>
      </c>
      <c r="B261" s="1" t="s">
        <v>443</v>
      </c>
      <c r="C261" s="1" t="s">
        <v>442</v>
      </c>
    </row>
    <row r="262" spans="1:3" ht="87" x14ac:dyDescent="0.35">
      <c r="A262" s="1">
        <f t="shared" si="4"/>
        <v>261</v>
      </c>
      <c r="B262" s="1" t="s">
        <v>444</v>
      </c>
      <c r="C262" s="1" t="s">
        <v>445</v>
      </c>
    </row>
    <row r="263" spans="1:3" ht="29" x14ac:dyDescent="0.35">
      <c r="A263" s="1">
        <f t="shared" si="4"/>
        <v>262</v>
      </c>
      <c r="B263" s="1" t="s">
        <v>446</v>
      </c>
      <c r="C263" s="1" t="s">
        <v>447</v>
      </c>
    </row>
    <row r="264" spans="1:3" ht="72.5" x14ac:dyDescent="0.35">
      <c r="A264" s="1">
        <f t="shared" si="4"/>
        <v>263</v>
      </c>
      <c r="B264" s="1" t="s">
        <v>448</v>
      </c>
      <c r="C264" s="1" t="s">
        <v>449</v>
      </c>
    </row>
    <row r="265" spans="1:3" ht="29" x14ac:dyDescent="0.35">
      <c r="A265" s="1">
        <f t="shared" si="4"/>
        <v>264</v>
      </c>
      <c r="B265" s="1" t="s">
        <v>450</v>
      </c>
      <c r="C265" s="1" t="s">
        <v>451</v>
      </c>
    </row>
    <row r="266" spans="1:3" ht="87" x14ac:dyDescent="0.35">
      <c r="A266" s="1">
        <f t="shared" si="4"/>
        <v>265</v>
      </c>
      <c r="B266" s="1" t="s">
        <v>452</v>
      </c>
      <c r="C266" s="1" t="s">
        <v>102</v>
      </c>
    </row>
    <row r="267" spans="1:3" ht="29" x14ac:dyDescent="0.35">
      <c r="A267" s="1">
        <f t="shared" si="4"/>
        <v>266</v>
      </c>
      <c r="B267" s="1" t="s">
        <v>453</v>
      </c>
      <c r="C267" s="1" t="s">
        <v>454</v>
      </c>
    </row>
    <row r="268" spans="1:3" ht="29" x14ac:dyDescent="0.35">
      <c r="A268" s="1">
        <f t="shared" si="4"/>
        <v>267</v>
      </c>
      <c r="B268" s="1" t="s">
        <v>455</v>
      </c>
      <c r="C268" s="1" t="s">
        <v>456</v>
      </c>
    </row>
    <row r="269" spans="1:3" ht="72.5" x14ac:dyDescent="0.35">
      <c r="A269" s="1">
        <f t="shared" si="4"/>
        <v>268</v>
      </c>
      <c r="B269" s="1" t="s">
        <v>457</v>
      </c>
      <c r="C269" s="1" t="s">
        <v>458</v>
      </c>
    </row>
    <row r="270" spans="1:3" ht="29" x14ac:dyDescent="0.35">
      <c r="A270" s="1">
        <f t="shared" si="4"/>
        <v>269</v>
      </c>
      <c r="B270" s="1" t="s">
        <v>459</v>
      </c>
      <c r="C270" s="1" t="s">
        <v>460</v>
      </c>
    </row>
    <row r="271" spans="1:3" ht="87" x14ac:dyDescent="0.35">
      <c r="A271" s="1">
        <f t="shared" si="4"/>
        <v>270</v>
      </c>
      <c r="B271" s="1" t="s">
        <v>461</v>
      </c>
      <c r="C271" s="1" t="s">
        <v>442</v>
      </c>
    </row>
    <row r="272" spans="1:3" ht="58" x14ac:dyDescent="0.35">
      <c r="A272" s="1">
        <f t="shared" si="4"/>
        <v>271</v>
      </c>
      <c r="B272" s="1" t="s">
        <v>462</v>
      </c>
      <c r="C272" s="1" t="s">
        <v>463</v>
      </c>
    </row>
    <row r="273" spans="1:3" ht="58" x14ac:dyDescent="0.35">
      <c r="A273" s="1">
        <f t="shared" si="4"/>
        <v>272</v>
      </c>
      <c r="B273" s="1" t="s">
        <v>464</v>
      </c>
      <c r="C273" s="1" t="s">
        <v>463</v>
      </c>
    </row>
    <row r="274" spans="1:3" ht="58" x14ac:dyDescent="0.35">
      <c r="A274" s="1">
        <f t="shared" si="4"/>
        <v>273</v>
      </c>
      <c r="B274" s="1" t="s">
        <v>465</v>
      </c>
      <c r="C274" s="1" t="s">
        <v>379</v>
      </c>
    </row>
    <row r="275" spans="1:3" ht="43.5" x14ac:dyDescent="0.35">
      <c r="A275" s="1">
        <f t="shared" si="4"/>
        <v>274</v>
      </c>
      <c r="B275" s="1" t="s">
        <v>466</v>
      </c>
      <c r="C275" s="1" t="s">
        <v>467</v>
      </c>
    </row>
    <row r="276" spans="1:3" ht="43.5" x14ac:dyDescent="0.35">
      <c r="A276" s="1">
        <f t="shared" si="4"/>
        <v>275</v>
      </c>
      <c r="B276" s="1" t="s">
        <v>468</v>
      </c>
      <c r="C276" s="1" t="s">
        <v>467</v>
      </c>
    </row>
    <row r="277" spans="1:3" ht="72.5" x14ac:dyDescent="0.35">
      <c r="A277" s="1">
        <f t="shared" si="4"/>
        <v>276</v>
      </c>
      <c r="B277" s="1" t="s">
        <v>469</v>
      </c>
      <c r="C277" s="1" t="s">
        <v>470</v>
      </c>
    </row>
    <row r="278" spans="1:3" ht="72.5" x14ac:dyDescent="0.35">
      <c r="A278" s="1">
        <f t="shared" si="4"/>
        <v>277</v>
      </c>
      <c r="B278" s="1" t="s">
        <v>471</v>
      </c>
      <c r="C278" s="1" t="s">
        <v>472</v>
      </c>
    </row>
    <row r="279" spans="1:3" ht="87" x14ac:dyDescent="0.35">
      <c r="A279" s="1">
        <f t="shared" si="4"/>
        <v>278</v>
      </c>
      <c r="B279" s="1" t="s">
        <v>473</v>
      </c>
      <c r="C279" s="1" t="s">
        <v>442</v>
      </c>
    </row>
    <row r="280" spans="1:3" ht="29" x14ac:dyDescent="0.35">
      <c r="A280" s="1">
        <f t="shared" si="4"/>
        <v>279</v>
      </c>
      <c r="B280" s="1" t="s">
        <v>474</v>
      </c>
      <c r="C280" s="1" t="s">
        <v>475</v>
      </c>
    </row>
    <row r="281" spans="1:3" ht="29" x14ac:dyDescent="0.35">
      <c r="A281" s="1">
        <f t="shared" si="4"/>
        <v>280</v>
      </c>
      <c r="B281" s="1" t="s">
        <v>476</v>
      </c>
      <c r="C281" s="1" t="s">
        <v>477</v>
      </c>
    </row>
    <row r="282" spans="1:3" ht="58" x14ac:dyDescent="0.35">
      <c r="A282" s="1">
        <f t="shared" si="4"/>
        <v>281</v>
      </c>
      <c r="B282" s="1" t="s">
        <v>478</v>
      </c>
      <c r="C282" s="1" t="s">
        <v>445</v>
      </c>
    </row>
    <row r="283" spans="1:3" ht="29" x14ac:dyDescent="0.35">
      <c r="A283" s="1">
        <f t="shared" si="4"/>
        <v>282</v>
      </c>
      <c r="B283" s="1" t="s">
        <v>479</v>
      </c>
      <c r="C283" s="1" t="s">
        <v>480</v>
      </c>
    </row>
    <row r="284" spans="1:3" ht="72.5" x14ac:dyDescent="0.35">
      <c r="A284" s="1">
        <f t="shared" si="4"/>
        <v>283</v>
      </c>
      <c r="B284" s="1" t="s">
        <v>481</v>
      </c>
      <c r="C284" s="1" t="s">
        <v>482</v>
      </c>
    </row>
    <row r="285" spans="1:3" ht="29" x14ac:dyDescent="0.35">
      <c r="A285" s="1">
        <f t="shared" si="4"/>
        <v>284</v>
      </c>
      <c r="B285" s="1" t="s">
        <v>483</v>
      </c>
      <c r="C285" s="1" t="s">
        <v>484</v>
      </c>
    </row>
    <row r="286" spans="1:3" x14ac:dyDescent="0.35">
      <c r="A286" s="1">
        <f t="shared" si="4"/>
        <v>285</v>
      </c>
      <c r="B286" s="1" t="s">
        <v>485</v>
      </c>
      <c r="C286" s="1" t="s">
        <v>486</v>
      </c>
    </row>
    <row r="287" spans="1:3" ht="29" x14ac:dyDescent="0.35">
      <c r="A287" s="1">
        <f t="shared" si="4"/>
        <v>286</v>
      </c>
      <c r="B287" s="1" t="s">
        <v>487</v>
      </c>
      <c r="C287" s="1" t="s">
        <v>488</v>
      </c>
    </row>
    <row r="288" spans="1:3" ht="72.5" x14ac:dyDescent="0.35">
      <c r="A288" s="1">
        <f t="shared" si="4"/>
        <v>287</v>
      </c>
      <c r="B288" s="1" t="s">
        <v>489</v>
      </c>
      <c r="C288" s="1" t="s">
        <v>490</v>
      </c>
    </row>
    <row r="289" spans="1:3" ht="58" x14ac:dyDescent="0.35">
      <c r="A289" s="1">
        <f t="shared" si="4"/>
        <v>288</v>
      </c>
      <c r="B289" s="1" t="s">
        <v>491</v>
      </c>
      <c r="C289" s="1" t="s">
        <v>492</v>
      </c>
    </row>
    <row r="290" spans="1:3" ht="72.5" x14ac:dyDescent="0.35">
      <c r="A290" s="1">
        <f t="shared" si="4"/>
        <v>289</v>
      </c>
      <c r="B290" s="1" t="s">
        <v>493</v>
      </c>
      <c r="C290" s="1" t="s">
        <v>494</v>
      </c>
    </row>
    <row r="291" spans="1:3" ht="29" x14ac:dyDescent="0.35">
      <c r="A291" s="1">
        <f t="shared" si="4"/>
        <v>290</v>
      </c>
      <c r="B291" s="1" t="s">
        <v>495</v>
      </c>
      <c r="C291" s="1" t="s">
        <v>496</v>
      </c>
    </row>
    <row r="292" spans="1:3" ht="29" x14ac:dyDescent="0.35">
      <c r="A292" s="1">
        <f t="shared" si="4"/>
        <v>291</v>
      </c>
      <c r="B292" s="1" t="s">
        <v>497</v>
      </c>
      <c r="C292" s="1" t="s">
        <v>498</v>
      </c>
    </row>
    <row r="293" spans="1:3" ht="87" x14ac:dyDescent="0.35">
      <c r="A293" s="1">
        <f t="shared" si="4"/>
        <v>292</v>
      </c>
      <c r="B293" s="1" t="s">
        <v>499</v>
      </c>
      <c r="C293" s="1" t="s">
        <v>442</v>
      </c>
    </row>
    <row r="294" spans="1:3" ht="29" x14ac:dyDescent="0.35">
      <c r="A294" s="1">
        <f t="shared" si="4"/>
        <v>293</v>
      </c>
      <c r="B294" s="1" t="s">
        <v>500</v>
      </c>
      <c r="C294" s="1" t="s">
        <v>501</v>
      </c>
    </row>
    <row r="295" spans="1:3" ht="29" x14ac:dyDescent="0.35">
      <c r="A295" s="1">
        <f t="shared" si="4"/>
        <v>294</v>
      </c>
      <c r="B295" s="1" t="s">
        <v>502</v>
      </c>
      <c r="C295" s="1" t="s">
        <v>503</v>
      </c>
    </row>
    <row r="296" spans="1:3" ht="58" x14ac:dyDescent="0.35">
      <c r="A296" s="1">
        <f t="shared" si="4"/>
        <v>295</v>
      </c>
      <c r="B296" s="1" t="s">
        <v>504</v>
      </c>
      <c r="C296" s="1" t="s">
        <v>76</v>
      </c>
    </row>
    <row r="297" spans="1:3" ht="43.5" x14ac:dyDescent="0.35">
      <c r="A297" s="1">
        <f t="shared" si="4"/>
        <v>296</v>
      </c>
      <c r="B297" s="1" t="s">
        <v>505</v>
      </c>
      <c r="C297" s="1" t="s">
        <v>506</v>
      </c>
    </row>
    <row r="298" spans="1:3" ht="58" x14ac:dyDescent="0.35">
      <c r="A298" s="1">
        <f t="shared" si="4"/>
        <v>297</v>
      </c>
      <c r="B298" s="1" t="s">
        <v>507</v>
      </c>
      <c r="C298" s="1" t="s">
        <v>508</v>
      </c>
    </row>
    <row r="299" spans="1:3" ht="29" x14ac:dyDescent="0.35">
      <c r="A299" s="1">
        <f t="shared" si="4"/>
        <v>298</v>
      </c>
      <c r="B299" s="1" t="s">
        <v>509</v>
      </c>
      <c r="C299" s="1" t="s">
        <v>510</v>
      </c>
    </row>
    <row r="300" spans="1:3" ht="58" x14ac:dyDescent="0.35">
      <c r="A300" s="1">
        <f t="shared" si="4"/>
        <v>299</v>
      </c>
      <c r="B300" s="1" t="s">
        <v>511</v>
      </c>
      <c r="C300" s="1" t="s">
        <v>512</v>
      </c>
    </row>
    <row r="301" spans="1:3" ht="58" x14ac:dyDescent="0.35">
      <c r="A301" s="1">
        <f t="shared" si="4"/>
        <v>300</v>
      </c>
      <c r="B301" s="1" t="s">
        <v>513</v>
      </c>
      <c r="C301" s="1" t="s">
        <v>447</v>
      </c>
    </row>
    <row r="302" spans="1:3" ht="87" x14ac:dyDescent="0.35">
      <c r="A302" s="1">
        <f t="shared" si="4"/>
        <v>301</v>
      </c>
      <c r="B302" s="1" t="s">
        <v>514</v>
      </c>
      <c r="C302" s="1" t="s">
        <v>515</v>
      </c>
    </row>
    <row r="303" spans="1:3" ht="29" x14ac:dyDescent="0.35">
      <c r="A303" s="1">
        <f t="shared" si="4"/>
        <v>302</v>
      </c>
      <c r="B303" s="1" t="s">
        <v>516</v>
      </c>
      <c r="C303" s="1" t="s">
        <v>517</v>
      </c>
    </row>
    <row r="304" spans="1:3" ht="29" x14ac:dyDescent="0.35">
      <c r="A304" s="1">
        <f t="shared" si="4"/>
        <v>303</v>
      </c>
      <c r="B304" s="1" t="s">
        <v>518</v>
      </c>
      <c r="C304" s="1" t="s">
        <v>519</v>
      </c>
    </row>
    <row r="305" spans="1:3" ht="29" x14ac:dyDescent="0.35">
      <c r="A305" s="1">
        <f t="shared" si="4"/>
        <v>304</v>
      </c>
      <c r="B305" s="1" t="s">
        <v>520</v>
      </c>
      <c r="C305" s="1" t="s">
        <v>519</v>
      </c>
    </row>
    <row r="306" spans="1:3" ht="43.5" x14ac:dyDescent="0.35">
      <c r="A306" s="1">
        <f t="shared" si="4"/>
        <v>305</v>
      </c>
      <c r="B306" s="1" t="s">
        <v>521</v>
      </c>
      <c r="C306" s="1" t="s">
        <v>522</v>
      </c>
    </row>
    <row r="307" spans="1:3" ht="58" x14ac:dyDescent="0.35">
      <c r="A307" s="1">
        <f t="shared" si="4"/>
        <v>306</v>
      </c>
      <c r="B307" s="1" t="s">
        <v>523</v>
      </c>
      <c r="C307" s="1" t="s">
        <v>447</v>
      </c>
    </row>
    <row r="308" spans="1:3" ht="29" x14ac:dyDescent="0.35">
      <c r="A308" s="1">
        <f t="shared" si="4"/>
        <v>307</v>
      </c>
      <c r="B308" s="1" t="s">
        <v>524</v>
      </c>
      <c r="C308" s="1" t="s">
        <v>525</v>
      </c>
    </row>
    <row r="309" spans="1:3" ht="58" x14ac:dyDescent="0.35">
      <c r="A309" s="1">
        <f t="shared" si="4"/>
        <v>308</v>
      </c>
      <c r="B309" s="1" t="s">
        <v>526</v>
      </c>
      <c r="C309" s="1" t="s">
        <v>447</v>
      </c>
    </row>
    <row r="310" spans="1:3" ht="29" x14ac:dyDescent="0.35">
      <c r="A310" s="1">
        <f t="shared" si="4"/>
        <v>309</v>
      </c>
      <c r="B310" s="1" t="s">
        <v>527</v>
      </c>
      <c r="C310" s="1" t="s">
        <v>528</v>
      </c>
    </row>
    <row r="311" spans="1:3" ht="58" x14ac:dyDescent="0.35">
      <c r="A311" s="1">
        <f t="shared" si="4"/>
        <v>310</v>
      </c>
      <c r="B311" s="1" t="s">
        <v>529</v>
      </c>
      <c r="C311" s="1" t="s">
        <v>442</v>
      </c>
    </row>
    <row r="312" spans="1:3" ht="72.5" x14ac:dyDescent="0.35">
      <c r="A312" s="1">
        <f t="shared" si="4"/>
        <v>311</v>
      </c>
      <c r="B312" s="1" t="s">
        <v>530</v>
      </c>
      <c r="C312" s="1" t="s">
        <v>531</v>
      </c>
    </row>
    <row r="313" spans="1:3" ht="159.5" x14ac:dyDescent="0.35">
      <c r="A313" s="1">
        <f t="shared" si="4"/>
        <v>312</v>
      </c>
      <c r="B313" s="1" t="s">
        <v>532</v>
      </c>
      <c r="C313" s="1" t="s">
        <v>533</v>
      </c>
    </row>
    <row r="314" spans="1:3" ht="58" x14ac:dyDescent="0.35">
      <c r="A314" s="1">
        <f t="shared" si="4"/>
        <v>313</v>
      </c>
      <c r="B314" s="1" t="s">
        <v>534</v>
      </c>
      <c r="C314" s="1" t="s">
        <v>535</v>
      </c>
    </row>
    <row r="315" spans="1:3" ht="43.5" x14ac:dyDescent="0.35">
      <c r="A315" s="1">
        <f t="shared" si="4"/>
        <v>314</v>
      </c>
      <c r="B315" s="1" t="s">
        <v>536</v>
      </c>
      <c r="C315" s="1" t="s">
        <v>537</v>
      </c>
    </row>
    <row r="316" spans="1:3" ht="29" x14ac:dyDescent="0.35">
      <c r="A316" s="1">
        <f t="shared" si="4"/>
        <v>315</v>
      </c>
      <c r="B316" s="1" t="s">
        <v>538</v>
      </c>
      <c r="C316" s="1" t="s">
        <v>539</v>
      </c>
    </row>
    <row r="317" spans="1:3" ht="29" x14ac:dyDescent="0.35">
      <c r="A317" s="1">
        <f t="shared" si="4"/>
        <v>316</v>
      </c>
      <c r="B317" s="1" t="s">
        <v>540</v>
      </c>
      <c r="C317" s="1" t="s">
        <v>541</v>
      </c>
    </row>
    <row r="318" spans="1:3" ht="43.5" x14ac:dyDescent="0.35">
      <c r="A318" s="1">
        <f t="shared" si="4"/>
        <v>317</v>
      </c>
      <c r="B318" s="1" t="s">
        <v>542</v>
      </c>
      <c r="C318" s="1" t="s">
        <v>543</v>
      </c>
    </row>
    <row r="319" spans="1:3" ht="29" x14ac:dyDescent="0.35">
      <c r="A319" s="1">
        <f t="shared" si="4"/>
        <v>318</v>
      </c>
      <c r="B319" s="1" t="s">
        <v>544</v>
      </c>
      <c r="C319" s="1" t="s">
        <v>545</v>
      </c>
    </row>
    <row r="320" spans="1:3" ht="29" x14ac:dyDescent="0.35">
      <c r="A320" s="1">
        <f t="shared" si="4"/>
        <v>319</v>
      </c>
      <c r="B320" s="1" t="s">
        <v>546</v>
      </c>
      <c r="C320" s="1" t="s">
        <v>547</v>
      </c>
    </row>
    <row r="321" spans="1:3" ht="29" x14ac:dyDescent="0.35">
      <c r="A321" s="1">
        <f t="shared" si="4"/>
        <v>320</v>
      </c>
      <c r="B321" s="1" t="s">
        <v>548</v>
      </c>
      <c r="C321" s="1" t="s">
        <v>549</v>
      </c>
    </row>
    <row r="322" spans="1:3" ht="101.5" x14ac:dyDescent="0.35">
      <c r="A322" s="1">
        <f t="shared" si="4"/>
        <v>321</v>
      </c>
      <c r="B322" s="1" t="s">
        <v>550</v>
      </c>
      <c r="C322" s="1" t="s">
        <v>551</v>
      </c>
    </row>
    <row r="323" spans="1:3" ht="43.5" x14ac:dyDescent="0.35">
      <c r="A323" s="1">
        <f t="shared" si="4"/>
        <v>322</v>
      </c>
      <c r="B323" s="1" t="s">
        <v>554</v>
      </c>
      <c r="C323" s="1" t="s">
        <v>555</v>
      </c>
    </row>
    <row r="324" spans="1:3" ht="29" x14ac:dyDescent="0.35">
      <c r="A324" s="1">
        <f t="shared" ref="A324:A387" si="5">SUM(A323+1)</f>
        <v>323</v>
      </c>
      <c r="B324" s="1" t="s">
        <v>556</v>
      </c>
      <c r="C324" s="1" t="s">
        <v>557</v>
      </c>
    </row>
    <row r="325" spans="1:3" ht="29" x14ac:dyDescent="0.35">
      <c r="A325" s="1">
        <f t="shared" si="5"/>
        <v>324</v>
      </c>
      <c r="B325" s="1" t="s">
        <v>558</v>
      </c>
      <c r="C325" s="1" t="s">
        <v>559</v>
      </c>
    </row>
    <row r="326" spans="1:3" ht="29" x14ac:dyDescent="0.35">
      <c r="A326" s="1">
        <f t="shared" si="5"/>
        <v>325</v>
      </c>
      <c r="B326" s="1" t="s">
        <v>560</v>
      </c>
      <c r="C326" s="1" t="s">
        <v>561</v>
      </c>
    </row>
    <row r="327" spans="1:3" ht="87" x14ac:dyDescent="0.35">
      <c r="A327" s="1">
        <f t="shared" si="5"/>
        <v>326</v>
      </c>
      <c r="B327" s="1" t="s">
        <v>562</v>
      </c>
      <c r="C327" s="1" t="s">
        <v>563</v>
      </c>
    </row>
    <row r="328" spans="1:3" ht="29" x14ac:dyDescent="0.35">
      <c r="A328" s="1">
        <f t="shared" si="5"/>
        <v>327</v>
      </c>
      <c r="B328" s="1" t="s">
        <v>564</v>
      </c>
      <c r="C328" s="1" t="s">
        <v>565</v>
      </c>
    </row>
    <row r="329" spans="1:3" ht="43.5" x14ac:dyDescent="0.35">
      <c r="A329" s="1">
        <f t="shared" si="5"/>
        <v>328</v>
      </c>
      <c r="B329" s="1" t="s">
        <v>566</v>
      </c>
      <c r="C329" s="1" t="s">
        <v>567</v>
      </c>
    </row>
    <row r="330" spans="1:3" ht="43.5" x14ac:dyDescent="0.35">
      <c r="A330" s="1">
        <f t="shared" si="5"/>
        <v>329</v>
      </c>
      <c r="B330" s="1" t="s">
        <v>568</v>
      </c>
      <c r="C330" s="1" t="s">
        <v>569</v>
      </c>
    </row>
    <row r="331" spans="1:3" ht="43.5" x14ac:dyDescent="0.35">
      <c r="A331" s="1">
        <f t="shared" si="5"/>
        <v>330</v>
      </c>
      <c r="B331" s="1" t="s">
        <v>570</v>
      </c>
      <c r="C331" s="1" t="s">
        <v>571</v>
      </c>
    </row>
    <row r="332" spans="1:3" ht="29" x14ac:dyDescent="0.35">
      <c r="A332" s="1">
        <f t="shared" si="5"/>
        <v>331</v>
      </c>
      <c r="B332" s="1" t="s">
        <v>573</v>
      </c>
      <c r="C332" s="1" t="s">
        <v>484</v>
      </c>
    </row>
    <row r="333" spans="1:3" ht="116" x14ac:dyDescent="0.35">
      <c r="A333" s="1">
        <f t="shared" si="5"/>
        <v>332</v>
      </c>
      <c r="B333" s="1" t="s">
        <v>574</v>
      </c>
      <c r="C333" s="1" t="s">
        <v>575</v>
      </c>
    </row>
    <row r="334" spans="1:3" ht="58" x14ac:dyDescent="0.35">
      <c r="A334" s="1">
        <f t="shared" si="5"/>
        <v>333</v>
      </c>
      <c r="B334" s="1" t="s">
        <v>576</v>
      </c>
      <c r="C334" s="1" t="s">
        <v>577</v>
      </c>
    </row>
    <row r="335" spans="1:3" ht="29" x14ac:dyDescent="0.35">
      <c r="A335" s="1">
        <f t="shared" si="5"/>
        <v>334</v>
      </c>
      <c r="B335" s="1" t="s">
        <v>578</v>
      </c>
      <c r="C335" s="1" t="s">
        <v>577</v>
      </c>
    </row>
    <row r="336" spans="1:3" ht="101.5" x14ac:dyDescent="0.35">
      <c r="A336" s="1">
        <f t="shared" si="5"/>
        <v>335</v>
      </c>
      <c r="B336" s="1" t="s">
        <v>579</v>
      </c>
      <c r="C336" s="1" t="s">
        <v>435</v>
      </c>
    </row>
    <row r="337" spans="1:3" ht="29" x14ac:dyDescent="0.35">
      <c r="A337" s="1">
        <f t="shared" si="5"/>
        <v>336</v>
      </c>
      <c r="B337" s="1" t="s">
        <v>580</v>
      </c>
      <c r="C337" s="1" t="s">
        <v>76</v>
      </c>
    </row>
    <row r="338" spans="1:3" ht="29" x14ac:dyDescent="0.35">
      <c r="A338" s="1">
        <f t="shared" si="5"/>
        <v>337</v>
      </c>
      <c r="B338" s="1" t="s">
        <v>581</v>
      </c>
      <c r="C338" s="1" t="s">
        <v>582</v>
      </c>
    </row>
    <row r="339" spans="1:3" ht="43.5" x14ac:dyDescent="0.35">
      <c r="A339" s="1">
        <f t="shared" si="5"/>
        <v>338</v>
      </c>
      <c r="B339" s="1" t="s">
        <v>583</v>
      </c>
      <c r="C339" s="1" t="s">
        <v>584</v>
      </c>
    </row>
    <row r="340" spans="1:3" ht="174" x14ac:dyDescent="0.35">
      <c r="A340" s="1">
        <f t="shared" si="5"/>
        <v>339</v>
      </c>
      <c r="B340" s="1" t="s">
        <v>585</v>
      </c>
      <c r="C340" s="1" t="s">
        <v>586</v>
      </c>
    </row>
    <row r="341" spans="1:3" ht="72.5" x14ac:dyDescent="0.35">
      <c r="A341" s="1">
        <f t="shared" si="5"/>
        <v>340</v>
      </c>
      <c r="B341" s="1" t="s">
        <v>587</v>
      </c>
      <c r="C341" s="1" t="s">
        <v>588</v>
      </c>
    </row>
    <row r="342" spans="1:3" ht="29" x14ac:dyDescent="0.35">
      <c r="A342" s="1">
        <f t="shared" si="5"/>
        <v>341</v>
      </c>
      <c r="B342" s="1" t="s">
        <v>589</v>
      </c>
      <c r="C342" s="1" t="s">
        <v>590</v>
      </c>
    </row>
    <row r="343" spans="1:3" ht="43.5" x14ac:dyDescent="0.35">
      <c r="A343" s="1">
        <f t="shared" si="5"/>
        <v>342</v>
      </c>
      <c r="B343" s="1" t="s">
        <v>591</v>
      </c>
      <c r="C343" s="1" t="s">
        <v>592</v>
      </c>
    </row>
    <row r="344" spans="1:3" ht="58" x14ac:dyDescent="0.35">
      <c r="A344" s="1">
        <f t="shared" si="5"/>
        <v>343</v>
      </c>
      <c r="B344" s="1" t="s">
        <v>593</v>
      </c>
      <c r="C344" s="1" t="s">
        <v>594</v>
      </c>
    </row>
    <row r="345" spans="1:3" ht="58" x14ac:dyDescent="0.35">
      <c r="A345" s="1">
        <f t="shared" si="5"/>
        <v>344</v>
      </c>
      <c r="B345" s="1" t="s">
        <v>595</v>
      </c>
      <c r="C345" s="1" t="s">
        <v>596</v>
      </c>
    </row>
    <row r="346" spans="1:3" ht="29" x14ac:dyDescent="0.35">
      <c r="A346" s="1">
        <f t="shared" si="5"/>
        <v>345</v>
      </c>
      <c r="B346" s="1" t="s">
        <v>597</v>
      </c>
      <c r="C346" s="1" t="s">
        <v>598</v>
      </c>
    </row>
    <row r="347" spans="1:3" ht="29" x14ac:dyDescent="0.35">
      <c r="A347" s="1">
        <f t="shared" si="5"/>
        <v>346</v>
      </c>
      <c r="B347" s="1" t="s">
        <v>599</v>
      </c>
      <c r="C347" s="1" t="s">
        <v>600</v>
      </c>
    </row>
    <row r="348" spans="1:3" ht="29" x14ac:dyDescent="0.35">
      <c r="A348" s="1">
        <f t="shared" si="5"/>
        <v>347</v>
      </c>
      <c r="B348" s="1" t="s">
        <v>601</v>
      </c>
      <c r="C348" s="1" t="s">
        <v>602</v>
      </c>
    </row>
    <row r="349" spans="1:3" ht="43.5" x14ac:dyDescent="0.35">
      <c r="A349" s="1">
        <f t="shared" si="5"/>
        <v>348</v>
      </c>
      <c r="B349" s="1" t="s">
        <v>603</v>
      </c>
      <c r="C349" s="1" t="s">
        <v>604</v>
      </c>
    </row>
    <row r="350" spans="1:3" ht="29" x14ac:dyDescent="0.35">
      <c r="A350" s="1">
        <f t="shared" si="5"/>
        <v>349</v>
      </c>
      <c r="B350" s="1" t="s">
        <v>605</v>
      </c>
      <c r="C350" s="1" t="s">
        <v>606</v>
      </c>
    </row>
    <row r="351" spans="1:3" ht="29" x14ac:dyDescent="0.35">
      <c r="A351" s="1">
        <f t="shared" si="5"/>
        <v>350</v>
      </c>
      <c r="B351" s="1" t="s">
        <v>607</v>
      </c>
      <c r="C351" s="1" t="s">
        <v>608</v>
      </c>
    </row>
    <row r="352" spans="1:3" ht="29" x14ac:dyDescent="0.35">
      <c r="A352" s="1">
        <f t="shared" si="5"/>
        <v>351</v>
      </c>
      <c r="B352" s="1" t="s">
        <v>609</v>
      </c>
      <c r="C352" s="1" t="s">
        <v>610</v>
      </c>
    </row>
    <row r="353" spans="1:3" ht="29" x14ac:dyDescent="0.35">
      <c r="A353" s="1">
        <f t="shared" si="5"/>
        <v>352</v>
      </c>
      <c r="B353" s="1" t="s">
        <v>611</v>
      </c>
      <c r="C353" s="1" t="s">
        <v>612</v>
      </c>
    </row>
    <row r="354" spans="1:3" ht="29" x14ac:dyDescent="0.35">
      <c r="A354" s="1">
        <f t="shared" si="5"/>
        <v>353</v>
      </c>
      <c r="B354" s="1" t="s">
        <v>613</v>
      </c>
      <c r="C354" s="1" t="s">
        <v>614</v>
      </c>
    </row>
    <row r="355" spans="1:3" ht="29" x14ac:dyDescent="0.35">
      <c r="A355" s="1">
        <f t="shared" si="5"/>
        <v>354</v>
      </c>
      <c r="B355" s="1" t="s">
        <v>615</v>
      </c>
      <c r="C355" s="1" t="s">
        <v>614</v>
      </c>
    </row>
    <row r="356" spans="1:3" ht="29" x14ac:dyDescent="0.35">
      <c r="A356" s="1">
        <f t="shared" si="5"/>
        <v>355</v>
      </c>
      <c r="B356" s="1" t="s">
        <v>616</v>
      </c>
      <c r="C356" s="1" t="s">
        <v>617</v>
      </c>
    </row>
    <row r="357" spans="1:3" ht="29" x14ac:dyDescent="0.35">
      <c r="A357" s="1">
        <f t="shared" si="5"/>
        <v>356</v>
      </c>
      <c r="B357" s="1" t="s">
        <v>618</v>
      </c>
      <c r="C357" s="1" t="s">
        <v>221</v>
      </c>
    </row>
    <row r="358" spans="1:3" ht="29" x14ac:dyDescent="0.35">
      <c r="A358" s="1">
        <f t="shared" si="5"/>
        <v>357</v>
      </c>
      <c r="B358" s="1" t="s">
        <v>619</v>
      </c>
      <c r="C358" s="1" t="s">
        <v>620</v>
      </c>
    </row>
    <row r="359" spans="1:3" ht="29" x14ac:dyDescent="0.35">
      <c r="A359" s="1">
        <f t="shared" si="5"/>
        <v>358</v>
      </c>
      <c r="B359" s="1" t="s">
        <v>621</v>
      </c>
      <c r="C359" s="1" t="s">
        <v>460</v>
      </c>
    </row>
    <row r="360" spans="1:3" ht="29" x14ac:dyDescent="0.35">
      <c r="A360" s="1">
        <f t="shared" si="5"/>
        <v>359</v>
      </c>
      <c r="B360" s="1" t="s">
        <v>622</v>
      </c>
      <c r="C360" s="1" t="s">
        <v>460</v>
      </c>
    </row>
    <row r="361" spans="1:3" ht="29" x14ac:dyDescent="0.35">
      <c r="A361" s="1">
        <f t="shared" si="5"/>
        <v>360</v>
      </c>
      <c r="B361" s="1" t="s">
        <v>623</v>
      </c>
      <c r="C361" s="1" t="s">
        <v>460</v>
      </c>
    </row>
    <row r="362" spans="1:3" ht="29" x14ac:dyDescent="0.35">
      <c r="A362" s="1">
        <f t="shared" si="5"/>
        <v>361</v>
      </c>
      <c r="B362" s="1" t="s">
        <v>624</v>
      </c>
      <c r="C362" s="1" t="s">
        <v>460</v>
      </c>
    </row>
    <row r="363" spans="1:3" ht="29" x14ac:dyDescent="0.35">
      <c r="A363" s="1">
        <f t="shared" si="5"/>
        <v>362</v>
      </c>
      <c r="B363" s="1" t="s">
        <v>625</v>
      </c>
      <c r="C363" s="1" t="s">
        <v>620</v>
      </c>
    </row>
    <row r="364" spans="1:3" ht="29" x14ac:dyDescent="0.35">
      <c r="A364" s="1">
        <f t="shared" si="5"/>
        <v>363</v>
      </c>
      <c r="B364" s="1" t="s">
        <v>626</v>
      </c>
      <c r="C364" s="1" t="s">
        <v>460</v>
      </c>
    </row>
    <row r="365" spans="1:3" ht="29" x14ac:dyDescent="0.35">
      <c r="A365" s="1">
        <f t="shared" si="5"/>
        <v>364</v>
      </c>
      <c r="B365" s="1" t="s">
        <v>627</v>
      </c>
      <c r="C365" s="1" t="s">
        <v>93</v>
      </c>
    </row>
    <row r="366" spans="1:3" ht="29" x14ac:dyDescent="0.35">
      <c r="A366" s="1">
        <f t="shared" si="5"/>
        <v>365</v>
      </c>
      <c r="B366" s="1" t="s">
        <v>628</v>
      </c>
      <c r="C366" s="1" t="s">
        <v>629</v>
      </c>
    </row>
    <row r="367" spans="1:3" ht="29" x14ac:dyDescent="0.35">
      <c r="A367" s="1">
        <f t="shared" si="5"/>
        <v>366</v>
      </c>
      <c r="B367" s="1" t="s">
        <v>630</v>
      </c>
      <c r="C367" s="1" t="s">
        <v>629</v>
      </c>
    </row>
    <row r="368" spans="1:3" ht="29" x14ac:dyDescent="0.35">
      <c r="A368" s="1">
        <f t="shared" si="5"/>
        <v>367</v>
      </c>
      <c r="B368" s="1" t="s">
        <v>631</v>
      </c>
      <c r="C368" s="1" t="s">
        <v>629</v>
      </c>
    </row>
    <row r="369" spans="1:3" ht="29" x14ac:dyDescent="0.35">
      <c r="A369" s="1">
        <f t="shared" si="5"/>
        <v>368</v>
      </c>
      <c r="B369" s="1" t="s">
        <v>632</v>
      </c>
      <c r="C369" s="1" t="s">
        <v>629</v>
      </c>
    </row>
    <row r="370" spans="1:3" ht="43.5" x14ac:dyDescent="0.35">
      <c r="A370" s="1">
        <f t="shared" si="5"/>
        <v>369</v>
      </c>
      <c r="B370" s="1" t="s">
        <v>633</v>
      </c>
      <c r="C370" s="1" t="s">
        <v>634</v>
      </c>
    </row>
    <row r="371" spans="1:3" ht="87" x14ac:dyDescent="0.35">
      <c r="A371" s="1">
        <f t="shared" si="5"/>
        <v>370</v>
      </c>
      <c r="B371" s="1" t="s">
        <v>635</v>
      </c>
      <c r="C371" s="1" t="s">
        <v>636</v>
      </c>
    </row>
    <row r="372" spans="1:3" ht="29" x14ac:dyDescent="0.35">
      <c r="A372" s="1">
        <f t="shared" si="5"/>
        <v>371</v>
      </c>
      <c r="B372" s="1" t="s">
        <v>637</v>
      </c>
      <c r="C372" s="1" t="s">
        <v>638</v>
      </c>
    </row>
    <row r="373" spans="1:3" ht="58" x14ac:dyDescent="0.35">
      <c r="A373" s="1">
        <f t="shared" si="5"/>
        <v>372</v>
      </c>
      <c r="B373" s="1" t="s">
        <v>639</v>
      </c>
      <c r="C373" s="1" t="s">
        <v>330</v>
      </c>
    </row>
    <row r="374" spans="1:3" ht="29" x14ac:dyDescent="0.35">
      <c r="A374" s="1">
        <f t="shared" si="5"/>
        <v>373</v>
      </c>
      <c r="B374" s="1" t="s">
        <v>640</v>
      </c>
      <c r="C374" s="1" t="s">
        <v>641</v>
      </c>
    </row>
    <row r="375" spans="1:3" ht="29" x14ac:dyDescent="0.35">
      <c r="A375" s="1">
        <f t="shared" si="5"/>
        <v>374</v>
      </c>
      <c r="B375" s="1" t="s">
        <v>642</v>
      </c>
      <c r="C375" s="1" t="s">
        <v>643</v>
      </c>
    </row>
    <row r="376" spans="1:3" ht="43.5" x14ac:dyDescent="0.35">
      <c r="A376" s="1">
        <f t="shared" si="5"/>
        <v>375</v>
      </c>
      <c r="B376" s="1" t="s">
        <v>644</v>
      </c>
      <c r="C376" s="1" t="s">
        <v>645</v>
      </c>
    </row>
    <row r="377" spans="1:3" ht="29" x14ac:dyDescent="0.35">
      <c r="A377" s="1">
        <f t="shared" si="5"/>
        <v>376</v>
      </c>
      <c r="B377" s="1" t="s">
        <v>646</v>
      </c>
      <c r="C377" s="1" t="s">
        <v>647</v>
      </c>
    </row>
    <row r="378" spans="1:3" ht="43.5" x14ac:dyDescent="0.35">
      <c r="A378" s="1">
        <f t="shared" si="5"/>
        <v>377</v>
      </c>
      <c r="B378" s="1" t="s">
        <v>648</v>
      </c>
      <c r="C378" s="1" t="s">
        <v>649</v>
      </c>
    </row>
    <row r="379" spans="1:3" ht="29" x14ac:dyDescent="0.35">
      <c r="A379" s="1">
        <f t="shared" si="5"/>
        <v>378</v>
      </c>
      <c r="B379" s="1" t="s">
        <v>650</v>
      </c>
      <c r="C379" s="1" t="s">
        <v>651</v>
      </c>
    </row>
    <row r="380" spans="1:3" ht="29" x14ac:dyDescent="0.35">
      <c r="A380" s="1">
        <f t="shared" si="5"/>
        <v>379</v>
      </c>
      <c r="B380" s="1" t="s">
        <v>652</v>
      </c>
      <c r="C380" s="1" t="s">
        <v>653</v>
      </c>
    </row>
    <row r="381" spans="1:3" ht="116" x14ac:dyDescent="0.35">
      <c r="A381" s="1">
        <f t="shared" si="5"/>
        <v>380</v>
      </c>
      <c r="B381" s="1" t="s">
        <v>654</v>
      </c>
      <c r="C381" s="1" t="s">
        <v>655</v>
      </c>
    </row>
    <row r="382" spans="1:3" ht="29" x14ac:dyDescent="0.35">
      <c r="A382" s="1">
        <f t="shared" si="5"/>
        <v>381</v>
      </c>
      <c r="B382" s="1" t="s">
        <v>656</v>
      </c>
      <c r="C382" s="1" t="s">
        <v>657</v>
      </c>
    </row>
    <row r="383" spans="1:3" ht="29" x14ac:dyDescent="0.35">
      <c r="A383" s="1">
        <f t="shared" si="5"/>
        <v>382</v>
      </c>
      <c r="B383" s="1" t="s">
        <v>658</v>
      </c>
      <c r="C383" s="1" t="s">
        <v>274</v>
      </c>
    </row>
    <row r="384" spans="1:3" ht="43.5" x14ac:dyDescent="0.35">
      <c r="A384" s="1">
        <f t="shared" si="5"/>
        <v>383</v>
      </c>
      <c r="B384" s="1" t="s">
        <v>659</v>
      </c>
      <c r="C384" s="1" t="s">
        <v>660</v>
      </c>
    </row>
    <row r="385" spans="1:3" ht="29" x14ac:dyDescent="0.35">
      <c r="A385" s="1">
        <f t="shared" si="5"/>
        <v>384</v>
      </c>
      <c r="B385" s="1" t="s">
        <v>661</v>
      </c>
      <c r="C385" s="1" t="s">
        <v>662</v>
      </c>
    </row>
    <row r="386" spans="1:3" ht="29" x14ac:dyDescent="0.35">
      <c r="A386" s="1">
        <f t="shared" si="5"/>
        <v>385</v>
      </c>
      <c r="B386" s="1" t="s">
        <v>663</v>
      </c>
      <c r="C386" s="1" t="s">
        <v>664</v>
      </c>
    </row>
    <row r="387" spans="1:3" ht="29" x14ac:dyDescent="0.35">
      <c r="A387" s="1">
        <f t="shared" si="5"/>
        <v>386</v>
      </c>
      <c r="B387" s="1" t="s">
        <v>665</v>
      </c>
      <c r="C387" s="1" t="s">
        <v>666</v>
      </c>
    </row>
    <row r="388" spans="1:3" ht="29" x14ac:dyDescent="0.35">
      <c r="A388" s="1">
        <f t="shared" ref="A388:A451" si="6">SUM(A387+1)</f>
        <v>387</v>
      </c>
      <c r="B388" s="1" t="s">
        <v>667</v>
      </c>
      <c r="C388" s="1" t="s">
        <v>668</v>
      </c>
    </row>
    <row r="389" spans="1:3" ht="29" x14ac:dyDescent="0.35">
      <c r="A389" s="1">
        <f t="shared" si="6"/>
        <v>388</v>
      </c>
      <c r="B389" s="1" t="s">
        <v>669</v>
      </c>
      <c r="C389" s="1" t="s">
        <v>668</v>
      </c>
    </row>
    <row r="390" spans="1:3" ht="29" x14ac:dyDescent="0.35">
      <c r="A390" s="1">
        <f t="shared" si="6"/>
        <v>389</v>
      </c>
      <c r="B390" s="1" t="s">
        <v>670</v>
      </c>
      <c r="C390" s="1" t="s">
        <v>671</v>
      </c>
    </row>
    <row r="391" spans="1:3" ht="29" x14ac:dyDescent="0.35">
      <c r="A391" s="1">
        <f t="shared" si="6"/>
        <v>390</v>
      </c>
      <c r="B391" s="1" t="s">
        <v>672</v>
      </c>
      <c r="C391" s="1" t="s">
        <v>673</v>
      </c>
    </row>
    <row r="392" spans="1:3" ht="29" x14ac:dyDescent="0.35">
      <c r="A392" s="1">
        <f t="shared" si="6"/>
        <v>391</v>
      </c>
      <c r="B392" s="1" t="s">
        <v>674</v>
      </c>
      <c r="C392" s="1" t="s">
        <v>675</v>
      </c>
    </row>
    <row r="393" spans="1:3" ht="58" x14ac:dyDescent="0.35">
      <c r="A393" s="1">
        <f t="shared" si="6"/>
        <v>392</v>
      </c>
      <c r="B393" s="1" t="s">
        <v>676</v>
      </c>
      <c r="C393" s="1" t="s">
        <v>677</v>
      </c>
    </row>
    <row r="394" spans="1:3" ht="29" x14ac:dyDescent="0.35">
      <c r="A394" s="1">
        <f t="shared" si="6"/>
        <v>393</v>
      </c>
      <c r="B394" s="1" t="s">
        <v>678</v>
      </c>
      <c r="C394" s="1" t="s">
        <v>679</v>
      </c>
    </row>
    <row r="395" spans="1:3" ht="29" x14ac:dyDescent="0.35">
      <c r="A395" s="1">
        <f t="shared" si="6"/>
        <v>394</v>
      </c>
      <c r="B395" s="1" t="s">
        <v>680</v>
      </c>
      <c r="C395" s="1" t="s">
        <v>681</v>
      </c>
    </row>
    <row r="396" spans="1:3" ht="43.5" x14ac:dyDescent="0.35">
      <c r="A396" s="1">
        <f t="shared" si="6"/>
        <v>395</v>
      </c>
      <c r="B396" s="1" t="s">
        <v>682</v>
      </c>
      <c r="C396" s="1" t="s">
        <v>683</v>
      </c>
    </row>
    <row r="397" spans="1:3" ht="72.5" x14ac:dyDescent="0.35">
      <c r="A397" s="1">
        <f t="shared" si="6"/>
        <v>396</v>
      </c>
      <c r="B397" s="1" t="s">
        <v>684</v>
      </c>
      <c r="C397" s="1" t="s">
        <v>685</v>
      </c>
    </row>
    <row r="398" spans="1:3" ht="43.5" x14ac:dyDescent="0.35">
      <c r="A398" s="1">
        <f t="shared" si="6"/>
        <v>397</v>
      </c>
      <c r="B398" s="1" t="s">
        <v>686</v>
      </c>
      <c r="C398" s="1" t="s">
        <v>687</v>
      </c>
    </row>
    <row r="399" spans="1:3" ht="58" x14ac:dyDescent="0.35">
      <c r="A399" s="1">
        <f t="shared" si="6"/>
        <v>398</v>
      </c>
      <c r="B399" s="1" t="s">
        <v>688</v>
      </c>
      <c r="C399" s="1" t="s">
        <v>689</v>
      </c>
    </row>
    <row r="400" spans="1:3" ht="29" x14ac:dyDescent="0.35">
      <c r="A400" s="1">
        <f t="shared" si="6"/>
        <v>399</v>
      </c>
      <c r="B400" s="1" t="s">
        <v>690</v>
      </c>
      <c r="C400" s="1" t="s">
        <v>691</v>
      </c>
    </row>
    <row r="401" spans="1:3" ht="101.5" x14ac:dyDescent="0.35">
      <c r="A401" s="1">
        <f t="shared" si="6"/>
        <v>400</v>
      </c>
      <c r="B401" s="1" t="s">
        <v>692</v>
      </c>
      <c r="C401" s="1" t="s">
        <v>693</v>
      </c>
    </row>
    <row r="402" spans="1:3" ht="29" x14ac:dyDescent="0.35">
      <c r="A402" s="1">
        <f t="shared" si="6"/>
        <v>401</v>
      </c>
      <c r="B402" s="1" t="s">
        <v>694</v>
      </c>
      <c r="C402" s="1" t="s">
        <v>695</v>
      </c>
    </row>
    <row r="403" spans="1:3" ht="87" x14ac:dyDescent="0.35">
      <c r="A403" s="1">
        <f t="shared" si="6"/>
        <v>402</v>
      </c>
      <c r="B403" s="1" t="s">
        <v>696</v>
      </c>
      <c r="C403" s="1" t="s">
        <v>697</v>
      </c>
    </row>
    <row r="404" spans="1:3" ht="29" x14ac:dyDescent="0.35">
      <c r="A404" s="1">
        <f t="shared" si="6"/>
        <v>403</v>
      </c>
      <c r="B404" s="1" t="s">
        <v>698</v>
      </c>
      <c r="C404" s="1" t="s">
        <v>699</v>
      </c>
    </row>
    <row r="405" spans="1:3" ht="29" x14ac:dyDescent="0.35">
      <c r="A405" s="1">
        <f t="shared" si="6"/>
        <v>404</v>
      </c>
      <c r="B405" s="1" t="s">
        <v>700</v>
      </c>
      <c r="C405" s="1" t="s">
        <v>701</v>
      </c>
    </row>
    <row r="406" spans="1:3" ht="29" x14ac:dyDescent="0.35">
      <c r="A406" s="1">
        <f t="shared" si="6"/>
        <v>405</v>
      </c>
      <c r="B406" s="1" t="s">
        <v>702</v>
      </c>
      <c r="C406" s="1" t="s">
        <v>703</v>
      </c>
    </row>
    <row r="407" spans="1:3" ht="29" x14ac:dyDescent="0.35">
      <c r="A407" s="1">
        <f t="shared" si="6"/>
        <v>406</v>
      </c>
      <c r="B407" s="1" t="s">
        <v>704</v>
      </c>
      <c r="C407" s="1" t="s">
        <v>705</v>
      </c>
    </row>
    <row r="408" spans="1:3" ht="58" x14ac:dyDescent="0.35">
      <c r="A408" s="1">
        <f t="shared" si="6"/>
        <v>407</v>
      </c>
      <c r="B408" s="1" t="s">
        <v>708</v>
      </c>
      <c r="C408" s="1" t="s">
        <v>703</v>
      </c>
    </row>
    <row r="409" spans="1:3" ht="29" x14ac:dyDescent="0.35">
      <c r="A409" s="1">
        <f t="shared" si="6"/>
        <v>408</v>
      </c>
      <c r="B409" s="1" t="s">
        <v>709</v>
      </c>
      <c r="C409" s="1" t="s">
        <v>157</v>
      </c>
    </row>
    <row r="410" spans="1:3" ht="43.5" x14ac:dyDescent="0.35">
      <c r="A410" s="1">
        <f t="shared" si="6"/>
        <v>409</v>
      </c>
      <c r="B410" s="1" t="s">
        <v>710</v>
      </c>
      <c r="C410" s="1" t="s">
        <v>711</v>
      </c>
    </row>
    <row r="411" spans="1:3" ht="43.5" x14ac:dyDescent="0.35">
      <c r="A411" s="1">
        <f t="shared" si="6"/>
        <v>410</v>
      </c>
      <c r="B411" s="1" t="s">
        <v>712</v>
      </c>
      <c r="C411" s="1" t="s">
        <v>713</v>
      </c>
    </row>
    <row r="412" spans="1:3" ht="29" x14ac:dyDescent="0.35">
      <c r="A412" s="1">
        <f t="shared" si="6"/>
        <v>411</v>
      </c>
      <c r="B412" s="1" t="s">
        <v>714</v>
      </c>
      <c r="C412" s="1" t="s">
        <v>715</v>
      </c>
    </row>
    <row r="413" spans="1:3" ht="58" x14ac:dyDescent="0.35">
      <c r="A413" s="1">
        <f t="shared" si="6"/>
        <v>412</v>
      </c>
      <c r="B413" s="1" t="s">
        <v>716</v>
      </c>
      <c r="C413" s="1" t="s">
        <v>76</v>
      </c>
    </row>
    <row r="414" spans="1:3" ht="58" x14ac:dyDescent="0.35">
      <c r="A414" s="1">
        <f t="shared" si="6"/>
        <v>413</v>
      </c>
      <c r="B414" s="1" t="s">
        <v>717</v>
      </c>
      <c r="C414" s="1" t="s">
        <v>718</v>
      </c>
    </row>
    <row r="415" spans="1:3" ht="43.5" x14ac:dyDescent="0.35">
      <c r="A415" s="1">
        <f t="shared" si="6"/>
        <v>414</v>
      </c>
      <c r="B415" s="1" t="s">
        <v>719</v>
      </c>
      <c r="C415" s="1" t="s">
        <v>105</v>
      </c>
    </row>
    <row r="416" spans="1:3" ht="29" x14ac:dyDescent="0.35">
      <c r="A416" s="1">
        <f t="shared" si="6"/>
        <v>415</v>
      </c>
      <c r="B416" s="1" t="s">
        <v>720</v>
      </c>
      <c r="C416" s="1" t="s">
        <v>721</v>
      </c>
    </row>
    <row r="417" spans="1:3" ht="58" x14ac:dyDescent="0.35">
      <c r="A417" s="1">
        <f t="shared" si="6"/>
        <v>416</v>
      </c>
      <c r="B417" s="1" t="s">
        <v>722</v>
      </c>
      <c r="C417" s="1" t="s">
        <v>653</v>
      </c>
    </row>
    <row r="418" spans="1:3" ht="29" x14ac:dyDescent="0.35">
      <c r="A418" s="1">
        <f t="shared" si="6"/>
        <v>417</v>
      </c>
      <c r="B418" s="1" t="s">
        <v>723</v>
      </c>
      <c r="C418" s="1" t="s">
        <v>510</v>
      </c>
    </row>
    <row r="419" spans="1:3" ht="29" x14ac:dyDescent="0.35">
      <c r="A419" s="1">
        <f t="shared" si="6"/>
        <v>418</v>
      </c>
      <c r="B419" s="1" t="s">
        <v>724</v>
      </c>
      <c r="C419" s="1" t="s">
        <v>172</v>
      </c>
    </row>
    <row r="420" spans="1:3" ht="29" x14ac:dyDescent="0.35">
      <c r="A420" s="1">
        <f t="shared" si="6"/>
        <v>419</v>
      </c>
      <c r="B420" s="1" t="s">
        <v>725</v>
      </c>
      <c r="C420" s="1" t="s">
        <v>726</v>
      </c>
    </row>
    <row r="421" spans="1:3" ht="29" x14ac:dyDescent="0.35">
      <c r="A421" s="1">
        <f t="shared" si="6"/>
        <v>420</v>
      </c>
      <c r="B421" s="1" t="s">
        <v>727</v>
      </c>
      <c r="C421" s="1" t="s">
        <v>565</v>
      </c>
    </row>
    <row r="422" spans="1:3" ht="58" x14ac:dyDescent="0.35">
      <c r="A422" s="1">
        <f t="shared" si="6"/>
        <v>421</v>
      </c>
      <c r="B422" s="1" t="s">
        <v>728</v>
      </c>
      <c r="C422" s="1" t="s">
        <v>442</v>
      </c>
    </row>
    <row r="423" spans="1:3" ht="58" x14ac:dyDescent="0.35">
      <c r="A423" s="1">
        <f t="shared" si="6"/>
        <v>422</v>
      </c>
      <c r="B423" s="1" t="s">
        <v>729</v>
      </c>
      <c r="C423" s="1" t="s">
        <v>730</v>
      </c>
    </row>
    <row r="424" spans="1:3" ht="29" x14ac:dyDescent="0.35">
      <c r="A424" s="1">
        <f t="shared" si="6"/>
        <v>423</v>
      </c>
      <c r="B424" s="1" t="s">
        <v>731</v>
      </c>
      <c r="C424" s="1" t="s">
        <v>732</v>
      </c>
    </row>
    <row r="425" spans="1:3" ht="29" x14ac:dyDescent="0.35">
      <c r="A425" s="1">
        <f t="shared" si="6"/>
        <v>424</v>
      </c>
      <c r="B425" s="1" t="s">
        <v>733</v>
      </c>
      <c r="C425" s="1" t="s">
        <v>734</v>
      </c>
    </row>
    <row r="426" spans="1:3" ht="43.5" x14ac:dyDescent="0.35">
      <c r="A426" s="1">
        <f t="shared" si="6"/>
        <v>425</v>
      </c>
      <c r="B426" s="1" t="s">
        <v>735</v>
      </c>
      <c r="C426" s="1" t="s">
        <v>703</v>
      </c>
    </row>
    <row r="427" spans="1:3" ht="58" x14ac:dyDescent="0.35">
      <c r="A427" s="1">
        <f t="shared" si="6"/>
        <v>426</v>
      </c>
      <c r="B427" s="1" t="s">
        <v>736</v>
      </c>
      <c r="C427" s="1" t="s">
        <v>737</v>
      </c>
    </row>
    <row r="428" spans="1:3" ht="43.5" x14ac:dyDescent="0.35">
      <c r="A428" s="1">
        <f t="shared" si="6"/>
        <v>427</v>
      </c>
      <c r="B428" s="1" t="s">
        <v>738</v>
      </c>
      <c r="C428" s="1" t="s">
        <v>739</v>
      </c>
    </row>
    <row r="429" spans="1:3" ht="43.5" x14ac:dyDescent="0.35">
      <c r="A429" s="1">
        <f t="shared" si="6"/>
        <v>428</v>
      </c>
      <c r="B429" s="1" t="s">
        <v>740</v>
      </c>
      <c r="C429" s="1" t="s">
        <v>739</v>
      </c>
    </row>
    <row r="430" spans="1:3" ht="29" x14ac:dyDescent="0.35">
      <c r="A430" s="1">
        <f t="shared" si="6"/>
        <v>429</v>
      </c>
      <c r="B430" s="1" t="s">
        <v>741</v>
      </c>
      <c r="C430" s="1" t="s">
        <v>742</v>
      </c>
    </row>
    <row r="431" spans="1:3" ht="58" x14ac:dyDescent="0.35">
      <c r="A431" s="1">
        <f t="shared" si="6"/>
        <v>430</v>
      </c>
      <c r="B431" s="1" t="s">
        <v>743</v>
      </c>
      <c r="C431" s="1" t="s">
        <v>379</v>
      </c>
    </row>
    <row r="432" spans="1:3" ht="58" x14ac:dyDescent="0.35">
      <c r="A432" s="1">
        <f t="shared" si="6"/>
        <v>431</v>
      </c>
      <c r="B432" s="1" t="s">
        <v>745</v>
      </c>
      <c r="C432" s="1" t="s">
        <v>746</v>
      </c>
    </row>
    <row r="433" spans="1:3" ht="58" x14ac:dyDescent="0.35">
      <c r="A433" s="1">
        <f t="shared" si="6"/>
        <v>432</v>
      </c>
      <c r="B433" s="1" t="s">
        <v>747</v>
      </c>
      <c r="C433" s="1" t="s">
        <v>748</v>
      </c>
    </row>
    <row r="434" spans="1:3" ht="29" x14ac:dyDescent="0.35">
      <c r="A434" s="1">
        <f t="shared" si="6"/>
        <v>433</v>
      </c>
      <c r="B434" s="1" t="s">
        <v>749</v>
      </c>
      <c r="C434" s="1" t="s">
        <v>750</v>
      </c>
    </row>
    <row r="435" spans="1:3" ht="29" x14ac:dyDescent="0.35">
      <c r="A435" s="1">
        <f t="shared" si="6"/>
        <v>434</v>
      </c>
      <c r="B435" s="1" t="s">
        <v>751</v>
      </c>
      <c r="C435" s="1" t="s">
        <v>752</v>
      </c>
    </row>
    <row r="436" spans="1:3" ht="58" x14ac:dyDescent="0.35">
      <c r="A436" s="1">
        <f t="shared" si="6"/>
        <v>435</v>
      </c>
      <c r="B436" s="1" t="s">
        <v>753</v>
      </c>
      <c r="C436" s="1" t="s">
        <v>754</v>
      </c>
    </row>
    <row r="437" spans="1:3" ht="72.5" x14ac:dyDescent="0.35">
      <c r="A437" s="1">
        <f t="shared" si="6"/>
        <v>436</v>
      </c>
      <c r="B437" s="1" t="s">
        <v>755</v>
      </c>
      <c r="C437" s="1" t="s">
        <v>754</v>
      </c>
    </row>
    <row r="438" spans="1:3" ht="29" x14ac:dyDescent="0.35">
      <c r="A438" s="1">
        <f t="shared" si="6"/>
        <v>437</v>
      </c>
      <c r="B438" s="1" t="s">
        <v>756</v>
      </c>
      <c r="C438" s="1" t="s">
        <v>757</v>
      </c>
    </row>
    <row r="439" spans="1:3" ht="87" x14ac:dyDescent="0.35">
      <c r="A439" s="1">
        <f t="shared" si="6"/>
        <v>438</v>
      </c>
      <c r="B439" s="1" t="s">
        <v>758</v>
      </c>
      <c r="C439" s="1" t="s">
        <v>442</v>
      </c>
    </row>
    <row r="440" spans="1:3" ht="29" x14ac:dyDescent="0.35">
      <c r="A440" s="1">
        <f t="shared" si="6"/>
        <v>439</v>
      </c>
      <c r="B440" s="1" t="s">
        <v>759</v>
      </c>
      <c r="C440" s="1" t="s">
        <v>760</v>
      </c>
    </row>
    <row r="441" spans="1:3" ht="29" x14ac:dyDescent="0.35">
      <c r="A441" s="1">
        <f t="shared" si="6"/>
        <v>440</v>
      </c>
      <c r="B441" s="1" t="s">
        <v>761</v>
      </c>
      <c r="C441" s="1" t="s">
        <v>762</v>
      </c>
    </row>
    <row r="442" spans="1:3" ht="29" x14ac:dyDescent="0.35">
      <c r="A442" s="1">
        <f t="shared" si="6"/>
        <v>441</v>
      </c>
      <c r="B442" s="1" t="s">
        <v>763</v>
      </c>
      <c r="C442" s="1" t="s">
        <v>764</v>
      </c>
    </row>
    <row r="443" spans="1:3" ht="72.5" x14ac:dyDescent="0.35">
      <c r="A443" s="1">
        <f t="shared" si="6"/>
        <v>442</v>
      </c>
      <c r="B443" s="1" t="s">
        <v>765</v>
      </c>
      <c r="C443" s="1" t="s">
        <v>766</v>
      </c>
    </row>
    <row r="444" spans="1:3" ht="72.5" x14ac:dyDescent="0.35">
      <c r="A444" s="1">
        <f t="shared" si="6"/>
        <v>443</v>
      </c>
      <c r="B444" s="1" t="s">
        <v>767</v>
      </c>
      <c r="C444" s="1" t="s">
        <v>561</v>
      </c>
    </row>
    <row r="445" spans="1:3" ht="58" x14ac:dyDescent="0.35">
      <c r="A445" s="1">
        <f t="shared" si="6"/>
        <v>444</v>
      </c>
      <c r="B445" s="1" t="s">
        <v>768</v>
      </c>
      <c r="C445" s="1" t="s">
        <v>76</v>
      </c>
    </row>
    <row r="446" spans="1:3" ht="43.5" x14ac:dyDescent="0.35">
      <c r="A446" s="1">
        <f t="shared" si="6"/>
        <v>445</v>
      </c>
      <c r="B446" s="1" t="s">
        <v>771</v>
      </c>
      <c r="C446" s="1" t="s">
        <v>772</v>
      </c>
    </row>
    <row r="447" spans="1:3" ht="43.5" x14ac:dyDescent="0.35">
      <c r="A447" s="1">
        <f t="shared" si="6"/>
        <v>446</v>
      </c>
      <c r="B447" s="1" t="s">
        <v>773</v>
      </c>
      <c r="C447" s="1" t="s">
        <v>772</v>
      </c>
    </row>
    <row r="448" spans="1:3" ht="29" x14ac:dyDescent="0.35">
      <c r="A448" s="1">
        <f t="shared" si="6"/>
        <v>447</v>
      </c>
      <c r="B448" s="1" t="s">
        <v>774</v>
      </c>
      <c r="C448" s="1" t="s">
        <v>772</v>
      </c>
    </row>
    <row r="449" spans="1:3" ht="29" x14ac:dyDescent="0.35">
      <c r="A449" s="1">
        <f t="shared" si="6"/>
        <v>448</v>
      </c>
      <c r="B449" s="1" t="s">
        <v>775</v>
      </c>
      <c r="C449" s="1" t="s">
        <v>772</v>
      </c>
    </row>
    <row r="450" spans="1:3" ht="29" x14ac:dyDescent="0.35">
      <c r="A450" s="1">
        <f t="shared" si="6"/>
        <v>449</v>
      </c>
      <c r="B450" s="1" t="s">
        <v>776</v>
      </c>
      <c r="C450" s="1" t="s">
        <v>772</v>
      </c>
    </row>
    <row r="451" spans="1:3" ht="58" x14ac:dyDescent="0.35">
      <c r="A451" s="1">
        <f t="shared" si="6"/>
        <v>450</v>
      </c>
      <c r="B451" s="1" t="s">
        <v>777</v>
      </c>
      <c r="C451" s="1" t="s">
        <v>594</v>
      </c>
    </row>
    <row r="452" spans="1:3" ht="29" x14ac:dyDescent="0.35">
      <c r="A452" s="1">
        <f t="shared" ref="A452:A463" si="7">SUM(A451+1)</f>
        <v>451</v>
      </c>
      <c r="B452" s="1" t="s">
        <v>780</v>
      </c>
      <c r="C452" s="1" t="s">
        <v>781</v>
      </c>
    </row>
    <row r="453" spans="1:3" ht="58" x14ac:dyDescent="0.35">
      <c r="A453" s="1">
        <f t="shared" si="7"/>
        <v>452</v>
      </c>
      <c r="B453" s="1" t="s">
        <v>782</v>
      </c>
      <c r="C453" s="1" t="s">
        <v>783</v>
      </c>
    </row>
    <row r="454" spans="1:3" ht="29" x14ac:dyDescent="0.35">
      <c r="A454" s="1">
        <f t="shared" si="7"/>
        <v>453</v>
      </c>
      <c r="B454" s="1" t="s">
        <v>784</v>
      </c>
      <c r="C454" s="1" t="s">
        <v>785</v>
      </c>
    </row>
    <row r="455" spans="1:3" ht="29" x14ac:dyDescent="0.35">
      <c r="A455" s="1">
        <f t="shared" si="7"/>
        <v>454</v>
      </c>
      <c r="B455" s="1" t="s">
        <v>786</v>
      </c>
      <c r="C455" s="1" t="s">
        <v>785</v>
      </c>
    </row>
    <row r="456" spans="1:3" ht="29" x14ac:dyDescent="0.35">
      <c r="A456" s="1">
        <f t="shared" si="7"/>
        <v>455</v>
      </c>
      <c r="B456" s="1" t="s">
        <v>787</v>
      </c>
      <c r="C456" s="1" t="s">
        <v>788</v>
      </c>
    </row>
    <row r="457" spans="1:3" ht="87" x14ac:dyDescent="0.35">
      <c r="A457" s="1">
        <f t="shared" si="7"/>
        <v>456</v>
      </c>
      <c r="B457" s="1" t="s">
        <v>789</v>
      </c>
      <c r="C457" s="1" t="s">
        <v>790</v>
      </c>
    </row>
    <row r="458" spans="1:3" ht="29" x14ac:dyDescent="0.35">
      <c r="A458" s="1">
        <f t="shared" si="7"/>
        <v>457</v>
      </c>
      <c r="B458" s="1" t="s">
        <v>791</v>
      </c>
      <c r="C458" s="1" t="s">
        <v>792</v>
      </c>
    </row>
    <row r="459" spans="1:3" ht="58" x14ac:dyDescent="0.35">
      <c r="A459" s="1">
        <f t="shared" si="7"/>
        <v>458</v>
      </c>
      <c r="B459" s="1" t="s">
        <v>793</v>
      </c>
      <c r="C459" s="1" t="s">
        <v>794</v>
      </c>
    </row>
    <row r="460" spans="1:3" ht="29" x14ac:dyDescent="0.35">
      <c r="A460" s="1">
        <f t="shared" si="7"/>
        <v>459</v>
      </c>
      <c r="B460" s="1" t="s">
        <v>795</v>
      </c>
      <c r="C460" s="1" t="s">
        <v>796</v>
      </c>
    </row>
    <row r="461" spans="1:3" ht="29" x14ac:dyDescent="0.35">
      <c r="A461" s="1">
        <f t="shared" si="7"/>
        <v>460</v>
      </c>
      <c r="B461" s="1" t="s">
        <v>797</v>
      </c>
      <c r="C461" s="1" t="s">
        <v>798</v>
      </c>
    </row>
    <row r="462" spans="1:3" ht="29" x14ac:dyDescent="0.35">
      <c r="A462" s="1">
        <f t="shared" si="7"/>
        <v>461</v>
      </c>
      <c r="B462" s="1" t="s">
        <v>799</v>
      </c>
      <c r="C462" s="1" t="s">
        <v>798</v>
      </c>
    </row>
    <row r="463" spans="1:3" ht="58" x14ac:dyDescent="0.35">
      <c r="A463" s="1">
        <f t="shared" si="7"/>
        <v>462</v>
      </c>
      <c r="B463" s="1" t="s">
        <v>800</v>
      </c>
      <c r="C463" s="1" t="s">
        <v>801</v>
      </c>
    </row>
  </sheetData>
  <conditionalFormatting sqref="B2:B463">
    <cfRule type="duplicateValues" dxfId="14" priority="1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1028A-5D77-4FD8-A3F8-A1A2BF159B30}">
  <dimension ref="A1:H463"/>
  <sheetViews>
    <sheetView topLeftCell="H427" workbookViewId="0">
      <selection activeCell="H462" sqref="H462"/>
    </sheetView>
  </sheetViews>
  <sheetFormatPr defaultRowHeight="14.5" x14ac:dyDescent="0.35"/>
  <cols>
    <col min="1" max="1" width="5.453125" bestFit="1" customWidth="1"/>
    <col min="2" max="2" width="80.7265625" bestFit="1" customWidth="1"/>
    <col min="3" max="3" width="17.1796875" bestFit="1" customWidth="1"/>
    <col min="4" max="4" width="80.7265625" bestFit="1" customWidth="1"/>
    <col min="5" max="5" width="38.90625" bestFit="1" customWidth="1"/>
    <col min="6" max="7" width="80.7265625" bestFit="1" customWidth="1"/>
    <col min="8" max="8" width="255.6328125" bestFit="1" customWidth="1"/>
  </cols>
  <sheetData>
    <row r="1" spans="1:8" x14ac:dyDescent="0.35">
      <c r="A1" t="s">
        <v>0</v>
      </c>
      <c r="B1" t="s">
        <v>1</v>
      </c>
      <c r="C1" t="s">
        <v>2</v>
      </c>
      <c r="D1" t="s">
        <v>1589</v>
      </c>
      <c r="E1" t="s">
        <v>1590</v>
      </c>
      <c r="F1" t="s">
        <v>1591</v>
      </c>
      <c r="G1" t="s">
        <v>1592</v>
      </c>
      <c r="H1" t="s">
        <v>1593</v>
      </c>
    </row>
    <row r="2" spans="1:8" x14ac:dyDescent="0.35">
      <c r="A2">
        <v>1</v>
      </c>
      <c r="B2" t="s">
        <v>1594</v>
      </c>
      <c r="C2" t="s">
        <v>4</v>
      </c>
      <c r="D2" t="s">
        <v>1595</v>
      </c>
      <c r="E2" t="s">
        <v>1596</v>
      </c>
      <c r="F2" t="s">
        <v>1597</v>
      </c>
      <c r="G2" t="s">
        <v>1597</v>
      </c>
      <c r="H2" t="s">
        <v>1598</v>
      </c>
    </row>
    <row r="3" spans="1:8" x14ac:dyDescent="0.35">
      <c r="A3">
        <v>2</v>
      </c>
      <c r="B3" t="s">
        <v>1599</v>
      </c>
      <c r="C3" t="s">
        <v>6</v>
      </c>
      <c r="D3" t="s">
        <v>1600</v>
      </c>
      <c r="E3" t="s">
        <v>1601</v>
      </c>
      <c r="F3" t="s">
        <v>1602</v>
      </c>
      <c r="G3" t="s">
        <v>1603</v>
      </c>
      <c r="H3" t="s">
        <v>1604</v>
      </c>
    </row>
    <row r="4" spans="1:8" x14ac:dyDescent="0.35">
      <c r="A4">
        <v>3</v>
      </c>
      <c r="B4" t="s">
        <v>1605</v>
      </c>
      <c r="C4" t="s">
        <v>8</v>
      </c>
      <c r="D4" t="s">
        <v>1606</v>
      </c>
      <c r="E4" t="s">
        <v>1607</v>
      </c>
      <c r="F4" t="s">
        <v>1608</v>
      </c>
      <c r="G4" t="s">
        <v>1609</v>
      </c>
      <c r="H4" t="s">
        <v>1610</v>
      </c>
    </row>
    <row r="5" spans="1:8" x14ac:dyDescent="0.35">
      <c r="A5">
        <v>4</v>
      </c>
      <c r="B5" t="s">
        <v>1611</v>
      </c>
      <c r="C5" t="s">
        <v>10</v>
      </c>
      <c r="D5" t="s">
        <v>1612</v>
      </c>
      <c r="E5" t="s">
        <v>1613</v>
      </c>
      <c r="F5" t="s">
        <v>1614</v>
      </c>
      <c r="G5" t="s">
        <v>1614</v>
      </c>
      <c r="H5" t="s">
        <v>1615</v>
      </c>
    </row>
    <row r="6" spans="1:8" x14ac:dyDescent="0.35">
      <c r="A6">
        <v>5</v>
      </c>
      <c r="B6" t="s">
        <v>1616</v>
      </c>
      <c r="C6" t="s">
        <v>12</v>
      </c>
      <c r="D6" t="s">
        <v>1617</v>
      </c>
      <c r="E6" t="s">
        <v>1618</v>
      </c>
      <c r="F6" t="s">
        <v>1619</v>
      </c>
      <c r="G6" t="s">
        <v>1620</v>
      </c>
      <c r="H6" t="s">
        <v>1621</v>
      </c>
    </row>
    <row r="7" spans="1:8" x14ac:dyDescent="0.35">
      <c r="A7">
        <v>6</v>
      </c>
      <c r="B7" t="s">
        <v>1622</v>
      </c>
      <c r="C7" t="s">
        <v>14</v>
      </c>
      <c r="D7" t="s">
        <v>1623</v>
      </c>
      <c r="E7" t="s">
        <v>1624</v>
      </c>
      <c r="F7" t="s">
        <v>1625</v>
      </c>
      <c r="G7" t="s">
        <v>1625</v>
      </c>
      <c r="H7" t="s">
        <v>1626</v>
      </c>
    </row>
    <row r="8" spans="1:8" x14ac:dyDescent="0.35">
      <c r="A8">
        <v>7</v>
      </c>
      <c r="B8" t="s">
        <v>1627</v>
      </c>
      <c r="C8" t="s">
        <v>16</v>
      </c>
      <c r="D8" t="s">
        <v>1628</v>
      </c>
      <c r="E8" t="s">
        <v>1629</v>
      </c>
      <c r="F8" t="s">
        <v>1630</v>
      </c>
      <c r="G8" t="s">
        <v>1630</v>
      </c>
      <c r="H8" t="s">
        <v>1631</v>
      </c>
    </row>
    <row r="9" spans="1:8" x14ac:dyDescent="0.35">
      <c r="A9">
        <v>8</v>
      </c>
      <c r="B9" t="s">
        <v>1632</v>
      </c>
      <c r="C9" t="s">
        <v>18</v>
      </c>
      <c r="D9" t="s">
        <v>1633</v>
      </c>
      <c r="E9" t="s">
        <v>1634</v>
      </c>
      <c r="F9" t="s">
        <v>1635</v>
      </c>
      <c r="G9" t="s">
        <v>1636</v>
      </c>
      <c r="H9" t="s">
        <v>1637</v>
      </c>
    </row>
    <row r="10" spans="1:8" x14ac:dyDescent="0.35">
      <c r="A10">
        <v>9</v>
      </c>
      <c r="B10" t="s">
        <v>1638</v>
      </c>
      <c r="C10" t="s">
        <v>20</v>
      </c>
      <c r="D10" t="s">
        <v>1639</v>
      </c>
      <c r="E10" t="s">
        <v>1640</v>
      </c>
      <c r="F10" t="s">
        <v>1641</v>
      </c>
      <c r="G10" t="s">
        <v>1642</v>
      </c>
      <c r="H10" t="s">
        <v>1643</v>
      </c>
    </row>
    <row r="11" spans="1:8" x14ac:dyDescent="0.35">
      <c r="A11">
        <v>10</v>
      </c>
      <c r="B11" t="s">
        <v>1644</v>
      </c>
      <c r="C11" t="s">
        <v>22</v>
      </c>
      <c r="D11" t="s">
        <v>1645</v>
      </c>
      <c r="E11" t="s">
        <v>1646</v>
      </c>
      <c r="F11" t="s">
        <v>1647</v>
      </c>
      <c r="G11" t="s">
        <v>1648</v>
      </c>
      <c r="H11" t="s">
        <v>1649</v>
      </c>
    </row>
    <row r="12" spans="1:8" x14ac:dyDescent="0.35">
      <c r="A12">
        <v>11</v>
      </c>
      <c r="B12" t="s">
        <v>1650</v>
      </c>
      <c r="C12" t="s">
        <v>24</v>
      </c>
      <c r="D12" t="s">
        <v>1651</v>
      </c>
      <c r="E12" t="s">
        <v>1652</v>
      </c>
      <c r="F12" t="s">
        <v>1653</v>
      </c>
      <c r="G12" t="s">
        <v>1653</v>
      </c>
      <c r="H12" t="s">
        <v>1654</v>
      </c>
    </row>
    <row r="13" spans="1:8" x14ac:dyDescent="0.35">
      <c r="A13">
        <v>12</v>
      </c>
      <c r="B13" t="s">
        <v>1655</v>
      </c>
      <c r="C13" t="s">
        <v>26</v>
      </c>
      <c r="D13" t="s">
        <v>1656</v>
      </c>
      <c r="E13" t="s">
        <v>1657</v>
      </c>
      <c r="F13" t="s">
        <v>1658</v>
      </c>
      <c r="G13" t="s">
        <v>1659</v>
      </c>
      <c r="H13" t="s">
        <v>1660</v>
      </c>
    </row>
    <row r="14" spans="1:8" x14ac:dyDescent="0.35">
      <c r="A14">
        <v>13</v>
      </c>
      <c r="B14" t="s">
        <v>1661</v>
      </c>
      <c r="C14" t="s">
        <v>28</v>
      </c>
      <c r="D14" t="s">
        <v>1662</v>
      </c>
      <c r="E14" t="s">
        <v>1663</v>
      </c>
      <c r="F14" t="s">
        <v>1664</v>
      </c>
      <c r="G14" t="s">
        <v>1665</v>
      </c>
      <c r="H14" t="s">
        <v>1666</v>
      </c>
    </row>
    <row r="15" spans="1:8" x14ac:dyDescent="0.35">
      <c r="A15">
        <v>14</v>
      </c>
      <c r="B15" t="s">
        <v>1661</v>
      </c>
      <c r="C15" t="s">
        <v>30</v>
      </c>
      <c r="D15" t="s">
        <v>1662</v>
      </c>
      <c r="E15" t="s">
        <v>1663</v>
      </c>
      <c r="F15" t="s">
        <v>1664</v>
      </c>
      <c r="G15" t="s">
        <v>1665</v>
      </c>
      <c r="H15" t="s">
        <v>1666</v>
      </c>
    </row>
    <row r="16" spans="1:8" x14ac:dyDescent="0.35">
      <c r="A16">
        <v>15</v>
      </c>
      <c r="B16" t="s">
        <v>1667</v>
      </c>
      <c r="C16" t="s">
        <v>32</v>
      </c>
      <c r="D16" t="s">
        <v>1668</v>
      </c>
      <c r="E16" t="s">
        <v>1669</v>
      </c>
      <c r="F16" t="s">
        <v>1670</v>
      </c>
      <c r="G16" t="s">
        <v>1670</v>
      </c>
      <c r="H16" t="s">
        <v>1671</v>
      </c>
    </row>
    <row r="17" spans="1:8" x14ac:dyDescent="0.35">
      <c r="A17">
        <v>16</v>
      </c>
      <c r="B17" t="s">
        <v>1672</v>
      </c>
      <c r="C17" t="s">
        <v>34</v>
      </c>
      <c r="D17" t="s">
        <v>1673</v>
      </c>
      <c r="E17" t="s">
        <v>1674</v>
      </c>
      <c r="F17" t="s">
        <v>1675</v>
      </c>
      <c r="G17" t="s">
        <v>1676</v>
      </c>
      <c r="H17" t="s">
        <v>1677</v>
      </c>
    </row>
    <row r="18" spans="1:8" x14ac:dyDescent="0.35">
      <c r="A18">
        <v>17</v>
      </c>
      <c r="B18" t="s">
        <v>1678</v>
      </c>
      <c r="C18" t="s">
        <v>36</v>
      </c>
      <c r="D18" t="s">
        <v>1679</v>
      </c>
      <c r="E18" t="s">
        <v>1680</v>
      </c>
      <c r="F18" t="s">
        <v>1681</v>
      </c>
      <c r="G18" t="s">
        <v>1682</v>
      </c>
      <c r="H18" t="s">
        <v>1683</v>
      </c>
    </row>
    <row r="19" spans="1:8" x14ac:dyDescent="0.35">
      <c r="A19">
        <v>18</v>
      </c>
      <c r="B19" t="s">
        <v>1684</v>
      </c>
      <c r="C19" t="s">
        <v>38</v>
      </c>
      <c r="D19" t="s">
        <v>1685</v>
      </c>
      <c r="E19" t="s">
        <v>1686</v>
      </c>
      <c r="F19" t="s">
        <v>1687</v>
      </c>
      <c r="G19" t="s">
        <v>1688</v>
      </c>
      <c r="H19" t="s">
        <v>1689</v>
      </c>
    </row>
    <row r="20" spans="1:8" x14ac:dyDescent="0.35">
      <c r="A20">
        <v>19</v>
      </c>
      <c r="B20" t="s">
        <v>1690</v>
      </c>
      <c r="C20" t="s">
        <v>40</v>
      </c>
      <c r="D20" t="s">
        <v>1691</v>
      </c>
      <c r="E20" t="s">
        <v>1692</v>
      </c>
      <c r="F20" t="s">
        <v>1693</v>
      </c>
      <c r="G20" t="s">
        <v>1693</v>
      </c>
      <c r="H20" t="s">
        <v>1694</v>
      </c>
    </row>
    <row r="21" spans="1:8" x14ac:dyDescent="0.35">
      <c r="A21">
        <v>20</v>
      </c>
      <c r="B21" t="s">
        <v>1695</v>
      </c>
      <c r="C21" t="s">
        <v>42</v>
      </c>
      <c r="D21" t="s">
        <v>1696</v>
      </c>
      <c r="E21" t="s">
        <v>1697</v>
      </c>
      <c r="F21" t="s">
        <v>1698</v>
      </c>
      <c r="G21" t="s">
        <v>1698</v>
      </c>
      <c r="H21" t="s">
        <v>1699</v>
      </c>
    </row>
    <row r="22" spans="1:8" x14ac:dyDescent="0.35">
      <c r="A22">
        <v>21</v>
      </c>
      <c r="B22" t="s">
        <v>1700</v>
      </c>
      <c r="C22" t="s">
        <v>44</v>
      </c>
      <c r="D22" t="s">
        <v>1701</v>
      </c>
      <c r="E22" t="s">
        <v>1702</v>
      </c>
      <c r="F22" t="s">
        <v>1703</v>
      </c>
      <c r="G22" t="s">
        <v>1703</v>
      </c>
      <c r="H22" t="s">
        <v>1704</v>
      </c>
    </row>
    <row r="23" spans="1:8" x14ac:dyDescent="0.35">
      <c r="A23">
        <v>22</v>
      </c>
      <c r="B23" t="s">
        <v>1705</v>
      </c>
      <c r="C23" t="s">
        <v>20</v>
      </c>
      <c r="D23" t="s">
        <v>1706</v>
      </c>
      <c r="E23" t="s">
        <v>1707</v>
      </c>
      <c r="F23" t="s">
        <v>1708</v>
      </c>
      <c r="G23" t="s">
        <v>1709</v>
      </c>
      <c r="H23" t="s">
        <v>1710</v>
      </c>
    </row>
    <row r="24" spans="1:8" x14ac:dyDescent="0.35">
      <c r="A24">
        <v>23</v>
      </c>
      <c r="B24" t="s">
        <v>1711</v>
      </c>
      <c r="C24" t="s">
        <v>47</v>
      </c>
      <c r="D24" t="s">
        <v>1712</v>
      </c>
      <c r="E24" t="s">
        <v>1713</v>
      </c>
      <c r="F24" t="s">
        <v>1714</v>
      </c>
      <c r="G24" t="s">
        <v>1715</v>
      </c>
      <c r="H24" t="s">
        <v>1716</v>
      </c>
    </row>
    <row r="25" spans="1:8" x14ac:dyDescent="0.35">
      <c r="A25">
        <v>24</v>
      </c>
      <c r="B25" t="s">
        <v>1717</v>
      </c>
      <c r="C25" t="s">
        <v>49</v>
      </c>
      <c r="D25" t="s">
        <v>1718</v>
      </c>
      <c r="E25" t="s">
        <v>1719</v>
      </c>
      <c r="F25" t="s">
        <v>1720</v>
      </c>
      <c r="G25" t="s">
        <v>1720</v>
      </c>
      <c r="H25" t="s">
        <v>1721</v>
      </c>
    </row>
    <row r="26" spans="1:8" x14ac:dyDescent="0.35">
      <c r="A26">
        <v>25</v>
      </c>
      <c r="B26" t="s">
        <v>1722</v>
      </c>
      <c r="C26" t="s">
        <v>20</v>
      </c>
      <c r="D26" t="s">
        <v>1723</v>
      </c>
      <c r="E26" t="s">
        <v>1724</v>
      </c>
      <c r="F26" t="s">
        <v>1725</v>
      </c>
      <c r="G26" t="s">
        <v>1726</v>
      </c>
      <c r="H26" t="s">
        <v>1727</v>
      </c>
    </row>
    <row r="27" spans="1:8" x14ac:dyDescent="0.35">
      <c r="A27">
        <v>26</v>
      </c>
      <c r="B27" t="s">
        <v>1728</v>
      </c>
      <c r="C27" t="s">
        <v>52</v>
      </c>
      <c r="D27" t="s">
        <v>1729</v>
      </c>
      <c r="E27" t="s">
        <v>1730</v>
      </c>
      <c r="F27" t="s">
        <v>1731</v>
      </c>
      <c r="G27" t="s">
        <v>1731</v>
      </c>
      <c r="H27" t="s">
        <v>1732</v>
      </c>
    </row>
    <row r="28" spans="1:8" x14ac:dyDescent="0.35">
      <c r="A28">
        <v>27</v>
      </c>
      <c r="B28" t="s">
        <v>1733</v>
      </c>
      <c r="C28" t="s">
        <v>54</v>
      </c>
      <c r="D28" t="s">
        <v>1734</v>
      </c>
      <c r="E28" t="s">
        <v>1735</v>
      </c>
      <c r="F28" t="s">
        <v>1736</v>
      </c>
      <c r="G28" t="s">
        <v>1737</v>
      </c>
      <c r="H28" t="s">
        <v>1738</v>
      </c>
    </row>
    <row r="29" spans="1:8" x14ac:dyDescent="0.35">
      <c r="A29">
        <v>28</v>
      </c>
      <c r="B29" t="s">
        <v>1739</v>
      </c>
      <c r="C29" t="s">
        <v>56</v>
      </c>
      <c r="D29" t="s">
        <v>1740</v>
      </c>
      <c r="E29" t="s">
        <v>1741</v>
      </c>
      <c r="F29" t="s">
        <v>1742</v>
      </c>
      <c r="G29" t="s">
        <v>1743</v>
      </c>
      <c r="H29" t="s">
        <v>1744</v>
      </c>
    </row>
    <row r="30" spans="1:8" x14ac:dyDescent="0.35">
      <c r="A30">
        <v>29</v>
      </c>
      <c r="B30" t="s">
        <v>1745</v>
      </c>
      <c r="C30" t="s">
        <v>58</v>
      </c>
      <c r="D30" t="s">
        <v>1746</v>
      </c>
      <c r="E30" t="s">
        <v>1747</v>
      </c>
      <c r="F30" t="s">
        <v>1748</v>
      </c>
      <c r="G30" t="s">
        <v>1748</v>
      </c>
      <c r="H30" t="s">
        <v>1749</v>
      </c>
    </row>
    <row r="31" spans="1:8" x14ac:dyDescent="0.35">
      <c r="A31">
        <v>30</v>
      </c>
      <c r="B31" t="s">
        <v>1750</v>
      </c>
      <c r="C31" t="s">
        <v>60</v>
      </c>
      <c r="D31" t="s">
        <v>1751</v>
      </c>
      <c r="E31" t="s">
        <v>1752</v>
      </c>
      <c r="F31" t="s">
        <v>1753</v>
      </c>
      <c r="G31" t="s">
        <v>1754</v>
      </c>
      <c r="H31" t="s">
        <v>1755</v>
      </c>
    </row>
    <row r="32" spans="1:8" x14ac:dyDescent="0.35">
      <c r="A32">
        <v>31</v>
      </c>
      <c r="B32" t="s">
        <v>1756</v>
      </c>
      <c r="C32" t="s">
        <v>62</v>
      </c>
      <c r="D32" t="s">
        <v>1757</v>
      </c>
      <c r="E32" t="s">
        <v>1758</v>
      </c>
      <c r="F32" t="s">
        <v>1759</v>
      </c>
      <c r="G32" t="s">
        <v>1760</v>
      </c>
      <c r="H32" t="s">
        <v>1761</v>
      </c>
    </row>
    <row r="33" spans="1:8" x14ac:dyDescent="0.35">
      <c r="A33">
        <v>32</v>
      </c>
      <c r="B33" t="s">
        <v>1762</v>
      </c>
      <c r="C33" t="s">
        <v>64</v>
      </c>
      <c r="D33" t="s">
        <v>1763</v>
      </c>
      <c r="E33" t="s">
        <v>1764</v>
      </c>
      <c r="F33" t="s">
        <v>1765</v>
      </c>
      <c r="G33" t="s">
        <v>1766</v>
      </c>
      <c r="H33" t="s">
        <v>1767</v>
      </c>
    </row>
    <row r="34" spans="1:8" x14ac:dyDescent="0.35">
      <c r="A34">
        <v>33</v>
      </c>
      <c r="B34" t="s">
        <v>1768</v>
      </c>
      <c r="C34" t="s">
        <v>66</v>
      </c>
      <c r="D34" t="s">
        <v>1769</v>
      </c>
      <c r="E34" t="s">
        <v>1770</v>
      </c>
      <c r="F34" t="s">
        <v>1771</v>
      </c>
      <c r="G34" t="s">
        <v>1771</v>
      </c>
      <c r="H34" t="s">
        <v>1772</v>
      </c>
    </row>
    <row r="35" spans="1:8" x14ac:dyDescent="0.35">
      <c r="A35">
        <v>34</v>
      </c>
      <c r="B35" t="s">
        <v>1773</v>
      </c>
      <c r="C35" t="s">
        <v>68</v>
      </c>
      <c r="D35" t="s">
        <v>1774</v>
      </c>
      <c r="E35" t="s">
        <v>1775</v>
      </c>
      <c r="F35" t="s">
        <v>1776</v>
      </c>
      <c r="G35" t="s">
        <v>1776</v>
      </c>
      <c r="H35" t="s">
        <v>1777</v>
      </c>
    </row>
    <row r="36" spans="1:8" x14ac:dyDescent="0.35">
      <c r="A36">
        <v>35</v>
      </c>
      <c r="B36" t="s">
        <v>1778</v>
      </c>
      <c r="C36" t="s">
        <v>70</v>
      </c>
      <c r="D36" t="s">
        <v>1779</v>
      </c>
      <c r="E36" t="s">
        <v>1780</v>
      </c>
      <c r="F36" t="s">
        <v>1781</v>
      </c>
      <c r="G36" t="s">
        <v>1781</v>
      </c>
      <c r="H36" t="s">
        <v>1782</v>
      </c>
    </row>
    <row r="37" spans="1:8" x14ac:dyDescent="0.35">
      <c r="A37">
        <v>36</v>
      </c>
      <c r="B37" t="s">
        <v>1783</v>
      </c>
      <c r="C37" t="s">
        <v>72</v>
      </c>
      <c r="D37" t="s">
        <v>1784</v>
      </c>
      <c r="E37" t="s">
        <v>1785</v>
      </c>
      <c r="F37" t="s">
        <v>1786</v>
      </c>
      <c r="G37" t="s">
        <v>1786</v>
      </c>
      <c r="H37" t="s">
        <v>1787</v>
      </c>
    </row>
    <row r="38" spans="1:8" x14ac:dyDescent="0.35">
      <c r="A38">
        <v>37</v>
      </c>
      <c r="B38" t="s">
        <v>1788</v>
      </c>
      <c r="C38" t="s">
        <v>74</v>
      </c>
      <c r="D38" t="s">
        <v>1789</v>
      </c>
      <c r="E38" t="s">
        <v>1730</v>
      </c>
      <c r="F38" t="s">
        <v>1790</v>
      </c>
      <c r="G38" t="s">
        <v>1790</v>
      </c>
      <c r="H38" t="s">
        <v>1791</v>
      </c>
    </row>
    <row r="39" spans="1:8" x14ac:dyDescent="0.35">
      <c r="A39">
        <v>38</v>
      </c>
      <c r="B39" t="s">
        <v>1792</v>
      </c>
      <c r="C39" t="s">
        <v>76</v>
      </c>
      <c r="D39" t="s">
        <v>1793</v>
      </c>
      <c r="E39" t="s">
        <v>1794</v>
      </c>
      <c r="F39" t="s">
        <v>1795</v>
      </c>
      <c r="G39" t="s">
        <v>1795</v>
      </c>
      <c r="H39" t="s">
        <v>1796</v>
      </c>
    </row>
    <row r="40" spans="1:8" x14ac:dyDescent="0.35">
      <c r="A40">
        <v>39</v>
      </c>
      <c r="B40" t="s">
        <v>1797</v>
      </c>
      <c r="C40" t="s">
        <v>78</v>
      </c>
      <c r="D40" t="s">
        <v>1798</v>
      </c>
      <c r="E40" t="s">
        <v>1799</v>
      </c>
      <c r="F40" t="s">
        <v>1800</v>
      </c>
      <c r="G40" t="s">
        <v>1800</v>
      </c>
      <c r="H40" t="s">
        <v>1801</v>
      </c>
    </row>
    <row r="41" spans="1:8" x14ac:dyDescent="0.35">
      <c r="A41">
        <v>40</v>
      </c>
      <c r="B41" t="s">
        <v>1802</v>
      </c>
      <c r="C41" t="s">
        <v>80</v>
      </c>
      <c r="D41" t="s">
        <v>1803</v>
      </c>
      <c r="E41" t="s">
        <v>1804</v>
      </c>
      <c r="F41" t="s">
        <v>1805</v>
      </c>
      <c r="G41" t="s">
        <v>1805</v>
      </c>
      <c r="H41" t="s">
        <v>1806</v>
      </c>
    </row>
    <row r="42" spans="1:8" x14ac:dyDescent="0.35">
      <c r="A42">
        <v>41</v>
      </c>
      <c r="B42" t="s">
        <v>1807</v>
      </c>
      <c r="C42" t="s">
        <v>82</v>
      </c>
      <c r="D42" t="s">
        <v>1808</v>
      </c>
      <c r="E42" t="s">
        <v>1809</v>
      </c>
      <c r="F42" t="s">
        <v>1810</v>
      </c>
      <c r="G42" t="s">
        <v>1810</v>
      </c>
      <c r="H42" t="s">
        <v>1811</v>
      </c>
    </row>
    <row r="43" spans="1:8" x14ac:dyDescent="0.35">
      <c r="A43">
        <v>42</v>
      </c>
      <c r="B43" t="s">
        <v>1812</v>
      </c>
      <c r="C43" t="s">
        <v>84</v>
      </c>
      <c r="D43" t="s">
        <v>1813</v>
      </c>
      <c r="E43" t="s">
        <v>1692</v>
      </c>
      <c r="F43" t="s">
        <v>1814</v>
      </c>
      <c r="G43" t="s">
        <v>1814</v>
      </c>
      <c r="H43" t="s">
        <v>1815</v>
      </c>
    </row>
    <row r="44" spans="1:8" x14ac:dyDescent="0.35">
      <c r="A44">
        <v>43</v>
      </c>
      <c r="B44" t="s">
        <v>1816</v>
      </c>
      <c r="C44" t="s">
        <v>76</v>
      </c>
      <c r="D44" t="s">
        <v>1817</v>
      </c>
      <c r="E44" t="s">
        <v>1818</v>
      </c>
      <c r="F44" t="s">
        <v>1819</v>
      </c>
      <c r="G44" t="s">
        <v>1819</v>
      </c>
      <c r="H44" t="s">
        <v>1820</v>
      </c>
    </row>
    <row r="45" spans="1:8" x14ac:dyDescent="0.35">
      <c r="A45">
        <v>44</v>
      </c>
      <c r="B45" t="s">
        <v>1821</v>
      </c>
      <c r="C45" t="s">
        <v>87</v>
      </c>
      <c r="D45" t="s">
        <v>1822</v>
      </c>
      <c r="E45" t="s">
        <v>1823</v>
      </c>
      <c r="F45" t="s">
        <v>1824</v>
      </c>
      <c r="G45" t="s">
        <v>1825</v>
      </c>
      <c r="H45" t="s">
        <v>1826</v>
      </c>
    </row>
    <row r="46" spans="1:8" x14ac:dyDescent="0.35">
      <c r="A46">
        <v>45</v>
      </c>
      <c r="B46" t="s">
        <v>1827</v>
      </c>
      <c r="C46" t="s">
        <v>84</v>
      </c>
      <c r="D46" t="s">
        <v>1828</v>
      </c>
      <c r="E46" t="s">
        <v>1829</v>
      </c>
      <c r="F46" t="s">
        <v>1830</v>
      </c>
      <c r="G46" t="s">
        <v>1830</v>
      </c>
      <c r="H46" t="s">
        <v>1831</v>
      </c>
    </row>
    <row r="47" spans="1:8" x14ac:dyDescent="0.35">
      <c r="A47">
        <v>46</v>
      </c>
      <c r="B47" t="s">
        <v>1832</v>
      </c>
      <c r="C47" t="s">
        <v>76</v>
      </c>
      <c r="D47" t="s">
        <v>1833</v>
      </c>
      <c r="E47" t="s">
        <v>1834</v>
      </c>
      <c r="F47" t="s">
        <v>1835</v>
      </c>
      <c r="G47" t="s">
        <v>1835</v>
      </c>
      <c r="H47" t="s">
        <v>1836</v>
      </c>
    </row>
    <row r="48" spans="1:8" x14ac:dyDescent="0.35">
      <c r="A48">
        <v>47</v>
      </c>
      <c r="B48" t="s">
        <v>1837</v>
      </c>
      <c r="C48" t="s">
        <v>91</v>
      </c>
      <c r="D48" t="s">
        <v>1838</v>
      </c>
      <c r="E48" t="s">
        <v>1839</v>
      </c>
      <c r="F48" t="s">
        <v>1840</v>
      </c>
      <c r="G48" t="s">
        <v>1840</v>
      </c>
      <c r="H48" t="s">
        <v>1841</v>
      </c>
    </row>
    <row r="49" spans="1:8" x14ac:dyDescent="0.35">
      <c r="A49">
        <v>48</v>
      </c>
      <c r="B49" t="s">
        <v>1842</v>
      </c>
      <c r="C49" t="s">
        <v>93</v>
      </c>
      <c r="D49" t="s">
        <v>1843</v>
      </c>
      <c r="E49" t="s">
        <v>1844</v>
      </c>
      <c r="F49" t="s">
        <v>1845</v>
      </c>
      <c r="G49" t="s">
        <v>1845</v>
      </c>
      <c r="H49" t="s">
        <v>1846</v>
      </c>
    </row>
    <row r="50" spans="1:8" x14ac:dyDescent="0.35">
      <c r="A50">
        <v>49</v>
      </c>
      <c r="B50" t="s">
        <v>1847</v>
      </c>
      <c r="C50" t="s">
        <v>93</v>
      </c>
      <c r="D50" t="s">
        <v>1848</v>
      </c>
      <c r="E50" t="s">
        <v>1804</v>
      </c>
      <c r="F50" t="s">
        <v>1849</v>
      </c>
      <c r="G50" t="s">
        <v>1849</v>
      </c>
      <c r="H50" t="s">
        <v>1850</v>
      </c>
    </row>
    <row r="51" spans="1:8" x14ac:dyDescent="0.35">
      <c r="A51">
        <v>50</v>
      </c>
      <c r="B51" t="s">
        <v>1851</v>
      </c>
      <c r="C51" t="s">
        <v>76</v>
      </c>
      <c r="D51" t="s">
        <v>1852</v>
      </c>
      <c r="E51" t="s">
        <v>1853</v>
      </c>
      <c r="F51" t="s">
        <v>1854</v>
      </c>
      <c r="G51" t="s">
        <v>1854</v>
      </c>
      <c r="H51" t="s">
        <v>1855</v>
      </c>
    </row>
    <row r="52" spans="1:8" x14ac:dyDescent="0.35">
      <c r="A52">
        <v>51</v>
      </c>
      <c r="B52" t="s">
        <v>1856</v>
      </c>
      <c r="C52" t="s">
        <v>93</v>
      </c>
      <c r="D52" t="s">
        <v>1857</v>
      </c>
      <c r="E52" t="s">
        <v>1596</v>
      </c>
      <c r="F52" t="s">
        <v>1858</v>
      </c>
      <c r="G52" t="s">
        <v>1858</v>
      </c>
      <c r="H52" t="s">
        <v>1859</v>
      </c>
    </row>
    <row r="53" spans="1:8" x14ac:dyDescent="0.35">
      <c r="A53">
        <v>52</v>
      </c>
      <c r="B53" t="s">
        <v>1860</v>
      </c>
      <c r="C53" t="s">
        <v>98</v>
      </c>
      <c r="D53" t="s">
        <v>1861</v>
      </c>
      <c r="E53" t="s">
        <v>1692</v>
      </c>
      <c r="F53" t="s">
        <v>1862</v>
      </c>
      <c r="G53" t="s">
        <v>1862</v>
      </c>
      <c r="H53" t="s">
        <v>1863</v>
      </c>
    </row>
    <row r="54" spans="1:8" x14ac:dyDescent="0.35">
      <c r="A54">
        <v>53</v>
      </c>
      <c r="B54" t="s">
        <v>1864</v>
      </c>
      <c r="C54" t="s">
        <v>100</v>
      </c>
      <c r="D54" t="s">
        <v>1865</v>
      </c>
      <c r="E54" t="s">
        <v>1730</v>
      </c>
      <c r="F54" t="s">
        <v>1866</v>
      </c>
      <c r="G54" t="s">
        <v>1866</v>
      </c>
      <c r="H54" t="s">
        <v>1867</v>
      </c>
    </row>
    <row r="55" spans="1:8" x14ac:dyDescent="0.35">
      <c r="A55">
        <v>54</v>
      </c>
      <c r="B55" t="s">
        <v>1868</v>
      </c>
      <c r="C55" t="s">
        <v>102</v>
      </c>
      <c r="D55" t="s">
        <v>1869</v>
      </c>
      <c r="E55" t="s">
        <v>1596</v>
      </c>
      <c r="F55" t="s">
        <v>1870</v>
      </c>
      <c r="G55" t="s">
        <v>1871</v>
      </c>
      <c r="H55" t="s">
        <v>1872</v>
      </c>
    </row>
    <row r="56" spans="1:8" x14ac:dyDescent="0.35">
      <c r="A56">
        <v>55</v>
      </c>
      <c r="B56" t="s">
        <v>1873</v>
      </c>
      <c r="C56" t="s">
        <v>100</v>
      </c>
      <c r="D56" t="s">
        <v>1874</v>
      </c>
      <c r="E56" t="s">
        <v>1804</v>
      </c>
      <c r="F56" t="s">
        <v>1875</v>
      </c>
      <c r="G56" t="s">
        <v>1875</v>
      </c>
      <c r="H56" t="s">
        <v>1876</v>
      </c>
    </row>
    <row r="57" spans="1:8" x14ac:dyDescent="0.35">
      <c r="A57">
        <v>56</v>
      </c>
      <c r="B57" t="s">
        <v>1877</v>
      </c>
      <c r="C57" t="s">
        <v>105</v>
      </c>
      <c r="D57" t="s">
        <v>1878</v>
      </c>
      <c r="E57" t="s">
        <v>1879</v>
      </c>
      <c r="F57" t="s">
        <v>1880</v>
      </c>
      <c r="G57" t="s">
        <v>1880</v>
      </c>
      <c r="H57" t="s">
        <v>1881</v>
      </c>
    </row>
    <row r="58" spans="1:8" x14ac:dyDescent="0.35">
      <c r="A58">
        <v>57</v>
      </c>
      <c r="B58" t="s">
        <v>1877</v>
      </c>
      <c r="C58" t="s">
        <v>105</v>
      </c>
      <c r="D58" t="s">
        <v>1878</v>
      </c>
      <c r="E58" t="s">
        <v>1879</v>
      </c>
      <c r="F58" t="s">
        <v>1880</v>
      </c>
      <c r="G58" t="s">
        <v>1880</v>
      </c>
      <c r="H58" t="s">
        <v>1881</v>
      </c>
    </row>
    <row r="59" spans="1:8" x14ac:dyDescent="0.35">
      <c r="A59">
        <v>58</v>
      </c>
      <c r="B59" t="s">
        <v>1882</v>
      </c>
      <c r="C59" t="s">
        <v>108</v>
      </c>
      <c r="D59" t="s">
        <v>1883</v>
      </c>
      <c r="E59" t="s">
        <v>1884</v>
      </c>
      <c r="F59" t="s">
        <v>1883</v>
      </c>
      <c r="G59" t="s">
        <v>1883</v>
      </c>
      <c r="H59" t="s">
        <v>1885</v>
      </c>
    </row>
    <row r="60" spans="1:8" x14ac:dyDescent="0.35">
      <c r="A60">
        <v>59</v>
      </c>
      <c r="B60" t="s">
        <v>1886</v>
      </c>
      <c r="C60" t="s">
        <v>110</v>
      </c>
      <c r="D60" t="s">
        <v>1887</v>
      </c>
      <c r="E60" t="s">
        <v>1888</v>
      </c>
      <c r="F60" t="s">
        <v>1887</v>
      </c>
      <c r="G60" t="s">
        <v>1889</v>
      </c>
      <c r="H60" t="s">
        <v>1890</v>
      </c>
    </row>
    <row r="61" spans="1:8" x14ac:dyDescent="0.35">
      <c r="A61">
        <v>60</v>
      </c>
      <c r="B61" t="s">
        <v>1891</v>
      </c>
      <c r="C61" t="s">
        <v>112</v>
      </c>
      <c r="D61" t="s">
        <v>1892</v>
      </c>
      <c r="E61" t="s">
        <v>1893</v>
      </c>
      <c r="F61" t="s">
        <v>1894</v>
      </c>
      <c r="G61" t="s">
        <v>1894</v>
      </c>
      <c r="H61" t="s">
        <v>1895</v>
      </c>
    </row>
    <row r="62" spans="1:8" x14ac:dyDescent="0.35">
      <c r="A62">
        <v>61</v>
      </c>
      <c r="B62" t="s">
        <v>1896</v>
      </c>
      <c r="C62" t="s">
        <v>114</v>
      </c>
      <c r="D62" t="s">
        <v>1897</v>
      </c>
      <c r="E62" t="s">
        <v>1596</v>
      </c>
      <c r="F62" t="s">
        <v>1897</v>
      </c>
      <c r="G62" t="s">
        <v>1897</v>
      </c>
      <c r="H62" t="s">
        <v>1898</v>
      </c>
    </row>
    <row r="63" spans="1:8" x14ac:dyDescent="0.35">
      <c r="A63">
        <v>62</v>
      </c>
      <c r="B63" t="s">
        <v>1899</v>
      </c>
      <c r="C63" t="s">
        <v>116</v>
      </c>
      <c r="D63" t="s">
        <v>1900</v>
      </c>
      <c r="E63" t="s">
        <v>1829</v>
      </c>
      <c r="F63" t="s">
        <v>1901</v>
      </c>
      <c r="G63" t="s">
        <v>1902</v>
      </c>
      <c r="H63" t="s">
        <v>1903</v>
      </c>
    </row>
    <row r="64" spans="1:8" x14ac:dyDescent="0.35">
      <c r="A64">
        <v>63</v>
      </c>
      <c r="B64" t="s">
        <v>1899</v>
      </c>
      <c r="C64" t="s">
        <v>116</v>
      </c>
      <c r="D64" t="s">
        <v>1900</v>
      </c>
      <c r="E64" t="s">
        <v>1829</v>
      </c>
      <c r="F64" t="s">
        <v>1901</v>
      </c>
      <c r="G64" t="s">
        <v>1902</v>
      </c>
      <c r="H64" t="s">
        <v>1903</v>
      </c>
    </row>
    <row r="65" spans="1:8" x14ac:dyDescent="0.35">
      <c r="A65">
        <v>64</v>
      </c>
      <c r="B65" t="s">
        <v>1904</v>
      </c>
      <c r="C65" t="s">
        <v>119</v>
      </c>
      <c r="D65" t="s">
        <v>1905</v>
      </c>
      <c r="E65" t="s">
        <v>1906</v>
      </c>
      <c r="F65" t="s">
        <v>1907</v>
      </c>
      <c r="G65" t="s">
        <v>1907</v>
      </c>
      <c r="H65" t="s">
        <v>1908</v>
      </c>
    </row>
    <row r="66" spans="1:8" x14ac:dyDescent="0.35">
      <c r="A66">
        <v>65</v>
      </c>
      <c r="B66" t="s">
        <v>1909</v>
      </c>
      <c r="C66" t="s">
        <v>121</v>
      </c>
      <c r="D66" t="s">
        <v>1910</v>
      </c>
      <c r="E66" t="s">
        <v>1652</v>
      </c>
      <c r="F66" t="s">
        <v>1911</v>
      </c>
      <c r="G66" t="s">
        <v>1911</v>
      </c>
      <c r="H66" t="s">
        <v>1912</v>
      </c>
    </row>
    <row r="67" spans="1:8" x14ac:dyDescent="0.35">
      <c r="A67">
        <v>66</v>
      </c>
      <c r="B67" t="s">
        <v>1913</v>
      </c>
      <c r="C67" t="s">
        <v>123</v>
      </c>
      <c r="D67" t="s">
        <v>1914</v>
      </c>
      <c r="E67" t="s">
        <v>1915</v>
      </c>
      <c r="F67" t="s">
        <v>1916</v>
      </c>
      <c r="G67" t="s">
        <v>1916</v>
      </c>
      <c r="H67" t="s">
        <v>1917</v>
      </c>
    </row>
    <row r="68" spans="1:8" x14ac:dyDescent="0.35">
      <c r="A68">
        <v>67</v>
      </c>
      <c r="B68" t="s">
        <v>1918</v>
      </c>
      <c r="C68" t="s">
        <v>125</v>
      </c>
      <c r="D68" t="s">
        <v>1919</v>
      </c>
      <c r="E68" t="s">
        <v>1920</v>
      </c>
      <c r="F68" t="s">
        <v>1921</v>
      </c>
      <c r="G68" t="s">
        <v>1921</v>
      </c>
      <c r="H68" t="s">
        <v>1922</v>
      </c>
    </row>
    <row r="69" spans="1:8" x14ac:dyDescent="0.35">
      <c r="A69">
        <v>68</v>
      </c>
      <c r="B69" t="s">
        <v>1923</v>
      </c>
      <c r="C69" t="s">
        <v>127</v>
      </c>
      <c r="D69" t="s">
        <v>1924</v>
      </c>
      <c r="E69" t="s">
        <v>1624</v>
      </c>
      <c r="F69" t="s">
        <v>1925</v>
      </c>
      <c r="G69" t="s">
        <v>1925</v>
      </c>
      <c r="H69" t="s">
        <v>1926</v>
      </c>
    </row>
    <row r="70" spans="1:8" x14ac:dyDescent="0.35">
      <c r="A70">
        <v>69</v>
      </c>
      <c r="B70" t="s">
        <v>1927</v>
      </c>
      <c r="C70" t="s">
        <v>129</v>
      </c>
      <c r="D70" t="s">
        <v>1928</v>
      </c>
      <c r="E70" t="s">
        <v>1929</v>
      </c>
      <c r="F70" t="s">
        <v>1930</v>
      </c>
      <c r="G70" t="s">
        <v>1931</v>
      </c>
      <c r="H70" t="s">
        <v>1932</v>
      </c>
    </row>
    <row r="71" spans="1:8" x14ac:dyDescent="0.35">
      <c r="A71">
        <v>70</v>
      </c>
      <c r="B71" t="s">
        <v>1933</v>
      </c>
      <c r="C71" t="s">
        <v>93</v>
      </c>
      <c r="D71" t="s">
        <v>1934</v>
      </c>
      <c r="E71" t="s">
        <v>1596</v>
      </c>
      <c r="F71" t="s">
        <v>1935</v>
      </c>
      <c r="G71" t="s">
        <v>1935</v>
      </c>
      <c r="H71" t="s">
        <v>1936</v>
      </c>
    </row>
    <row r="72" spans="1:8" x14ac:dyDescent="0.35">
      <c r="A72">
        <v>71</v>
      </c>
      <c r="B72" t="s">
        <v>1933</v>
      </c>
      <c r="C72" t="s">
        <v>76</v>
      </c>
      <c r="D72" t="s">
        <v>1934</v>
      </c>
      <c r="E72" t="s">
        <v>1596</v>
      </c>
      <c r="F72" t="s">
        <v>1935</v>
      </c>
      <c r="G72" t="s">
        <v>1935</v>
      </c>
      <c r="H72" t="s">
        <v>1936</v>
      </c>
    </row>
    <row r="73" spans="1:8" x14ac:dyDescent="0.35">
      <c r="A73">
        <v>72</v>
      </c>
      <c r="B73" t="s">
        <v>1937</v>
      </c>
      <c r="C73" t="s">
        <v>133</v>
      </c>
      <c r="D73" t="s">
        <v>1938</v>
      </c>
      <c r="E73" t="s">
        <v>1596</v>
      </c>
      <c r="F73" t="s">
        <v>1938</v>
      </c>
      <c r="G73" t="s">
        <v>1938</v>
      </c>
      <c r="H73" t="s">
        <v>1939</v>
      </c>
    </row>
    <row r="74" spans="1:8" x14ac:dyDescent="0.35">
      <c r="A74">
        <v>73</v>
      </c>
      <c r="B74" t="s">
        <v>1940</v>
      </c>
      <c r="C74" t="s">
        <v>135</v>
      </c>
      <c r="D74" t="s">
        <v>1941</v>
      </c>
      <c r="E74" t="s">
        <v>1692</v>
      </c>
      <c r="F74" t="s">
        <v>1942</v>
      </c>
      <c r="G74" t="s">
        <v>1942</v>
      </c>
      <c r="H74" t="s">
        <v>1943</v>
      </c>
    </row>
    <row r="75" spans="1:8" x14ac:dyDescent="0.35">
      <c r="A75">
        <v>74</v>
      </c>
      <c r="B75" t="s">
        <v>1944</v>
      </c>
      <c r="C75" t="s">
        <v>137</v>
      </c>
      <c r="D75" t="s">
        <v>1945</v>
      </c>
      <c r="E75" t="s">
        <v>1946</v>
      </c>
      <c r="F75" t="s">
        <v>1947</v>
      </c>
      <c r="G75" t="s">
        <v>1947</v>
      </c>
      <c r="H75" t="s">
        <v>1948</v>
      </c>
    </row>
    <row r="76" spans="1:8" x14ac:dyDescent="0.35">
      <c r="A76">
        <v>75</v>
      </c>
      <c r="B76" t="s">
        <v>1949</v>
      </c>
      <c r="C76" t="s">
        <v>139</v>
      </c>
      <c r="D76" t="s">
        <v>1950</v>
      </c>
      <c r="E76" t="s">
        <v>1951</v>
      </c>
      <c r="F76" t="s">
        <v>1952</v>
      </c>
      <c r="G76" t="s">
        <v>1952</v>
      </c>
      <c r="H76" t="s">
        <v>1953</v>
      </c>
    </row>
    <row r="77" spans="1:8" x14ac:dyDescent="0.35">
      <c r="A77">
        <v>76</v>
      </c>
      <c r="B77" t="s">
        <v>1954</v>
      </c>
      <c r="C77" t="s">
        <v>141</v>
      </c>
      <c r="D77" t="s">
        <v>1955</v>
      </c>
      <c r="E77" t="s">
        <v>1730</v>
      </c>
      <c r="F77" t="s">
        <v>1956</v>
      </c>
      <c r="G77" t="s">
        <v>1956</v>
      </c>
      <c r="H77" t="s">
        <v>1957</v>
      </c>
    </row>
    <row r="78" spans="1:8" x14ac:dyDescent="0.35">
      <c r="A78">
        <v>77</v>
      </c>
      <c r="B78" t="s">
        <v>1958</v>
      </c>
      <c r="C78" t="s">
        <v>143</v>
      </c>
      <c r="D78" t="s">
        <v>1959</v>
      </c>
      <c r="E78" t="s">
        <v>1893</v>
      </c>
      <c r="F78" t="s">
        <v>1960</v>
      </c>
      <c r="G78" t="s">
        <v>1960</v>
      </c>
      <c r="H78" t="s">
        <v>1961</v>
      </c>
    </row>
    <row r="79" spans="1:8" x14ac:dyDescent="0.35">
      <c r="A79">
        <v>78</v>
      </c>
      <c r="B79" t="s">
        <v>1962</v>
      </c>
      <c r="C79" t="s">
        <v>143</v>
      </c>
      <c r="D79" t="s">
        <v>1963</v>
      </c>
      <c r="E79" t="s">
        <v>1964</v>
      </c>
      <c r="F79" t="s">
        <v>1965</v>
      </c>
      <c r="G79" t="s">
        <v>1965</v>
      </c>
      <c r="H79" t="s">
        <v>1966</v>
      </c>
    </row>
    <row r="80" spans="1:8" x14ac:dyDescent="0.35">
      <c r="A80">
        <v>79</v>
      </c>
      <c r="B80" t="s">
        <v>1967</v>
      </c>
      <c r="C80" t="s">
        <v>143</v>
      </c>
      <c r="D80" t="s">
        <v>1968</v>
      </c>
      <c r="E80" t="s">
        <v>1893</v>
      </c>
      <c r="F80" t="s">
        <v>1969</v>
      </c>
      <c r="G80" t="s">
        <v>1969</v>
      </c>
      <c r="H80" t="s">
        <v>1970</v>
      </c>
    </row>
    <row r="81" spans="1:8" x14ac:dyDescent="0.35">
      <c r="A81">
        <v>80</v>
      </c>
      <c r="B81" t="s">
        <v>1967</v>
      </c>
      <c r="C81" t="s">
        <v>147</v>
      </c>
      <c r="D81" t="s">
        <v>1968</v>
      </c>
      <c r="E81" t="s">
        <v>1893</v>
      </c>
      <c r="F81" t="s">
        <v>1969</v>
      </c>
      <c r="G81" t="s">
        <v>1969</v>
      </c>
      <c r="H81" t="s">
        <v>1970</v>
      </c>
    </row>
    <row r="82" spans="1:8" x14ac:dyDescent="0.35">
      <c r="A82">
        <v>81</v>
      </c>
      <c r="B82" t="s">
        <v>1971</v>
      </c>
      <c r="C82" t="s">
        <v>149</v>
      </c>
      <c r="D82" t="s">
        <v>1972</v>
      </c>
      <c r="E82" t="s">
        <v>1973</v>
      </c>
      <c r="F82" t="s">
        <v>1974</v>
      </c>
      <c r="G82" t="s">
        <v>1974</v>
      </c>
      <c r="H82" t="s">
        <v>1975</v>
      </c>
    </row>
    <row r="83" spans="1:8" x14ac:dyDescent="0.35">
      <c r="A83">
        <v>82</v>
      </c>
      <c r="B83" t="s">
        <v>1976</v>
      </c>
      <c r="C83" t="s">
        <v>143</v>
      </c>
      <c r="D83" t="s">
        <v>1977</v>
      </c>
      <c r="E83" t="s">
        <v>1724</v>
      </c>
      <c r="F83" t="s">
        <v>1978</v>
      </c>
      <c r="G83" t="s">
        <v>1978</v>
      </c>
      <c r="H83" t="s">
        <v>1979</v>
      </c>
    </row>
    <row r="84" spans="1:8" x14ac:dyDescent="0.35">
      <c r="A84">
        <v>83</v>
      </c>
      <c r="B84" t="s">
        <v>1980</v>
      </c>
      <c r="C84" t="s">
        <v>143</v>
      </c>
      <c r="D84" t="s">
        <v>1981</v>
      </c>
      <c r="E84" t="s">
        <v>1692</v>
      </c>
      <c r="F84" t="s">
        <v>1982</v>
      </c>
      <c r="G84" t="s">
        <v>1982</v>
      </c>
      <c r="H84" t="s">
        <v>1983</v>
      </c>
    </row>
    <row r="85" spans="1:8" x14ac:dyDescent="0.35">
      <c r="A85">
        <v>84</v>
      </c>
      <c r="B85" t="s">
        <v>1984</v>
      </c>
      <c r="C85" t="s">
        <v>153</v>
      </c>
      <c r="D85" t="s">
        <v>1985</v>
      </c>
      <c r="E85" t="s">
        <v>1804</v>
      </c>
      <c r="F85" t="s">
        <v>1986</v>
      </c>
      <c r="G85" t="s">
        <v>1986</v>
      </c>
      <c r="H85" t="s">
        <v>1987</v>
      </c>
    </row>
    <row r="86" spans="1:8" x14ac:dyDescent="0.35">
      <c r="A86">
        <v>85</v>
      </c>
      <c r="B86" t="s">
        <v>1933</v>
      </c>
      <c r="C86" t="s">
        <v>155</v>
      </c>
      <c r="D86" t="s">
        <v>1934</v>
      </c>
      <c r="E86" t="s">
        <v>1596</v>
      </c>
      <c r="F86" t="s">
        <v>1935</v>
      </c>
      <c r="G86" t="s">
        <v>1935</v>
      </c>
      <c r="H86" t="s">
        <v>1936</v>
      </c>
    </row>
    <row r="87" spans="1:8" x14ac:dyDescent="0.35">
      <c r="A87">
        <v>86</v>
      </c>
      <c r="B87" t="s">
        <v>1988</v>
      </c>
      <c r="C87" t="s">
        <v>157</v>
      </c>
      <c r="D87" t="s">
        <v>1989</v>
      </c>
      <c r="E87" t="s">
        <v>1990</v>
      </c>
      <c r="F87" t="s">
        <v>1991</v>
      </c>
      <c r="G87" t="s">
        <v>1991</v>
      </c>
      <c r="H87" t="s">
        <v>1992</v>
      </c>
    </row>
    <row r="88" spans="1:8" x14ac:dyDescent="0.35">
      <c r="A88">
        <v>87</v>
      </c>
      <c r="B88" t="s">
        <v>1993</v>
      </c>
      <c r="C88" t="s">
        <v>159</v>
      </c>
      <c r="D88" t="s">
        <v>1994</v>
      </c>
      <c r="E88" t="s">
        <v>1735</v>
      </c>
      <c r="F88" t="s">
        <v>1995</v>
      </c>
      <c r="G88" t="s">
        <v>1995</v>
      </c>
      <c r="H88" t="s">
        <v>1996</v>
      </c>
    </row>
    <row r="89" spans="1:8" x14ac:dyDescent="0.35">
      <c r="A89">
        <v>88</v>
      </c>
      <c r="B89" t="s">
        <v>1997</v>
      </c>
      <c r="C89" t="s">
        <v>161</v>
      </c>
      <c r="D89" t="s">
        <v>1998</v>
      </c>
      <c r="E89" t="s">
        <v>1999</v>
      </c>
      <c r="F89" t="s">
        <v>2000</v>
      </c>
      <c r="G89" t="s">
        <v>2000</v>
      </c>
      <c r="H89" t="s">
        <v>2001</v>
      </c>
    </row>
    <row r="90" spans="1:8" x14ac:dyDescent="0.35">
      <c r="A90">
        <v>89</v>
      </c>
      <c r="B90" t="s">
        <v>2002</v>
      </c>
      <c r="C90" t="s">
        <v>102</v>
      </c>
      <c r="D90" t="s">
        <v>2003</v>
      </c>
      <c r="E90" t="s">
        <v>1613</v>
      </c>
      <c r="F90" t="s">
        <v>2004</v>
      </c>
      <c r="G90" t="s">
        <v>2004</v>
      </c>
      <c r="H90" t="s">
        <v>2005</v>
      </c>
    </row>
    <row r="91" spans="1:8" x14ac:dyDescent="0.35">
      <c r="A91">
        <v>90</v>
      </c>
      <c r="B91" t="s">
        <v>2006</v>
      </c>
      <c r="C91" t="s">
        <v>125</v>
      </c>
      <c r="D91" t="s">
        <v>2007</v>
      </c>
      <c r="E91" t="s">
        <v>2008</v>
      </c>
      <c r="F91" t="s">
        <v>2009</v>
      </c>
      <c r="G91" t="s">
        <v>2009</v>
      </c>
      <c r="H91" t="s">
        <v>2010</v>
      </c>
    </row>
    <row r="92" spans="1:8" x14ac:dyDescent="0.35">
      <c r="A92">
        <v>91</v>
      </c>
      <c r="B92" t="s">
        <v>2011</v>
      </c>
      <c r="C92" t="s">
        <v>137</v>
      </c>
      <c r="D92" t="s">
        <v>2012</v>
      </c>
      <c r="E92" t="s">
        <v>1613</v>
      </c>
      <c r="F92" t="s">
        <v>2013</v>
      </c>
      <c r="G92" t="s">
        <v>2014</v>
      </c>
      <c r="H92" t="s">
        <v>2015</v>
      </c>
    </row>
    <row r="93" spans="1:8" x14ac:dyDescent="0.35">
      <c r="A93">
        <v>92</v>
      </c>
      <c r="B93" t="s">
        <v>2016</v>
      </c>
      <c r="C93" t="s">
        <v>166</v>
      </c>
      <c r="D93" t="s">
        <v>2017</v>
      </c>
      <c r="E93" t="s">
        <v>1844</v>
      </c>
      <c r="F93" t="s">
        <v>2018</v>
      </c>
      <c r="G93" t="s">
        <v>2018</v>
      </c>
      <c r="H93" t="s">
        <v>2019</v>
      </c>
    </row>
    <row r="94" spans="1:8" x14ac:dyDescent="0.35">
      <c r="A94">
        <v>93</v>
      </c>
      <c r="B94" t="s">
        <v>2020</v>
      </c>
      <c r="C94" t="s">
        <v>168</v>
      </c>
      <c r="D94" t="s">
        <v>2021</v>
      </c>
      <c r="E94" t="s">
        <v>2022</v>
      </c>
      <c r="F94" t="s">
        <v>2023</v>
      </c>
      <c r="G94" t="s">
        <v>2024</v>
      </c>
      <c r="H94" t="s">
        <v>2025</v>
      </c>
    </row>
    <row r="95" spans="1:8" x14ac:dyDescent="0.35">
      <c r="A95">
        <v>94</v>
      </c>
      <c r="B95" t="s">
        <v>2026</v>
      </c>
      <c r="C95" t="s">
        <v>170</v>
      </c>
      <c r="D95" t="s">
        <v>2027</v>
      </c>
      <c r="E95" t="s">
        <v>1596</v>
      </c>
      <c r="F95" t="s">
        <v>2028</v>
      </c>
      <c r="G95" t="s">
        <v>2028</v>
      </c>
      <c r="H95" t="s">
        <v>2029</v>
      </c>
    </row>
    <row r="96" spans="1:8" x14ac:dyDescent="0.35">
      <c r="A96">
        <v>95</v>
      </c>
      <c r="B96" t="s">
        <v>2030</v>
      </c>
      <c r="C96" t="s">
        <v>172</v>
      </c>
      <c r="D96" t="s">
        <v>2031</v>
      </c>
      <c r="E96" t="s">
        <v>1652</v>
      </c>
      <c r="F96" t="s">
        <v>2032</v>
      </c>
      <c r="G96" t="s">
        <v>2032</v>
      </c>
      <c r="H96" t="s">
        <v>2033</v>
      </c>
    </row>
    <row r="97" spans="1:8" x14ac:dyDescent="0.35">
      <c r="A97">
        <v>96</v>
      </c>
      <c r="B97" t="s">
        <v>2034</v>
      </c>
      <c r="C97" t="s">
        <v>174</v>
      </c>
      <c r="D97" t="s">
        <v>2035</v>
      </c>
      <c r="E97" t="s">
        <v>2036</v>
      </c>
      <c r="F97" t="s">
        <v>2037</v>
      </c>
      <c r="G97" t="s">
        <v>2037</v>
      </c>
      <c r="H97" t="s">
        <v>2038</v>
      </c>
    </row>
    <row r="98" spans="1:8" x14ac:dyDescent="0.35">
      <c r="A98">
        <v>97</v>
      </c>
      <c r="B98" t="s">
        <v>2039</v>
      </c>
      <c r="C98" t="s">
        <v>176</v>
      </c>
      <c r="D98" t="s">
        <v>2040</v>
      </c>
      <c r="E98" t="s">
        <v>2041</v>
      </c>
      <c r="F98" t="s">
        <v>2042</v>
      </c>
      <c r="G98" t="s">
        <v>2043</v>
      </c>
      <c r="H98" t="s">
        <v>2044</v>
      </c>
    </row>
    <row r="99" spans="1:8" x14ac:dyDescent="0.35">
      <c r="A99">
        <v>98</v>
      </c>
      <c r="B99" t="s">
        <v>2045</v>
      </c>
      <c r="C99" t="s">
        <v>143</v>
      </c>
      <c r="D99" t="s">
        <v>2046</v>
      </c>
      <c r="E99" t="s">
        <v>1929</v>
      </c>
      <c r="F99" t="s">
        <v>2047</v>
      </c>
      <c r="G99" t="s">
        <v>2048</v>
      </c>
      <c r="H99" t="s">
        <v>2049</v>
      </c>
    </row>
    <row r="100" spans="1:8" x14ac:dyDescent="0.35">
      <c r="A100">
        <v>99</v>
      </c>
      <c r="B100" t="s">
        <v>2050</v>
      </c>
      <c r="C100" t="s">
        <v>137</v>
      </c>
      <c r="D100" t="s">
        <v>2051</v>
      </c>
      <c r="E100" t="s">
        <v>2052</v>
      </c>
      <c r="F100" t="s">
        <v>2053</v>
      </c>
      <c r="G100" t="s">
        <v>2053</v>
      </c>
      <c r="H100" t="s">
        <v>2054</v>
      </c>
    </row>
    <row r="101" spans="1:8" x14ac:dyDescent="0.35">
      <c r="A101">
        <v>100</v>
      </c>
      <c r="B101" t="s">
        <v>2055</v>
      </c>
      <c r="C101" t="s">
        <v>180</v>
      </c>
      <c r="D101" t="s">
        <v>2056</v>
      </c>
      <c r="E101" t="s">
        <v>2008</v>
      </c>
      <c r="F101" t="s">
        <v>2057</v>
      </c>
      <c r="G101" t="s">
        <v>2057</v>
      </c>
      <c r="H101" t="s">
        <v>2058</v>
      </c>
    </row>
    <row r="102" spans="1:8" x14ac:dyDescent="0.35">
      <c r="A102">
        <v>101</v>
      </c>
      <c r="B102" t="s">
        <v>2059</v>
      </c>
      <c r="C102" t="s">
        <v>182</v>
      </c>
      <c r="D102" t="s">
        <v>2060</v>
      </c>
      <c r="E102" t="s">
        <v>1692</v>
      </c>
      <c r="F102" t="s">
        <v>2061</v>
      </c>
      <c r="G102" t="s">
        <v>2061</v>
      </c>
      <c r="H102" t="s">
        <v>2062</v>
      </c>
    </row>
    <row r="103" spans="1:8" x14ac:dyDescent="0.35">
      <c r="A103">
        <v>102</v>
      </c>
      <c r="B103" t="s">
        <v>2063</v>
      </c>
      <c r="C103" t="s">
        <v>172</v>
      </c>
      <c r="D103" t="s">
        <v>2064</v>
      </c>
      <c r="E103" t="s">
        <v>1674</v>
      </c>
      <c r="F103" t="s">
        <v>2065</v>
      </c>
      <c r="G103" t="s">
        <v>2065</v>
      </c>
      <c r="H103" t="s">
        <v>2066</v>
      </c>
    </row>
    <row r="104" spans="1:8" x14ac:dyDescent="0.35">
      <c r="A104">
        <v>103</v>
      </c>
      <c r="B104" t="s">
        <v>2067</v>
      </c>
      <c r="C104" t="s">
        <v>185</v>
      </c>
      <c r="D104" t="s">
        <v>2068</v>
      </c>
      <c r="E104" t="s">
        <v>2069</v>
      </c>
      <c r="F104" t="s">
        <v>2070</v>
      </c>
      <c r="G104" t="s">
        <v>2070</v>
      </c>
      <c r="H104" t="s">
        <v>2071</v>
      </c>
    </row>
    <row r="105" spans="1:8" x14ac:dyDescent="0.35">
      <c r="A105">
        <v>104</v>
      </c>
      <c r="B105" t="s">
        <v>2072</v>
      </c>
      <c r="C105" t="s">
        <v>76</v>
      </c>
      <c r="D105" t="s">
        <v>2073</v>
      </c>
      <c r="E105" t="s">
        <v>2074</v>
      </c>
      <c r="F105" t="s">
        <v>2075</v>
      </c>
      <c r="G105" t="s">
        <v>2075</v>
      </c>
      <c r="H105" t="s">
        <v>2076</v>
      </c>
    </row>
    <row r="106" spans="1:8" x14ac:dyDescent="0.35">
      <c r="A106">
        <v>105</v>
      </c>
      <c r="B106" t="s">
        <v>2077</v>
      </c>
      <c r="C106" t="s">
        <v>182</v>
      </c>
      <c r="D106" t="s">
        <v>2078</v>
      </c>
      <c r="E106" t="s">
        <v>1809</v>
      </c>
      <c r="F106" t="s">
        <v>2078</v>
      </c>
      <c r="G106" t="s">
        <v>2078</v>
      </c>
      <c r="H106" t="s">
        <v>2079</v>
      </c>
    </row>
    <row r="107" spans="1:8" x14ac:dyDescent="0.35">
      <c r="A107">
        <v>106</v>
      </c>
      <c r="B107" t="s">
        <v>2080</v>
      </c>
      <c r="C107" t="s">
        <v>189</v>
      </c>
      <c r="D107" t="s">
        <v>2081</v>
      </c>
      <c r="E107" t="s">
        <v>2082</v>
      </c>
      <c r="F107" t="s">
        <v>2083</v>
      </c>
      <c r="G107" t="s">
        <v>2084</v>
      </c>
      <c r="H107" t="s">
        <v>2085</v>
      </c>
    </row>
    <row r="108" spans="1:8" x14ac:dyDescent="0.35">
      <c r="A108">
        <v>107</v>
      </c>
      <c r="B108" t="s">
        <v>2086</v>
      </c>
      <c r="C108" t="s">
        <v>93</v>
      </c>
      <c r="D108" t="s">
        <v>2087</v>
      </c>
      <c r="E108" t="s">
        <v>1596</v>
      </c>
      <c r="F108" t="s">
        <v>2088</v>
      </c>
      <c r="G108" t="s">
        <v>2088</v>
      </c>
      <c r="H108" t="s">
        <v>2089</v>
      </c>
    </row>
    <row r="109" spans="1:8" x14ac:dyDescent="0.35">
      <c r="A109">
        <v>108</v>
      </c>
      <c r="B109" t="s">
        <v>2090</v>
      </c>
      <c r="C109" t="s">
        <v>192</v>
      </c>
      <c r="D109" t="s">
        <v>2091</v>
      </c>
      <c r="E109" t="s">
        <v>2092</v>
      </c>
      <c r="F109" t="s">
        <v>2093</v>
      </c>
      <c r="G109" t="s">
        <v>2093</v>
      </c>
      <c r="H109" t="s">
        <v>2094</v>
      </c>
    </row>
    <row r="110" spans="1:8" x14ac:dyDescent="0.35">
      <c r="A110">
        <v>109</v>
      </c>
      <c r="B110" t="s">
        <v>2095</v>
      </c>
      <c r="C110" t="s">
        <v>93</v>
      </c>
      <c r="D110" t="s">
        <v>2096</v>
      </c>
      <c r="E110" t="s">
        <v>1730</v>
      </c>
      <c r="F110" t="s">
        <v>2097</v>
      </c>
      <c r="G110" t="s">
        <v>2097</v>
      </c>
      <c r="H110" t="s">
        <v>2098</v>
      </c>
    </row>
    <row r="111" spans="1:8" x14ac:dyDescent="0.35">
      <c r="A111">
        <v>110</v>
      </c>
      <c r="B111" t="s">
        <v>2099</v>
      </c>
      <c r="C111" t="s">
        <v>174</v>
      </c>
      <c r="D111" t="s">
        <v>2100</v>
      </c>
      <c r="E111" t="s">
        <v>1629</v>
      </c>
      <c r="F111" t="s">
        <v>2101</v>
      </c>
      <c r="G111" t="s">
        <v>2101</v>
      </c>
      <c r="H111" t="s">
        <v>2102</v>
      </c>
    </row>
    <row r="112" spans="1:8" x14ac:dyDescent="0.35">
      <c r="A112">
        <v>111</v>
      </c>
      <c r="B112" t="s">
        <v>2103</v>
      </c>
      <c r="C112" t="s">
        <v>196</v>
      </c>
      <c r="D112" t="s">
        <v>2104</v>
      </c>
      <c r="E112" t="s">
        <v>1735</v>
      </c>
      <c r="F112" t="s">
        <v>2105</v>
      </c>
      <c r="G112" t="s">
        <v>2105</v>
      </c>
      <c r="H112" t="s">
        <v>2106</v>
      </c>
    </row>
    <row r="113" spans="1:8" x14ac:dyDescent="0.35">
      <c r="A113">
        <v>112</v>
      </c>
      <c r="B113" t="s">
        <v>2107</v>
      </c>
      <c r="C113" t="s">
        <v>137</v>
      </c>
      <c r="D113" t="s">
        <v>2108</v>
      </c>
      <c r="E113" t="s">
        <v>2109</v>
      </c>
      <c r="F113" t="s">
        <v>2110</v>
      </c>
      <c r="G113" t="s">
        <v>2110</v>
      </c>
      <c r="H113" t="s">
        <v>2111</v>
      </c>
    </row>
    <row r="114" spans="1:8" x14ac:dyDescent="0.35">
      <c r="A114">
        <v>113</v>
      </c>
      <c r="B114" t="s">
        <v>2112</v>
      </c>
      <c r="C114" t="s">
        <v>137</v>
      </c>
      <c r="D114" t="s">
        <v>2113</v>
      </c>
      <c r="E114" t="s">
        <v>2114</v>
      </c>
      <c r="F114" t="s">
        <v>2115</v>
      </c>
      <c r="G114" t="s">
        <v>2115</v>
      </c>
      <c r="H114" t="s">
        <v>2116</v>
      </c>
    </row>
    <row r="115" spans="1:8" x14ac:dyDescent="0.35">
      <c r="A115">
        <v>114</v>
      </c>
      <c r="B115" t="s">
        <v>2117</v>
      </c>
      <c r="C115" t="s">
        <v>200</v>
      </c>
      <c r="D115" t="s">
        <v>2118</v>
      </c>
      <c r="E115" t="s">
        <v>1724</v>
      </c>
      <c r="F115" t="s">
        <v>2119</v>
      </c>
      <c r="G115" t="s">
        <v>2119</v>
      </c>
      <c r="H115" t="s">
        <v>2120</v>
      </c>
    </row>
    <row r="116" spans="1:8" x14ac:dyDescent="0.35">
      <c r="A116">
        <v>115</v>
      </c>
      <c r="B116" t="s">
        <v>2121</v>
      </c>
      <c r="C116" t="s">
        <v>202</v>
      </c>
      <c r="D116" t="s">
        <v>2122</v>
      </c>
      <c r="E116" t="s">
        <v>1596</v>
      </c>
      <c r="F116" t="s">
        <v>2123</v>
      </c>
      <c r="G116" t="s">
        <v>2123</v>
      </c>
      <c r="H116" t="s">
        <v>2124</v>
      </c>
    </row>
    <row r="117" spans="1:8" x14ac:dyDescent="0.35">
      <c r="A117">
        <v>116</v>
      </c>
      <c r="B117" t="s">
        <v>2125</v>
      </c>
      <c r="C117" t="s">
        <v>202</v>
      </c>
      <c r="D117" t="s">
        <v>2126</v>
      </c>
      <c r="E117" t="s">
        <v>1888</v>
      </c>
      <c r="F117" t="s">
        <v>2126</v>
      </c>
      <c r="G117" t="s">
        <v>2126</v>
      </c>
      <c r="H117" t="s">
        <v>2127</v>
      </c>
    </row>
    <row r="118" spans="1:8" x14ac:dyDescent="0.35">
      <c r="A118">
        <v>117</v>
      </c>
      <c r="B118" t="s">
        <v>2128</v>
      </c>
      <c r="C118" t="s">
        <v>205</v>
      </c>
      <c r="D118" t="s">
        <v>2129</v>
      </c>
      <c r="E118" t="s">
        <v>1730</v>
      </c>
      <c r="F118" t="s">
        <v>2130</v>
      </c>
      <c r="G118" t="s">
        <v>2130</v>
      </c>
      <c r="H118" t="s">
        <v>2131</v>
      </c>
    </row>
    <row r="119" spans="1:8" x14ac:dyDescent="0.35">
      <c r="A119">
        <v>118</v>
      </c>
      <c r="B119" t="s">
        <v>2132</v>
      </c>
      <c r="C119" t="s">
        <v>207</v>
      </c>
      <c r="D119" t="s">
        <v>2133</v>
      </c>
      <c r="E119" t="s">
        <v>2134</v>
      </c>
      <c r="F119" t="s">
        <v>2135</v>
      </c>
      <c r="G119" t="s">
        <v>2135</v>
      </c>
      <c r="H119" t="s">
        <v>2136</v>
      </c>
    </row>
    <row r="120" spans="1:8" x14ac:dyDescent="0.35">
      <c r="A120">
        <v>119</v>
      </c>
      <c r="B120" t="s">
        <v>2137</v>
      </c>
      <c r="C120" t="s">
        <v>209</v>
      </c>
      <c r="D120" t="s">
        <v>2138</v>
      </c>
      <c r="E120" t="s">
        <v>1844</v>
      </c>
      <c r="F120" t="s">
        <v>2139</v>
      </c>
      <c r="G120" t="s">
        <v>2139</v>
      </c>
      <c r="H120" t="s">
        <v>2140</v>
      </c>
    </row>
    <row r="121" spans="1:8" x14ac:dyDescent="0.35">
      <c r="A121">
        <v>120</v>
      </c>
      <c r="B121" t="s">
        <v>2141</v>
      </c>
      <c r="C121" t="s">
        <v>211</v>
      </c>
      <c r="D121" t="s">
        <v>2142</v>
      </c>
      <c r="E121" t="s">
        <v>2143</v>
      </c>
      <c r="F121" t="s">
        <v>2144</v>
      </c>
      <c r="G121" t="s">
        <v>2145</v>
      </c>
      <c r="H121" t="s">
        <v>2146</v>
      </c>
    </row>
    <row r="122" spans="1:8" x14ac:dyDescent="0.35">
      <c r="A122">
        <v>121</v>
      </c>
      <c r="B122" t="s">
        <v>2147</v>
      </c>
      <c r="C122" t="s">
        <v>213</v>
      </c>
      <c r="D122" t="s">
        <v>2148</v>
      </c>
      <c r="E122" t="s">
        <v>2149</v>
      </c>
      <c r="F122" t="s">
        <v>2150</v>
      </c>
      <c r="G122" t="s">
        <v>2150</v>
      </c>
      <c r="H122" t="s">
        <v>2151</v>
      </c>
    </row>
    <row r="123" spans="1:8" x14ac:dyDescent="0.35">
      <c r="A123">
        <v>122</v>
      </c>
      <c r="B123" t="s">
        <v>2152</v>
      </c>
      <c r="C123" t="s">
        <v>215</v>
      </c>
      <c r="D123" t="s">
        <v>2153</v>
      </c>
      <c r="E123" t="s">
        <v>2154</v>
      </c>
      <c r="F123" t="s">
        <v>2155</v>
      </c>
      <c r="G123" t="s">
        <v>2155</v>
      </c>
      <c r="H123" t="s">
        <v>2156</v>
      </c>
    </row>
    <row r="124" spans="1:8" x14ac:dyDescent="0.35">
      <c r="A124">
        <v>123</v>
      </c>
      <c r="B124" t="s">
        <v>2157</v>
      </c>
      <c r="C124" t="s">
        <v>217</v>
      </c>
      <c r="D124" t="s">
        <v>2158</v>
      </c>
      <c r="E124" t="s">
        <v>2159</v>
      </c>
      <c r="F124" t="s">
        <v>2160</v>
      </c>
      <c r="G124" t="s">
        <v>2160</v>
      </c>
      <c r="H124" t="s">
        <v>2161</v>
      </c>
    </row>
    <row r="125" spans="1:8" x14ac:dyDescent="0.35">
      <c r="A125">
        <v>124</v>
      </c>
      <c r="B125" t="s">
        <v>2162</v>
      </c>
      <c r="C125" t="s">
        <v>219</v>
      </c>
      <c r="D125" t="s">
        <v>2163</v>
      </c>
      <c r="E125" t="s">
        <v>2164</v>
      </c>
      <c r="F125" t="s">
        <v>2165</v>
      </c>
      <c r="G125" t="s">
        <v>2165</v>
      </c>
      <c r="H125" t="s">
        <v>2166</v>
      </c>
    </row>
    <row r="126" spans="1:8" x14ac:dyDescent="0.35">
      <c r="A126">
        <v>125</v>
      </c>
      <c r="B126" t="s">
        <v>2167</v>
      </c>
      <c r="C126" t="s">
        <v>221</v>
      </c>
      <c r="D126" t="s">
        <v>2168</v>
      </c>
      <c r="E126" t="s">
        <v>1804</v>
      </c>
      <c r="F126" t="s">
        <v>2169</v>
      </c>
      <c r="G126" t="s">
        <v>2169</v>
      </c>
      <c r="H126" t="s">
        <v>2170</v>
      </c>
    </row>
    <row r="127" spans="1:8" x14ac:dyDescent="0.35">
      <c r="A127">
        <v>126</v>
      </c>
      <c r="B127" t="s">
        <v>2171</v>
      </c>
      <c r="C127" t="s">
        <v>223</v>
      </c>
      <c r="D127" t="s">
        <v>2172</v>
      </c>
      <c r="E127" t="s">
        <v>2109</v>
      </c>
      <c r="F127" t="s">
        <v>2173</v>
      </c>
      <c r="G127" t="s">
        <v>2173</v>
      </c>
      <c r="H127" t="s">
        <v>2174</v>
      </c>
    </row>
    <row r="128" spans="1:8" x14ac:dyDescent="0.35">
      <c r="A128">
        <v>127</v>
      </c>
      <c r="B128" t="s">
        <v>2175</v>
      </c>
      <c r="C128" t="s">
        <v>225</v>
      </c>
      <c r="D128" t="s">
        <v>2176</v>
      </c>
      <c r="E128" t="s">
        <v>2177</v>
      </c>
      <c r="F128" t="s">
        <v>2178</v>
      </c>
      <c r="G128" t="s">
        <v>2178</v>
      </c>
      <c r="H128" t="s">
        <v>2179</v>
      </c>
    </row>
    <row r="129" spans="1:8" x14ac:dyDescent="0.35">
      <c r="A129">
        <v>128</v>
      </c>
      <c r="B129" t="s">
        <v>2180</v>
      </c>
      <c r="C129" t="s">
        <v>227</v>
      </c>
      <c r="D129" t="s">
        <v>2181</v>
      </c>
      <c r="E129" t="s">
        <v>1804</v>
      </c>
      <c r="F129" t="s">
        <v>2182</v>
      </c>
      <c r="G129" t="s">
        <v>2182</v>
      </c>
      <c r="H129" t="s">
        <v>2183</v>
      </c>
    </row>
    <row r="130" spans="1:8" x14ac:dyDescent="0.35">
      <c r="A130">
        <v>129</v>
      </c>
      <c r="B130" t="s">
        <v>2184</v>
      </c>
      <c r="C130" t="s">
        <v>229</v>
      </c>
      <c r="D130" t="s">
        <v>2185</v>
      </c>
      <c r="E130" t="s">
        <v>2186</v>
      </c>
      <c r="F130" t="s">
        <v>2187</v>
      </c>
      <c r="G130" t="s">
        <v>2187</v>
      </c>
      <c r="H130" t="s">
        <v>2188</v>
      </c>
    </row>
    <row r="131" spans="1:8" x14ac:dyDescent="0.35">
      <c r="A131">
        <v>130</v>
      </c>
      <c r="B131" t="s">
        <v>2189</v>
      </c>
      <c r="C131" t="s">
        <v>231</v>
      </c>
      <c r="D131" t="s">
        <v>2190</v>
      </c>
      <c r="E131" t="s">
        <v>2191</v>
      </c>
      <c r="F131" t="s">
        <v>2192</v>
      </c>
      <c r="G131" t="s">
        <v>2192</v>
      </c>
      <c r="H131" t="s">
        <v>2193</v>
      </c>
    </row>
    <row r="132" spans="1:8" x14ac:dyDescent="0.35">
      <c r="A132">
        <v>131</v>
      </c>
      <c r="B132" t="s">
        <v>2194</v>
      </c>
      <c r="C132" t="s">
        <v>233</v>
      </c>
      <c r="D132" t="s">
        <v>2195</v>
      </c>
      <c r="E132" t="s">
        <v>2196</v>
      </c>
      <c r="F132" t="s">
        <v>2197</v>
      </c>
      <c r="G132" t="s">
        <v>2197</v>
      </c>
      <c r="H132" t="s">
        <v>2198</v>
      </c>
    </row>
    <row r="133" spans="1:8" x14ac:dyDescent="0.35">
      <c r="A133">
        <v>132</v>
      </c>
      <c r="B133" t="s">
        <v>2199</v>
      </c>
      <c r="C133" t="s">
        <v>235</v>
      </c>
      <c r="D133" t="s">
        <v>2200</v>
      </c>
      <c r="E133" t="s">
        <v>1692</v>
      </c>
      <c r="F133" t="s">
        <v>2201</v>
      </c>
      <c r="G133" t="s">
        <v>2201</v>
      </c>
      <c r="H133" t="s">
        <v>2202</v>
      </c>
    </row>
    <row r="134" spans="1:8" x14ac:dyDescent="0.35">
      <c r="A134">
        <v>133</v>
      </c>
      <c r="B134" t="s">
        <v>2203</v>
      </c>
      <c r="C134" t="s">
        <v>237</v>
      </c>
      <c r="D134" t="s">
        <v>2204</v>
      </c>
      <c r="E134" t="s">
        <v>2205</v>
      </c>
      <c r="F134" t="s">
        <v>2206</v>
      </c>
      <c r="G134" t="s">
        <v>2206</v>
      </c>
      <c r="H134" t="s">
        <v>2207</v>
      </c>
    </row>
    <row r="135" spans="1:8" x14ac:dyDescent="0.35">
      <c r="A135">
        <v>134</v>
      </c>
      <c r="B135" t="s">
        <v>2208</v>
      </c>
      <c r="C135" t="s">
        <v>4</v>
      </c>
      <c r="D135" t="s">
        <v>2209</v>
      </c>
      <c r="E135" t="s">
        <v>2210</v>
      </c>
      <c r="F135" t="s">
        <v>2211</v>
      </c>
      <c r="G135" t="s">
        <v>2211</v>
      </c>
      <c r="H135" t="s">
        <v>2212</v>
      </c>
    </row>
    <row r="136" spans="1:8" x14ac:dyDescent="0.35">
      <c r="A136">
        <v>135</v>
      </c>
      <c r="B136" t="s">
        <v>2213</v>
      </c>
      <c r="C136" t="s">
        <v>242</v>
      </c>
      <c r="D136" t="s">
        <v>2214</v>
      </c>
      <c r="E136" t="s">
        <v>2215</v>
      </c>
      <c r="F136" t="s">
        <v>2216</v>
      </c>
      <c r="G136" t="s">
        <v>2216</v>
      </c>
      <c r="H136" t="s">
        <v>2217</v>
      </c>
    </row>
    <row r="137" spans="1:8" x14ac:dyDescent="0.35">
      <c r="A137">
        <v>136</v>
      </c>
      <c r="B137" t="s">
        <v>2218</v>
      </c>
      <c r="C137" t="s">
        <v>244</v>
      </c>
      <c r="D137" t="s">
        <v>2219</v>
      </c>
      <c r="E137" t="s">
        <v>1624</v>
      </c>
      <c r="F137" t="s">
        <v>2220</v>
      </c>
      <c r="G137" t="s">
        <v>2220</v>
      </c>
      <c r="H137" t="s">
        <v>2221</v>
      </c>
    </row>
    <row r="138" spans="1:8" x14ac:dyDescent="0.35">
      <c r="A138">
        <v>137</v>
      </c>
      <c r="B138" t="s">
        <v>2222</v>
      </c>
      <c r="C138" t="s">
        <v>246</v>
      </c>
      <c r="D138" t="s">
        <v>2223</v>
      </c>
      <c r="E138" t="s">
        <v>2154</v>
      </c>
      <c r="F138" t="s">
        <v>2224</v>
      </c>
      <c r="G138" t="s">
        <v>2225</v>
      </c>
      <c r="H138" t="s">
        <v>2226</v>
      </c>
    </row>
    <row r="139" spans="1:8" x14ac:dyDescent="0.35">
      <c r="A139">
        <v>138</v>
      </c>
      <c r="B139" t="s">
        <v>2227</v>
      </c>
      <c r="C139" t="s">
        <v>137</v>
      </c>
      <c r="D139" t="s">
        <v>2228</v>
      </c>
      <c r="E139" t="s">
        <v>2229</v>
      </c>
      <c r="F139" t="s">
        <v>2230</v>
      </c>
      <c r="G139" t="s">
        <v>2230</v>
      </c>
      <c r="H139" t="s">
        <v>2231</v>
      </c>
    </row>
    <row r="140" spans="1:8" x14ac:dyDescent="0.35">
      <c r="A140">
        <v>139</v>
      </c>
      <c r="B140" t="s">
        <v>2232</v>
      </c>
      <c r="C140" t="s">
        <v>249</v>
      </c>
      <c r="D140" t="s">
        <v>2233</v>
      </c>
      <c r="E140" t="s">
        <v>2234</v>
      </c>
      <c r="F140" t="s">
        <v>2235</v>
      </c>
      <c r="G140" t="s">
        <v>2235</v>
      </c>
      <c r="H140" t="s">
        <v>2236</v>
      </c>
    </row>
    <row r="141" spans="1:8" x14ac:dyDescent="0.35">
      <c r="A141">
        <v>140</v>
      </c>
      <c r="B141" t="s">
        <v>2237</v>
      </c>
      <c r="C141" t="s">
        <v>251</v>
      </c>
      <c r="D141" t="s">
        <v>2238</v>
      </c>
      <c r="E141" t="s">
        <v>2082</v>
      </c>
      <c r="F141" t="s">
        <v>2239</v>
      </c>
      <c r="G141" t="s">
        <v>2240</v>
      </c>
      <c r="H141" t="s">
        <v>2241</v>
      </c>
    </row>
    <row r="142" spans="1:8" x14ac:dyDescent="0.35">
      <c r="A142">
        <v>141</v>
      </c>
      <c r="B142" t="s">
        <v>2242</v>
      </c>
      <c r="C142" t="s">
        <v>253</v>
      </c>
      <c r="D142" t="s">
        <v>2243</v>
      </c>
      <c r="E142" t="s">
        <v>2229</v>
      </c>
      <c r="F142" t="s">
        <v>2244</v>
      </c>
      <c r="G142" t="s">
        <v>2244</v>
      </c>
      <c r="H142" t="s">
        <v>2245</v>
      </c>
    </row>
    <row r="143" spans="1:8" x14ac:dyDescent="0.35">
      <c r="A143">
        <v>142</v>
      </c>
      <c r="B143" t="s">
        <v>2246</v>
      </c>
      <c r="C143" t="s">
        <v>255</v>
      </c>
      <c r="D143" t="s">
        <v>2247</v>
      </c>
      <c r="E143" t="s">
        <v>2248</v>
      </c>
      <c r="F143" t="s">
        <v>2249</v>
      </c>
      <c r="G143" t="s">
        <v>2249</v>
      </c>
      <c r="H143" t="s">
        <v>2250</v>
      </c>
    </row>
    <row r="144" spans="1:8" x14ac:dyDescent="0.35">
      <c r="A144">
        <v>143</v>
      </c>
      <c r="B144" t="s">
        <v>2251</v>
      </c>
      <c r="C144" t="s">
        <v>213</v>
      </c>
      <c r="D144" t="s">
        <v>2252</v>
      </c>
      <c r="E144" t="s">
        <v>2253</v>
      </c>
      <c r="F144" t="s">
        <v>2254</v>
      </c>
      <c r="G144" t="s">
        <v>2254</v>
      </c>
      <c r="H144" t="s">
        <v>2255</v>
      </c>
    </row>
    <row r="145" spans="1:8" x14ac:dyDescent="0.35">
      <c r="A145">
        <v>144</v>
      </c>
      <c r="B145" t="s">
        <v>2256</v>
      </c>
      <c r="C145" t="s">
        <v>213</v>
      </c>
      <c r="D145" t="s">
        <v>2257</v>
      </c>
      <c r="E145" t="s">
        <v>2258</v>
      </c>
      <c r="F145" t="s">
        <v>2259</v>
      </c>
      <c r="G145" t="s">
        <v>2259</v>
      </c>
      <c r="H145" t="s">
        <v>2260</v>
      </c>
    </row>
    <row r="146" spans="1:8" x14ac:dyDescent="0.35">
      <c r="A146">
        <v>145</v>
      </c>
      <c r="B146" t="s">
        <v>2261</v>
      </c>
      <c r="C146" t="s">
        <v>259</v>
      </c>
      <c r="D146" t="s">
        <v>2262</v>
      </c>
      <c r="E146" t="s">
        <v>2069</v>
      </c>
      <c r="F146" t="s">
        <v>2263</v>
      </c>
      <c r="G146" t="s">
        <v>2263</v>
      </c>
      <c r="H146" t="s">
        <v>2264</v>
      </c>
    </row>
    <row r="147" spans="1:8" x14ac:dyDescent="0.35">
      <c r="A147">
        <v>146</v>
      </c>
      <c r="B147" t="s">
        <v>2265</v>
      </c>
      <c r="C147" t="s">
        <v>261</v>
      </c>
      <c r="D147" t="s">
        <v>2266</v>
      </c>
      <c r="E147" t="s">
        <v>2267</v>
      </c>
      <c r="F147" t="s">
        <v>2268</v>
      </c>
      <c r="G147" t="s">
        <v>2268</v>
      </c>
      <c r="H147" t="s">
        <v>2269</v>
      </c>
    </row>
    <row r="148" spans="1:8" x14ac:dyDescent="0.35">
      <c r="A148">
        <v>147</v>
      </c>
      <c r="B148" t="s">
        <v>2270</v>
      </c>
      <c r="C148" t="s">
        <v>263</v>
      </c>
      <c r="D148" t="s">
        <v>2271</v>
      </c>
      <c r="E148" t="s">
        <v>2272</v>
      </c>
      <c r="F148" t="s">
        <v>2273</v>
      </c>
      <c r="G148" t="s">
        <v>2273</v>
      </c>
      <c r="H148" t="s">
        <v>2274</v>
      </c>
    </row>
    <row r="149" spans="1:8" x14ac:dyDescent="0.35">
      <c r="A149">
        <v>148</v>
      </c>
      <c r="B149" t="s">
        <v>2275</v>
      </c>
      <c r="C149" t="s">
        <v>265</v>
      </c>
      <c r="D149" t="s">
        <v>2276</v>
      </c>
      <c r="E149" t="s">
        <v>1596</v>
      </c>
      <c r="F149" t="s">
        <v>2277</v>
      </c>
      <c r="G149" t="s">
        <v>2277</v>
      </c>
      <c r="H149" t="s">
        <v>2278</v>
      </c>
    </row>
    <row r="150" spans="1:8" x14ac:dyDescent="0.35">
      <c r="A150">
        <v>149</v>
      </c>
      <c r="B150" t="s">
        <v>2279</v>
      </c>
      <c r="C150" t="s">
        <v>267</v>
      </c>
      <c r="D150" t="s">
        <v>2280</v>
      </c>
      <c r="E150" t="s">
        <v>1657</v>
      </c>
      <c r="F150" t="s">
        <v>2281</v>
      </c>
      <c r="G150" t="s">
        <v>2281</v>
      </c>
      <c r="H150" t="s">
        <v>2282</v>
      </c>
    </row>
    <row r="151" spans="1:8" x14ac:dyDescent="0.35">
      <c r="A151">
        <v>150</v>
      </c>
      <c r="B151" t="s">
        <v>2283</v>
      </c>
      <c r="C151" t="s">
        <v>269</v>
      </c>
      <c r="D151" t="s">
        <v>2284</v>
      </c>
      <c r="E151" t="s">
        <v>2285</v>
      </c>
      <c r="F151" t="s">
        <v>2286</v>
      </c>
      <c r="G151" t="s">
        <v>2286</v>
      </c>
      <c r="H151" t="s">
        <v>2287</v>
      </c>
    </row>
    <row r="152" spans="1:8" x14ac:dyDescent="0.35">
      <c r="A152">
        <v>151</v>
      </c>
      <c r="B152" t="s">
        <v>2288</v>
      </c>
      <c r="C152" t="s">
        <v>249</v>
      </c>
      <c r="D152" t="s">
        <v>2289</v>
      </c>
      <c r="E152" t="s">
        <v>2290</v>
      </c>
      <c r="F152" t="s">
        <v>2291</v>
      </c>
      <c r="G152" t="s">
        <v>2291</v>
      </c>
      <c r="H152" t="s">
        <v>2292</v>
      </c>
    </row>
    <row r="153" spans="1:8" x14ac:dyDescent="0.35">
      <c r="A153">
        <v>152</v>
      </c>
      <c r="B153" t="s">
        <v>2293</v>
      </c>
      <c r="C153" t="s">
        <v>272</v>
      </c>
      <c r="D153" t="s">
        <v>2294</v>
      </c>
      <c r="E153" t="s">
        <v>1596</v>
      </c>
      <c r="F153" t="s">
        <v>2295</v>
      </c>
      <c r="G153" t="s">
        <v>2295</v>
      </c>
      <c r="H153" t="s">
        <v>2296</v>
      </c>
    </row>
    <row r="154" spans="1:8" x14ac:dyDescent="0.35">
      <c r="A154">
        <v>153</v>
      </c>
      <c r="B154" t="s">
        <v>2297</v>
      </c>
      <c r="C154" t="s">
        <v>274</v>
      </c>
      <c r="D154" t="s">
        <v>2298</v>
      </c>
      <c r="E154" t="s">
        <v>2299</v>
      </c>
      <c r="F154" t="s">
        <v>2300</v>
      </c>
      <c r="G154" t="s">
        <v>2300</v>
      </c>
      <c r="H154" t="s">
        <v>2301</v>
      </c>
    </row>
    <row r="155" spans="1:8" x14ac:dyDescent="0.35">
      <c r="A155">
        <v>154</v>
      </c>
      <c r="B155" t="s">
        <v>2302</v>
      </c>
      <c r="C155" t="s">
        <v>276</v>
      </c>
      <c r="D155" t="s">
        <v>2303</v>
      </c>
      <c r="E155" t="s">
        <v>1624</v>
      </c>
      <c r="F155" t="s">
        <v>2304</v>
      </c>
      <c r="G155" t="s">
        <v>2304</v>
      </c>
      <c r="H155" t="s">
        <v>2305</v>
      </c>
    </row>
    <row r="156" spans="1:8" x14ac:dyDescent="0.35">
      <c r="A156">
        <v>155</v>
      </c>
      <c r="B156" t="s">
        <v>2306</v>
      </c>
      <c r="C156" t="s">
        <v>143</v>
      </c>
      <c r="D156" t="s">
        <v>2307</v>
      </c>
      <c r="E156" t="s">
        <v>1735</v>
      </c>
      <c r="F156" t="s">
        <v>2308</v>
      </c>
      <c r="G156" t="s">
        <v>2308</v>
      </c>
      <c r="H156" t="s">
        <v>2309</v>
      </c>
    </row>
    <row r="157" spans="1:8" x14ac:dyDescent="0.35">
      <c r="A157">
        <v>156</v>
      </c>
      <c r="B157" t="s">
        <v>2310</v>
      </c>
      <c r="C157" t="s">
        <v>174</v>
      </c>
      <c r="D157" t="s">
        <v>2311</v>
      </c>
      <c r="E157" t="s">
        <v>2312</v>
      </c>
      <c r="F157" t="s">
        <v>2313</v>
      </c>
      <c r="G157" t="s">
        <v>2313</v>
      </c>
      <c r="H157" t="s">
        <v>2314</v>
      </c>
    </row>
    <row r="158" spans="1:8" x14ac:dyDescent="0.35">
      <c r="A158">
        <v>157</v>
      </c>
      <c r="B158" t="s">
        <v>2315</v>
      </c>
      <c r="C158" t="s">
        <v>280</v>
      </c>
      <c r="D158" t="s">
        <v>2316</v>
      </c>
      <c r="E158" t="s">
        <v>1893</v>
      </c>
      <c r="F158" t="s">
        <v>2317</v>
      </c>
      <c r="G158" t="s">
        <v>2317</v>
      </c>
      <c r="H158" t="s">
        <v>2318</v>
      </c>
    </row>
    <row r="159" spans="1:8" x14ac:dyDescent="0.35">
      <c r="A159">
        <v>158</v>
      </c>
      <c r="B159" t="s">
        <v>2319</v>
      </c>
      <c r="C159" t="s">
        <v>282</v>
      </c>
      <c r="D159" t="s">
        <v>2320</v>
      </c>
      <c r="E159" t="s">
        <v>1799</v>
      </c>
      <c r="F159" t="s">
        <v>2321</v>
      </c>
      <c r="G159" t="s">
        <v>2321</v>
      </c>
      <c r="H159" t="s">
        <v>2322</v>
      </c>
    </row>
    <row r="160" spans="1:8" x14ac:dyDescent="0.35">
      <c r="A160">
        <v>159</v>
      </c>
      <c r="B160" t="s">
        <v>2323</v>
      </c>
      <c r="C160" t="s">
        <v>143</v>
      </c>
      <c r="D160" t="s">
        <v>2324</v>
      </c>
      <c r="E160" t="s">
        <v>2325</v>
      </c>
      <c r="F160" t="s">
        <v>2326</v>
      </c>
      <c r="G160" t="s">
        <v>2326</v>
      </c>
      <c r="H160" t="s">
        <v>2327</v>
      </c>
    </row>
    <row r="161" spans="1:8" x14ac:dyDescent="0.35">
      <c r="A161">
        <v>160</v>
      </c>
      <c r="B161" t="s">
        <v>2328</v>
      </c>
      <c r="C161" t="s">
        <v>285</v>
      </c>
      <c r="D161" t="s">
        <v>2329</v>
      </c>
      <c r="E161" t="s">
        <v>1990</v>
      </c>
      <c r="F161" t="s">
        <v>2330</v>
      </c>
      <c r="G161" t="s">
        <v>2331</v>
      </c>
      <c r="H161" t="s">
        <v>2332</v>
      </c>
    </row>
    <row r="162" spans="1:8" x14ac:dyDescent="0.35">
      <c r="A162">
        <v>161</v>
      </c>
      <c r="B162" t="s">
        <v>2333</v>
      </c>
      <c r="C162" t="s">
        <v>223</v>
      </c>
      <c r="D162" t="s">
        <v>2334</v>
      </c>
      <c r="E162" t="s">
        <v>2335</v>
      </c>
      <c r="F162" t="s">
        <v>2336</v>
      </c>
      <c r="G162" t="s">
        <v>2336</v>
      </c>
      <c r="H162" t="s">
        <v>2337</v>
      </c>
    </row>
    <row r="163" spans="1:8" x14ac:dyDescent="0.35">
      <c r="A163">
        <v>162</v>
      </c>
      <c r="B163" t="s">
        <v>2338</v>
      </c>
      <c r="C163" t="s">
        <v>217</v>
      </c>
      <c r="D163" t="s">
        <v>2339</v>
      </c>
      <c r="E163" t="s">
        <v>1990</v>
      </c>
      <c r="F163" t="s">
        <v>2340</v>
      </c>
      <c r="G163" t="s">
        <v>2340</v>
      </c>
      <c r="H163" t="s">
        <v>2341</v>
      </c>
    </row>
    <row r="164" spans="1:8" x14ac:dyDescent="0.35">
      <c r="A164">
        <v>163</v>
      </c>
      <c r="B164" t="s">
        <v>2342</v>
      </c>
      <c r="C164" t="s">
        <v>289</v>
      </c>
      <c r="D164" t="s">
        <v>2343</v>
      </c>
      <c r="E164" t="s">
        <v>1893</v>
      </c>
      <c r="F164" t="s">
        <v>2344</v>
      </c>
      <c r="G164" t="s">
        <v>2344</v>
      </c>
      <c r="H164" t="s">
        <v>2345</v>
      </c>
    </row>
    <row r="165" spans="1:8" x14ac:dyDescent="0.35">
      <c r="A165">
        <v>164</v>
      </c>
      <c r="B165" t="s">
        <v>2346</v>
      </c>
      <c r="C165" t="s">
        <v>291</v>
      </c>
      <c r="D165" t="s">
        <v>2347</v>
      </c>
      <c r="E165" t="s">
        <v>2348</v>
      </c>
      <c r="F165" t="s">
        <v>2349</v>
      </c>
      <c r="G165" t="s">
        <v>2349</v>
      </c>
      <c r="H165" t="s">
        <v>2350</v>
      </c>
    </row>
    <row r="166" spans="1:8" x14ac:dyDescent="0.35">
      <c r="A166">
        <v>165</v>
      </c>
      <c r="B166" t="s">
        <v>2351</v>
      </c>
      <c r="C166" t="s">
        <v>276</v>
      </c>
      <c r="D166" t="s">
        <v>2352</v>
      </c>
      <c r="E166" t="s">
        <v>1624</v>
      </c>
      <c r="F166" t="s">
        <v>2353</v>
      </c>
      <c r="G166" t="s">
        <v>2353</v>
      </c>
      <c r="H166" t="s">
        <v>2354</v>
      </c>
    </row>
    <row r="167" spans="1:8" x14ac:dyDescent="0.35">
      <c r="A167">
        <v>166</v>
      </c>
      <c r="B167" t="s">
        <v>2355</v>
      </c>
      <c r="C167" t="s">
        <v>294</v>
      </c>
      <c r="D167" t="s">
        <v>2356</v>
      </c>
      <c r="E167" t="s">
        <v>2357</v>
      </c>
      <c r="F167" t="s">
        <v>2358</v>
      </c>
      <c r="G167" t="s">
        <v>2359</v>
      </c>
      <c r="H167" t="s">
        <v>2360</v>
      </c>
    </row>
    <row r="168" spans="1:8" x14ac:dyDescent="0.35">
      <c r="A168">
        <v>167</v>
      </c>
      <c r="B168" t="s">
        <v>2361</v>
      </c>
      <c r="C168" t="s">
        <v>296</v>
      </c>
      <c r="D168" t="s">
        <v>2362</v>
      </c>
      <c r="E168" t="s">
        <v>1730</v>
      </c>
      <c r="F168" t="s">
        <v>2363</v>
      </c>
      <c r="G168" t="s">
        <v>2363</v>
      </c>
      <c r="H168" t="s">
        <v>2364</v>
      </c>
    </row>
    <row r="169" spans="1:8" x14ac:dyDescent="0.35">
      <c r="A169">
        <v>168</v>
      </c>
      <c r="B169" t="s">
        <v>2365</v>
      </c>
      <c r="C169" t="s">
        <v>280</v>
      </c>
      <c r="D169" t="s">
        <v>2366</v>
      </c>
      <c r="E169" t="s">
        <v>1999</v>
      </c>
      <c r="F169" t="s">
        <v>2367</v>
      </c>
      <c r="G169" t="s">
        <v>2367</v>
      </c>
      <c r="H169" t="s">
        <v>2368</v>
      </c>
    </row>
    <row r="170" spans="1:8" x14ac:dyDescent="0.35">
      <c r="A170">
        <v>169</v>
      </c>
      <c r="B170" t="s">
        <v>2369</v>
      </c>
      <c r="C170" t="s">
        <v>76</v>
      </c>
      <c r="D170" t="s">
        <v>2370</v>
      </c>
      <c r="E170" t="s">
        <v>2154</v>
      </c>
      <c r="F170" t="s">
        <v>2371</v>
      </c>
      <c r="G170" t="s">
        <v>2371</v>
      </c>
      <c r="H170" t="s">
        <v>2372</v>
      </c>
    </row>
    <row r="171" spans="1:8" x14ac:dyDescent="0.35">
      <c r="A171">
        <v>170</v>
      </c>
      <c r="B171" t="s">
        <v>2373</v>
      </c>
      <c r="C171" t="s">
        <v>213</v>
      </c>
      <c r="D171" t="s">
        <v>2374</v>
      </c>
      <c r="E171" t="s">
        <v>2272</v>
      </c>
      <c r="F171" t="s">
        <v>2375</v>
      </c>
      <c r="G171" t="s">
        <v>2375</v>
      </c>
      <c r="H171" t="s">
        <v>2376</v>
      </c>
    </row>
    <row r="172" spans="1:8" x14ac:dyDescent="0.35">
      <c r="A172">
        <v>171</v>
      </c>
      <c r="B172" t="s">
        <v>2377</v>
      </c>
      <c r="C172" t="s">
        <v>213</v>
      </c>
      <c r="D172" t="s">
        <v>2378</v>
      </c>
      <c r="E172" t="s">
        <v>1624</v>
      </c>
      <c r="F172" t="s">
        <v>2379</v>
      </c>
      <c r="G172" t="s">
        <v>2379</v>
      </c>
      <c r="H172" t="s">
        <v>2380</v>
      </c>
    </row>
    <row r="173" spans="1:8" x14ac:dyDescent="0.35">
      <c r="A173">
        <v>172</v>
      </c>
      <c r="B173" t="s">
        <v>2381</v>
      </c>
      <c r="C173" t="s">
        <v>280</v>
      </c>
      <c r="D173" t="s">
        <v>2382</v>
      </c>
      <c r="E173" t="s">
        <v>1893</v>
      </c>
      <c r="F173" t="s">
        <v>2383</v>
      </c>
      <c r="G173" t="s">
        <v>2383</v>
      </c>
      <c r="H173" t="s">
        <v>2384</v>
      </c>
    </row>
    <row r="174" spans="1:8" x14ac:dyDescent="0.35">
      <c r="A174">
        <v>173</v>
      </c>
      <c r="B174" t="s">
        <v>2385</v>
      </c>
      <c r="C174" t="s">
        <v>253</v>
      </c>
      <c r="D174" t="s">
        <v>2386</v>
      </c>
      <c r="E174" t="s">
        <v>2387</v>
      </c>
      <c r="F174" t="s">
        <v>2388</v>
      </c>
      <c r="G174" t="s">
        <v>2388</v>
      </c>
      <c r="H174" t="s">
        <v>2389</v>
      </c>
    </row>
    <row r="175" spans="1:8" x14ac:dyDescent="0.35">
      <c r="A175">
        <v>174</v>
      </c>
      <c r="B175" t="s">
        <v>2390</v>
      </c>
      <c r="C175" t="s">
        <v>304</v>
      </c>
      <c r="D175" t="s">
        <v>2391</v>
      </c>
      <c r="E175" t="s">
        <v>2149</v>
      </c>
      <c r="F175" t="s">
        <v>2392</v>
      </c>
      <c r="G175" t="s">
        <v>2392</v>
      </c>
      <c r="H175" t="s">
        <v>2393</v>
      </c>
    </row>
    <row r="176" spans="1:8" x14ac:dyDescent="0.35">
      <c r="A176">
        <v>175</v>
      </c>
      <c r="B176" t="s">
        <v>2394</v>
      </c>
      <c r="C176" t="s">
        <v>304</v>
      </c>
      <c r="D176" t="s">
        <v>2395</v>
      </c>
      <c r="E176" t="s">
        <v>2164</v>
      </c>
      <c r="F176" t="s">
        <v>2396</v>
      </c>
      <c r="G176" t="s">
        <v>2396</v>
      </c>
      <c r="H176" t="s">
        <v>2397</v>
      </c>
    </row>
    <row r="177" spans="1:8" x14ac:dyDescent="0.35">
      <c r="A177">
        <v>176</v>
      </c>
      <c r="B177" t="s">
        <v>2398</v>
      </c>
      <c r="C177" t="s">
        <v>143</v>
      </c>
      <c r="D177" t="s">
        <v>2399</v>
      </c>
      <c r="E177" t="s">
        <v>1990</v>
      </c>
      <c r="F177" t="s">
        <v>2400</v>
      </c>
      <c r="G177" t="s">
        <v>2400</v>
      </c>
      <c r="H177" t="s">
        <v>2401</v>
      </c>
    </row>
    <row r="178" spans="1:8" x14ac:dyDescent="0.35">
      <c r="A178">
        <v>177</v>
      </c>
      <c r="B178" t="s">
        <v>2402</v>
      </c>
      <c r="C178" t="s">
        <v>308</v>
      </c>
      <c r="D178" t="s">
        <v>2403</v>
      </c>
      <c r="E178" t="s">
        <v>2229</v>
      </c>
      <c r="F178" t="s">
        <v>2404</v>
      </c>
      <c r="G178" t="s">
        <v>2404</v>
      </c>
      <c r="H178" t="s">
        <v>2405</v>
      </c>
    </row>
    <row r="179" spans="1:8" x14ac:dyDescent="0.35">
      <c r="A179">
        <v>178</v>
      </c>
      <c r="B179" t="s">
        <v>2406</v>
      </c>
      <c r="C179" t="s">
        <v>310</v>
      </c>
      <c r="D179" t="s">
        <v>2407</v>
      </c>
      <c r="E179" t="s">
        <v>1823</v>
      </c>
      <c r="F179" t="s">
        <v>2408</v>
      </c>
      <c r="G179" t="s">
        <v>2408</v>
      </c>
      <c r="H179" t="s">
        <v>2409</v>
      </c>
    </row>
    <row r="180" spans="1:8" x14ac:dyDescent="0.35">
      <c r="A180">
        <v>179</v>
      </c>
      <c r="B180" t="s">
        <v>2410</v>
      </c>
      <c r="C180" t="s">
        <v>312</v>
      </c>
      <c r="D180" t="s">
        <v>2411</v>
      </c>
      <c r="E180" t="s">
        <v>2205</v>
      </c>
      <c r="F180" t="s">
        <v>2412</v>
      </c>
      <c r="G180" t="s">
        <v>2412</v>
      </c>
      <c r="H180" t="s">
        <v>2413</v>
      </c>
    </row>
    <row r="181" spans="1:8" x14ac:dyDescent="0.35">
      <c r="A181">
        <v>180</v>
      </c>
      <c r="B181" t="s">
        <v>2414</v>
      </c>
      <c r="C181" t="s">
        <v>314</v>
      </c>
      <c r="D181" t="s">
        <v>2415</v>
      </c>
      <c r="E181" t="s">
        <v>1893</v>
      </c>
      <c r="F181" t="s">
        <v>2416</v>
      </c>
      <c r="G181" t="s">
        <v>2417</v>
      </c>
      <c r="H181" t="s">
        <v>2418</v>
      </c>
    </row>
    <row r="182" spans="1:8" x14ac:dyDescent="0.35">
      <c r="A182">
        <v>181</v>
      </c>
      <c r="B182" t="s">
        <v>2419</v>
      </c>
      <c r="C182" t="s">
        <v>316</v>
      </c>
      <c r="D182" t="s">
        <v>2420</v>
      </c>
      <c r="E182" t="s">
        <v>2229</v>
      </c>
      <c r="F182" t="s">
        <v>2421</v>
      </c>
      <c r="G182" t="s">
        <v>2422</v>
      </c>
      <c r="H182" t="s">
        <v>2423</v>
      </c>
    </row>
    <row r="183" spans="1:8" x14ac:dyDescent="0.35">
      <c r="A183">
        <v>182</v>
      </c>
      <c r="B183" t="s">
        <v>2424</v>
      </c>
      <c r="C183" t="s">
        <v>316</v>
      </c>
      <c r="D183" t="s">
        <v>2425</v>
      </c>
      <c r="E183" t="s">
        <v>1799</v>
      </c>
      <c r="F183" t="s">
        <v>2426</v>
      </c>
      <c r="G183" t="s">
        <v>2426</v>
      </c>
      <c r="H183" t="s">
        <v>2427</v>
      </c>
    </row>
    <row r="184" spans="1:8" x14ac:dyDescent="0.35">
      <c r="A184">
        <v>183</v>
      </c>
      <c r="B184" t="s">
        <v>2428</v>
      </c>
      <c r="C184" t="s">
        <v>76</v>
      </c>
      <c r="D184" t="s">
        <v>2429</v>
      </c>
      <c r="E184" t="s">
        <v>1799</v>
      </c>
      <c r="F184" t="s">
        <v>2430</v>
      </c>
      <c r="G184" t="s">
        <v>2430</v>
      </c>
      <c r="H184" t="s">
        <v>2431</v>
      </c>
    </row>
    <row r="185" spans="1:8" x14ac:dyDescent="0.35">
      <c r="A185">
        <v>184</v>
      </c>
      <c r="B185" t="s">
        <v>2432</v>
      </c>
      <c r="C185" t="s">
        <v>324</v>
      </c>
      <c r="D185" t="s">
        <v>2433</v>
      </c>
      <c r="E185" t="s">
        <v>1839</v>
      </c>
      <c r="F185" t="s">
        <v>2434</v>
      </c>
      <c r="G185" t="s">
        <v>2434</v>
      </c>
      <c r="H185" t="s">
        <v>2435</v>
      </c>
    </row>
    <row r="186" spans="1:8" x14ac:dyDescent="0.35">
      <c r="A186">
        <v>185</v>
      </c>
      <c r="B186" t="s">
        <v>2436</v>
      </c>
      <c r="C186" t="s">
        <v>326</v>
      </c>
      <c r="D186" t="s">
        <v>2437</v>
      </c>
      <c r="E186" t="s">
        <v>1613</v>
      </c>
      <c r="F186" t="s">
        <v>2438</v>
      </c>
      <c r="G186" t="s">
        <v>2438</v>
      </c>
      <c r="H186" t="s">
        <v>2439</v>
      </c>
    </row>
    <row r="187" spans="1:8" x14ac:dyDescent="0.35">
      <c r="A187">
        <v>186</v>
      </c>
      <c r="B187" t="s">
        <v>2440</v>
      </c>
      <c r="C187" t="s">
        <v>242</v>
      </c>
      <c r="D187" t="s">
        <v>2441</v>
      </c>
      <c r="E187" t="s">
        <v>2442</v>
      </c>
      <c r="F187" t="s">
        <v>2443</v>
      </c>
      <c r="G187" t="s">
        <v>2443</v>
      </c>
      <c r="H187" t="s">
        <v>2444</v>
      </c>
    </row>
    <row r="188" spans="1:8" x14ac:dyDescent="0.35">
      <c r="A188">
        <v>187</v>
      </c>
      <c r="B188" t="s">
        <v>2445</v>
      </c>
      <c r="C188" t="s">
        <v>213</v>
      </c>
      <c r="D188" t="s">
        <v>2446</v>
      </c>
      <c r="E188" t="s">
        <v>2253</v>
      </c>
      <c r="F188" t="s">
        <v>2447</v>
      </c>
      <c r="G188" t="s">
        <v>2447</v>
      </c>
      <c r="H188" t="s">
        <v>2448</v>
      </c>
    </row>
    <row r="189" spans="1:8" x14ac:dyDescent="0.35">
      <c r="A189">
        <v>188</v>
      </c>
      <c r="B189" t="s">
        <v>2449</v>
      </c>
      <c r="C189" t="s">
        <v>330</v>
      </c>
      <c r="D189" t="s">
        <v>2450</v>
      </c>
      <c r="E189" t="s">
        <v>2114</v>
      </c>
      <c r="F189" t="s">
        <v>2451</v>
      </c>
      <c r="G189" t="s">
        <v>2451</v>
      </c>
      <c r="H189" t="s">
        <v>2452</v>
      </c>
    </row>
    <row r="190" spans="1:8" x14ac:dyDescent="0.35">
      <c r="A190">
        <v>189</v>
      </c>
      <c r="B190" t="s">
        <v>2453</v>
      </c>
      <c r="C190" t="s">
        <v>332</v>
      </c>
      <c r="D190" t="s">
        <v>2454</v>
      </c>
      <c r="E190" t="s">
        <v>2041</v>
      </c>
      <c r="F190" t="s">
        <v>2455</v>
      </c>
      <c r="G190" t="s">
        <v>2455</v>
      </c>
      <c r="H190" t="s">
        <v>2456</v>
      </c>
    </row>
    <row r="191" spans="1:8" x14ac:dyDescent="0.35">
      <c r="A191">
        <v>190</v>
      </c>
      <c r="B191" t="s">
        <v>2457</v>
      </c>
      <c r="C191" t="s">
        <v>330</v>
      </c>
      <c r="D191" t="s">
        <v>2458</v>
      </c>
      <c r="E191" t="s">
        <v>2143</v>
      </c>
      <c r="F191" t="s">
        <v>2459</v>
      </c>
      <c r="G191" t="s">
        <v>2460</v>
      </c>
      <c r="H191" t="s">
        <v>2461</v>
      </c>
    </row>
    <row r="192" spans="1:8" x14ac:dyDescent="0.35">
      <c r="A192">
        <v>191</v>
      </c>
      <c r="B192" t="s">
        <v>2462</v>
      </c>
      <c r="C192" t="s">
        <v>335</v>
      </c>
      <c r="D192" t="s">
        <v>2463</v>
      </c>
      <c r="E192" t="s">
        <v>1839</v>
      </c>
      <c r="F192" t="s">
        <v>2464</v>
      </c>
      <c r="G192" t="s">
        <v>2464</v>
      </c>
      <c r="H192" t="s">
        <v>2465</v>
      </c>
    </row>
    <row r="193" spans="1:8" x14ac:dyDescent="0.35">
      <c r="A193">
        <v>192</v>
      </c>
      <c r="B193" t="s">
        <v>2466</v>
      </c>
      <c r="C193" t="s">
        <v>337</v>
      </c>
      <c r="D193" t="s">
        <v>2467</v>
      </c>
      <c r="E193" t="s">
        <v>1629</v>
      </c>
      <c r="F193" t="s">
        <v>2468</v>
      </c>
      <c r="G193" t="s">
        <v>2469</v>
      </c>
      <c r="H193" t="s">
        <v>2470</v>
      </c>
    </row>
    <row r="194" spans="1:8" x14ac:dyDescent="0.35">
      <c r="A194">
        <v>193</v>
      </c>
      <c r="B194" t="s">
        <v>2471</v>
      </c>
      <c r="C194" t="s">
        <v>339</v>
      </c>
      <c r="D194" t="s">
        <v>2472</v>
      </c>
      <c r="E194" t="s">
        <v>1663</v>
      </c>
      <c r="F194" t="s">
        <v>2473</v>
      </c>
      <c r="G194" t="s">
        <v>2473</v>
      </c>
      <c r="H194" t="s">
        <v>2474</v>
      </c>
    </row>
    <row r="195" spans="1:8" x14ac:dyDescent="0.35">
      <c r="A195">
        <v>194</v>
      </c>
      <c r="B195" t="s">
        <v>2475</v>
      </c>
      <c r="C195" t="s">
        <v>341</v>
      </c>
      <c r="D195" t="s">
        <v>2476</v>
      </c>
      <c r="E195" t="s">
        <v>2109</v>
      </c>
      <c r="F195" t="s">
        <v>2477</v>
      </c>
      <c r="G195" t="s">
        <v>2477</v>
      </c>
      <c r="H195" t="s">
        <v>2478</v>
      </c>
    </row>
    <row r="196" spans="1:8" x14ac:dyDescent="0.35">
      <c r="A196">
        <v>195</v>
      </c>
      <c r="B196" t="s">
        <v>2479</v>
      </c>
      <c r="C196" t="s">
        <v>343</v>
      </c>
      <c r="D196" t="s">
        <v>2480</v>
      </c>
      <c r="E196" t="s">
        <v>1990</v>
      </c>
      <c r="F196" t="s">
        <v>2481</v>
      </c>
      <c r="G196" t="s">
        <v>2481</v>
      </c>
      <c r="H196" t="s">
        <v>2482</v>
      </c>
    </row>
    <row r="197" spans="1:8" x14ac:dyDescent="0.35">
      <c r="A197">
        <v>196</v>
      </c>
      <c r="B197" t="s">
        <v>2483</v>
      </c>
      <c r="C197" t="s">
        <v>345</v>
      </c>
      <c r="D197" t="s">
        <v>2484</v>
      </c>
      <c r="E197" t="s">
        <v>1785</v>
      </c>
      <c r="F197" t="s">
        <v>2485</v>
      </c>
      <c r="G197" t="s">
        <v>2485</v>
      </c>
      <c r="H197" t="s">
        <v>2486</v>
      </c>
    </row>
    <row r="198" spans="1:8" x14ac:dyDescent="0.35">
      <c r="A198">
        <v>197</v>
      </c>
      <c r="B198" t="s">
        <v>2487</v>
      </c>
      <c r="C198" t="s">
        <v>347</v>
      </c>
      <c r="D198" t="s">
        <v>2488</v>
      </c>
      <c r="E198" t="s">
        <v>1844</v>
      </c>
      <c r="F198" t="s">
        <v>2489</v>
      </c>
      <c r="G198" t="s">
        <v>2489</v>
      </c>
      <c r="H198" t="s">
        <v>2490</v>
      </c>
    </row>
    <row r="199" spans="1:8" x14ac:dyDescent="0.35">
      <c r="A199">
        <v>198</v>
      </c>
      <c r="B199" t="s">
        <v>2491</v>
      </c>
      <c r="C199" t="s">
        <v>349</v>
      </c>
      <c r="D199" t="s">
        <v>2492</v>
      </c>
      <c r="E199" t="s">
        <v>1596</v>
      </c>
      <c r="F199" t="s">
        <v>2493</v>
      </c>
      <c r="G199" t="s">
        <v>2493</v>
      </c>
      <c r="H199" t="s">
        <v>2494</v>
      </c>
    </row>
    <row r="200" spans="1:8" x14ac:dyDescent="0.35">
      <c r="A200">
        <v>199</v>
      </c>
      <c r="B200" t="s">
        <v>2495</v>
      </c>
      <c r="C200" t="s">
        <v>76</v>
      </c>
      <c r="D200" t="s">
        <v>2496</v>
      </c>
      <c r="E200" t="s">
        <v>1794</v>
      </c>
      <c r="F200" t="s">
        <v>2497</v>
      </c>
      <c r="G200" t="s">
        <v>2497</v>
      </c>
      <c r="H200" t="s">
        <v>2498</v>
      </c>
    </row>
    <row r="201" spans="1:8" x14ac:dyDescent="0.35">
      <c r="A201">
        <v>200</v>
      </c>
      <c r="B201" t="s">
        <v>2499</v>
      </c>
      <c r="C201" t="s">
        <v>352</v>
      </c>
      <c r="D201" t="s">
        <v>2500</v>
      </c>
      <c r="E201" t="s">
        <v>2312</v>
      </c>
      <c r="F201" t="s">
        <v>2501</v>
      </c>
      <c r="G201" t="s">
        <v>2501</v>
      </c>
      <c r="H201" t="s">
        <v>2502</v>
      </c>
    </row>
    <row r="202" spans="1:8" x14ac:dyDescent="0.35">
      <c r="A202">
        <v>201</v>
      </c>
      <c r="B202" t="s">
        <v>2503</v>
      </c>
      <c r="C202" t="s">
        <v>354</v>
      </c>
      <c r="D202" t="s">
        <v>2504</v>
      </c>
      <c r="E202" t="s">
        <v>2505</v>
      </c>
      <c r="F202" t="s">
        <v>2506</v>
      </c>
      <c r="G202" t="s">
        <v>2506</v>
      </c>
      <c r="H202" t="s">
        <v>2507</v>
      </c>
    </row>
    <row r="203" spans="1:8" x14ac:dyDescent="0.35">
      <c r="A203">
        <v>202</v>
      </c>
      <c r="B203" t="s">
        <v>2508</v>
      </c>
      <c r="C203" t="s">
        <v>76</v>
      </c>
      <c r="D203" t="s">
        <v>2509</v>
      </c>
      <c r="E203" t="s">
        <v>2510</v>
      </c>
      <c r="F203" t="s">
        <v>2511</v>
      </c>
      <c r="G203" t="s">
        <v>2511</v>
      </c>
      <c r="H203" t="s">
        <v>2512</v>
      </c>
    </row>
    <row r="204" spans="1:8" x14ac:dyDescent="0.35">
      <c r="A204">
        <v>203</v>
      </c>
      <c r="B204" t="s">
        <v>2513</v>
      </c>
      <c r="C204" t="s">
        <v>242</v>
      </c>
      <c r="D204" t="s">
        <v>2514</v>
      </c>
      <c r="E204" t="s">
        <v>2515</v>
      </c>
      <c r="F204" t="s">
        <v>2516</v>
      </c>
      <c r="G204" t="s">
        <v>2516</v>
      </c>
      <c r="H204" t="s">
        <v>2517</v>
      </c>
    </row>
    <row r="205" spans="1:8" x14ac:dyDescent="0.35">
      <c r="A205">
        <v>204</v>
      </c>
      <c r="B205" t="s">
        <v>2518</v>
      </c>
      <c r="C205" t="s">
        <v>242</v>
      </c>
      <c r="D205" t="s">
        <v>2519</v>
      </c>
      <c r="E205" t="s">
        <v>1680</v>
      </c>
      <c r="F205" t="s">
        <v>2520</v>
      </c>
      <c r="G205" t="s">
        <v>2520</v>
      </c>
      <c r="H205" t="s">
        <v>2521</v>
      </c>
    </row>
    <row r="206" spans="1:8" x14ac:dyDescent="0.35">
      <c r="A206">
        <v>205</v>
      </c>
      <c r="B206" t="s">
        <v>2522</v>
      </c>
      <c r="C206" t="s">
        <v>242</v>
      </c>
      <c r="D206" t="s">
        <v>2523</v>
      </c>
      <c r="E206" t="s">
        <v>2177</v>
      </c>
      <c r="F206" t="s">
        <v>2524</v>
      </c>
      <c r="G206" t="s">
        <v>2524</v>
      </c>
      <c r="H206" t="s">
        <v>2525</v>
      </c>
    </row>
    <row r="207" spans="1:8" x14ac:dyDescent="0.35">
      <c r="A207">
        <v>206</v>
      </c>
      <c r="B207" t="s">
        <v>2526</v>
      </c>
      <c r="C207" t="s">
        <v>213</v>
      </c>
      <c r="D207" t="s">
        <v>2527</v>
      </c>
      <c r="E207" t="s">
        <v>2143</v>
      </c>
      <c r="F207" t="s">
        <v>2528</v>
      </c>
      <c r="G207" t="s">
        <v>2528</v>
      </c>
      <c r="H207" t="s">
        <v>2529</v>
      </c>
    </row>
    <row r="208" spans="1:8" x14ac:dyDescent="0.35">
      <c r="A208">
        <v>207</v>
      </c>
      <c r="B208" t="s">
        <v>2530</v>
      </c>
      <c r="C208" t="s">
        <v>280</v>
      </c>
      <c r="D208" t="s">
        <v>2531</v>
      </c>
      <c r="E208" t="s">
        <v>1990</v>
      </c>
      <c r="F208" t="s">
        <v>2532</v>
      </c>
      <c r="G208" t="s">
        <v>2532</v>
      </c>
      <c r="H208" t="s">
        <v>2533</v>
      </c>
    </row>
    <row r="209" spans="1:8" x14ac:dyDescent="0.35">
      <c r="A209">
        <v>208</v>
      </c>
      <c r="B209" t="s">
        <v>2534</v>
      </c>
      <c r="C209" t="s">
        <v>304</v>
      </c>
      <c r="D209" t="s">
        <v>2535</v>
      </c>
      <c r="E209" t="s">
        <v>2387</v>
      </c>
      <c r="F209" t="s">
        <v>2536</v>
      </c>
      <c r="G209" t="s">
        <v>2536</v>
      </c>
      <c r="H209" t="s">
        <v>2537</v>
      </c>
    </row>
    <row r="210" spans="1:8" x14ac:dyDescent="0.35">
      <c r="A210">
        <v>209</v>
      </c>
      <c r="B210" t="s">
        <v>2538</v>
      </c>
      <c r="C210" t="s">
        <v>253</v>
      </c>
      <c r="D210" t="s">
        <v>2539</v>
      </c>
      <c r="E210" t="s">
        <v>2109</v>
      </c>
      <c r="F210" t="s">
        <v>2540</v>
      </c>
      <c r="G210" t="s">
        <v>2540</v>
      </c>
      <c r="H210" t="s">
        <v>2541</v>
      </c>
    </row>
    <row r="211" spans="1:8" x14ac:dyDescent="0.35">
      <c r="A211">
        <v>210</v>
      </c>
      <c r="B211" t="s">
        <v>2542</v>
      </c>
      <c r="C211" t="s">
        <v>274</v>
      </c>
      <c r="D211" t="s">
        <v>2543</v>
      </c>
      <c r="E211" t="s">
        <v>2510</v>
      </c>
      <c r="F211" t="s">
        <v>2544</v>
      </c>
      <c r="G211" t="s">
        <v>2545</v>
      </c>
      <c r="H211" t="s">
        <v>2546</v>
      </c>
    </row>
    <row r="212" spans="1:8" x14ac:dyDescent="0.35">
      <c r="A212">
        <v>211</v>
      </c>
      <c r="B212" t="s">
        <v>2547</v>
      </c>
      <c r="C212" t="s">
        <v>365</v>
      </c>
      <c r="D212" t="s">
        <v>2548</v>
      </c>
      <c r="E212" t="s">
        <v>1692</v>
      </c>
      <c r="F212" t="s">
        <v>2549</v>
      </c>
      <c r="G212" t="s">
        <v>2549</v>
      </c>
      <c r="H212" t="s">
        <v>2550</v>
      </c>
    </row>
    <row r="213" spans="1:8" x14ac:dyDescent="0.35">
      <c r="A213">
        <v>212</v>
      </c>
      <c r="B213" t="s">
        <v>2551</v>
      </c>
      <c r="C213" t="s">
        <v>367</v>
      </c>
      <c r="D213" t="s">
        <v>2552</v>
      </c>
      <c r="E213" t="s">
        <v>2553</v>
      </c>
      <c r="F213" t="s">
        <v>2554</v>
      </c>
      <c r="G213" t="s">
        <v>2554</v>
      </c>
      <c r="H213" t="s">
        <v>2555</v>
      </c>
    </row>
    <row r="214" spans="1:8" x14ac:dyDescent="0.35">
      <c r="A214">
        <v>213</v>
      </c>
      <c r="B214" t="s">
        <v>2556</v>
      </c>
      <c r="C214" t="s">
        <v>369</v>
      </c>
      <c r="D214" t="s">
        <v>2557</v>
      </c>
      <c r="E214" t="s">
        <v>2558</v>
      </c>
      <c r="F214" t="s">
        <v>2559</v>
      </c>
      <c r="G214" t="s">
        <v>2559</v>
      </c>
      <c r="H214" t="s">
        <v>2560</v>
      </c>
    </row>
    <row r="215" spans="1:8" x14ac:dyDescent="0.35">
      <c r="A215">
        <v>214</v>
      </c>
      <c r="B215" t="s">
        <v>2561</v>
      </c>
      <c r="C215" t="s">
        <v>371</v>
      </c>
      <c r="D215" t="s">
        <v>2562</v>
      </c>
      <c r="E215" t="s">
        <v>1596</v>
      </c>
      <c r="F215" t="s">
        <v>2563</v>
      </c>
      <c r="G215" t="s">
        <v>2563</v>
      </c>
      <c r="H215" t="s">
        <v>2564</v>
      </c>
    </row>
    <row r="216" spans="1:8" x14ac:dyDescent="0.35">
      <c r="A216">
        <v>215</v>
      </c>
      <c r="B216" t="s">
        <v>2565</v>
      </c>
      <c r="C216" t="s">
        <v>373</v>
      </c>
      <c r="D216" t="s">
        <v>2566</v>
      </c>
      <c r="E216" t="s">
        <v>1775</v>
      </c>
      <c r="F216" t="s">
        <v>2567</v>
      </c>
      <c r="G216" t="s">
        <v>2567</v>
      </c>
      <c r="H216" t="s">
        <v>2568</v>
      </c>
    </row>
    <row r="217" spans="1:8" x14ac:dyDescent="0.35">
      <c r="A217">
        <v>216</v>
      </c>
      <c r="B217" t="s">
        <v>2569</v>
      </c>
      <c r="C217" t="s">
        <v>375</v>
      </c>
      <c r="D217" t="s">
        <v>2570</v>
      </c>
      <c r="E217" t="s">
        <v>1663</v>
      </c>
      <c r="F217" t="s">
        <v>2571</v>
      </c>
      <c r="G217" t="s">
        <v>2571</v>
      </c>
      <c r="H217" t="s">
        <v>2572</v>
      </c>
    </row>
    <row r="218" spans="1:8" x14ac:dyDescent="0.35">
      <c r="A218">
        <v>217</v>
      </c>
      <c r="B218" t="s">
        <v>2573</v>
      </c>
      <c r="C218" t="s">
        <v>377</v>
      </c>
      <c r="D218" t="s">
        <v>2574</v>
      </c>
      <c r="E218" t="s">
        <v>1764</v>
      </c>
      <c r="F218" t="s">
        <v>2575</v>
      </c>
      <c r="G218" t="s">
        <v>2575</v>
      </c>
      <c r="H218" t="s">
        <v>2576</v>
      </c>
    </row>
    <row r="219" spans="1:8" x14ac:dyDescent="0.35">
      <c r="A219">
        <v>218</v>
      </c>
      <c r="B219" t="s">
        <v>2577</v>
      </c>
      <c r="C219" t="s">
        <v>379</v>
      </c>
      <c r="D219" t="s">
        <v>2578</v>
      </c>
      <c r="E219" t="s">
        <v>2134</v>
      </c>
      <c r="F219" t="s">
        <v>2579</v>
      </c>
      <c r="G219" t="s">
        <v>2579</v>
      </c>
      <c r="H219" t="s">
        <v>2580</v>
      </c>
    </row>
    <row r="220" spans="1:8" x14ac:dyDescent="0.35">
      <c r="A220">
        <v>219</v>
      </c>
      <c r="B220" t="s">
        <v>2581</v>
      </c>
      <c r="C220" t="s">
        <v>76</v>
      </c>
      <c r="D220" t="s">
        <v>2582</v>
      </c>
      <c r="E220" t="s">
        <v>2114</v>
      </c>
      <c r="F220" t="s">
        <v>2583</v>
      </c>
      <c r="G220" t="s">
        <v>2583</v>
      </c>
      <c r="H220" t="s">
        <v>2584</v>
      </c>
    </row>
    <row r="221" spans="1:8" x14ac:dyDescent="0.35">
      <c r="A221">
        <v>220</v>
      </c>
      <c r="B221" t="s">
        <v>2585</v>
      </c>
      <c r="C221" t="s">
        <v>382</v>
      </c>
      <c r="D221" t="s">
        <v>2586</v>
      </c>
      <c r="E221" t="s">
        <v>2114</v>
      </c>
      <c r="F221" t="s">
        <v>2587</v>
      </c>
      <c r="G221" t="s">
        <v>2587</v>
      </c>
      <c r="H221" t="s">
        <v>2588</v>
      </c>
    </row>
    <row r="222" spans="1:8" x14ac:dyDescent="0.35">
      <c r="A222">
        <v>221</v>
      </c>
      <c r="B222" t="s">
        <v>2589</v>
      </c>
      <c r="C222" t="s">
        <v>326</v>
      </c>
      <c r="D222" t="s">
        <v>2590</v>
      </c>
      <c r="E222" t="s">
        <v>1999</v>
      </c>
      <c r="F222" t="s">
        <v>2591</v>
      </c>
      <c r="G222" t="s">
        <v>2591</v>
      </c>
      <c r="H222" t="s">
        <v>2592</v>
      </c>
    </row>
    <row r="223" spans="1:8" x14ac:dyDescent="0.35">
      <c r="A223">
        <v>222</v>
      </c>
      <c r="B223" t="s">
        <v>2593</v>
      </c>
      <c r="C223" t="s">
        <v>4</v>
      </c>
      <c r="D223" t="s">
        <v>2594</v>
      </c>
      <c r="E223" t="s">
        <v>1601</v>
      </c>
      <c r="F223" t="s">
        <v>2595</v>
      </c>
      <c r="G223" t="s">
        <v>2595</v>
      </c>
      <c r="H223" t="s">
        <v>2596</v>
      </c>
    </row>
    <row r="224" spans="1:8" x14ac:dyDescent="0.35">
      <c r="A224">
        <v>223</v>
      </c>
      <c r="B224" t="s">
        <v>2593</v>
      </c>
      <c r="C224" t="s">
        <v>4</v>
      </c>
      <c r="D224" t="s">
        <v>2594</v>
      </c>
      <c r="E224" t="s">
        <v>1601</v>
      </c>
      <c r="F224" t="s">
        <v>2595</v>
      </c>
      <c r="G224" t="s">
        <v>2595</v>
      </c>
      <c r="H224" t="s">
        <v>2596</v>
      </c>
    </row>
    <row r="225" spans="1:8" x14ac:dyDescent="0.35">
      <c r="A225">
        <v>224</v>
      </c>
      <c r="B225" t="s">
        <v>2593</v>
      </c>
      <c r="C225" t="s">
        <v>4</v>
      </c>
      <c r="D225" t="s">
        <v>2594</v>
      </c>
      <c r="E225" t="s">
        <v>1601</v>
      </c>
      <c r="F225" t="s">
        <v>2595</v>
      </c>
      <c r="G225" t="s">
        <v>2595</v>
      </c>
      <c r="H225" t="s">
        <v>2596</v>
      </c>
    </row>
    <row r="226" spans="1:8" x14ac:dyDescent="0.35">
      <c r="A226">
        <v>225</v>
      </c>
      <c r="B226" t="s">
        <v>2593</v>
      </c>
      <c r="C226" t="s">
        <v>4</v>
      </c>
      <c r="D226" t="s">
        <v>2594</v>
      </c>
      <c r="E226" t="s">
        <v>1601</v>
      </c>
      <c r="F226" t="s">
        <v>2595</v>
      </c>
      <c r="G226" t="s">
        <v>2595</v>
      </c>
      <c r="H226" t="s">
        <v>2596</v>
      </c>
    </row>
    <row r="227" spans="1:8" x14ac:dyDescent="0.35">
      <c r="A227">
        <v>226</v>
      </c>
      <c r="B227" t="s">
        <v>2597</v>
      </c>
      <c r="C227" t="s">
        <v>242</v>
      </c>
      <c r="D227" t="s">
        <v>2598</v>
      </c>
      <c r="E227" t="s">
        <v>2599</v>
      </c>
      <c r="F227" t="s">
        <v>2600</v>
      </c>
      <c r="G227" t="s">
        <v>2600</v>
      </c>
      <c r="H227" t="s">
        <v>2601</v>
      </c>
    </row>
    <row r="228" spans="1:8" x14ac:dyDescent="0.35">
      <c r="A228">
        <v>227</v>
      </c>
      <c r="B228" t="s">
        <v>2602</v>
      </c>
      <c r="C228" t="s">
        <v>280</v>
      </c>
      <c r="D228" t="s">
        <v>2603</v>
      </c>
      <c r="E228" t="s">
        <v>2604</v>
      </c>
      <c r="F228" t="s">
        <v>2605</v>
      </c>
      <c r="G228" t="s">
        <v>2605</v>
      </c>
      <c r="H228" t="s">
        <v>2606</v>
      </c>
    </row>
    <row r="229" spans="1:8" x14ac:dyDescent="0.35">
      <c r="A229">
        <v>228</v>
      </c>
      <c r="B229" t="s">
        <v>2607</v>
      </c>
      <c r="C229" t="s">
        <v>391</v>
      </c>
      <c r="D229" t="s">
        <v>2608</v>
      </c>
      <c r="E229" t="s">
        <v>2609</v>
      </c>
      <c r="F229" t="s">
        <v>2610</v>
      </c>
      <c r="G229" t="s">
        <v>2610</v>
      </c>
      <c r="H229" t="s">
        <v>2611</v>
      </c>
    </row>
    <row r="230" spans="1:8" x14ac:dyDescent="0.35">
      <c r="A230">
        <v>229</v>
      </c>
      <c r="B230" t="s">
        <v>2612</v>
      </c>
      <c r="C230" t="s">
        <v>393</v>
      </c>
      <c r="D230" t="s">
        <v>2613</v>
      </c>
      <c r="E230" t="s">
        <v>2272</v>
      </c>
      <c r="F230" t="s">
        <v>2614</v>
      </c>
      <c r="G230" t="s">
        <v>2614</v>
      </c>
      <c r="H230" t="s">
        <v>2615</v>
      </c>
    </row>
    <row r="231" spans="1:8" x14ac:dyDescent="0.35">
      <c r="A231">
        <v>230</v>
      </c>
      <c r="B231" t="s">
        <v>2616</v>
      </c>
      <c r="C231" t="s">
        <v>263</v>
      </c>
      <c r="D231" t="s">
        <v>2617</v>
      </c>
      <c r="E231" t="s">
        <v>2618</v>
      </c>
      <c r="F231" t="s">
        <v>2619</v>
      </c>
      <c r="G231" t="s">
        <v>2619</v>
      </c>
      <c r="H231" t="s">
        <v>2620</v>
      </c>
    </row>
    <row r="232" spans="1:8" x14ac:dyDescent="0.35">
      <c r="A232">
        <v>231</v>
      </c>
      <c r="B232" t="s">
        <v>2621</v>
      </c>
      <c r="C232" t="s">
        <v>396</v>
      </c>
      <c r="D232" t="s">
        <v>2622</v>
      </c>
      <c r="E232" t="s">
        <v>2008</v>
      </c>
      <c r="F232" t="s">
        <v>2623</v>
      </c>
      <c r="G232" t="s">
        <v>2623</v>
      </c>
      <c r="H232" t="s">
        <v>2624</v>
      </c>
    </row>
    <row r="233" spans="1:8" x14ac:dyDescent="0.35">
      <c r="A233">
        <v>232</v>
      </c>
      <c r="B233" t="s">
        <v>2625</v>
      </c>
      <c r="C233" t="s">
        <v>304</v>
      </c>
      <c r="D233" t="s">
        <v>2626</v>
      </c>
      <c r="E233" t="s">
        <v>2627</v>
      </c>
      <c r="F233" t="s">
        <v>2628</v>
      </c>
      <c r="G233" t="s">
        <v>2628</v>
      </c>
      <c r="H233" t="s">
        <v>2629</v>
      </c>
    </row>
    <row r="234" spans="1:8" x14ac:dyDescent="0.35">
      <c r="A234">
        <v>233</v>
      </c>
      <c r="B234" t="s">
        <v>2630</v>
      </c>
      <c r="C234" t="s">
        <v>213</v>
      </c>
      <c r="D234" t="s">
        <v>2631</v>
      </c>
      <c r="E234" t="s">
        <v>1785</v>
      </c>
      <c r="F234" t="s">
        <v>2632</v>
      </c>
      <c r="G234" t="s">
        <v>2632</v>
      </c>
      <c r="H234" t="s">
        <v>2633</v>
      </c>
    </row>
    <row r="235" spans="1:8" x14ac:dyDescent="0.35">
      <c r="A235">
        <v>234</v>
      </c>
      <c r="B235" t="s">
        <v>2634</v>
      </c>
      <c r="C235" t="s">
        <v>259</v>
      </c>
      <c r="D235" t="s">
        <v>2635</v>
      </c>
      <c r="E235" t="s">
        <v>2186</v>
      </c>
      <c r="F235" t="s">
        <v>2636</v>
      </c>
      <c r="G235" t="s">
        <v>2636</v>
      </c>
      <c r="H235" t="s">
        <v>2637</v>
      </c>
    </row>
    <row r="236" spans="1:8" x14ac:dyDescent="0.35">
      <c r="A236">
        <v>235</v>
      </c>
      <c r="B236" t="s">
        <v>2638</v>
      </c>
      <c r="C236" t="s">
        <v>401</v>
      </c>
      <c r="D236" t="s">
        <v>2639</v>
      </c>
      <c r="E236" t="s">
        <v>2640</v>
      </c>
      <c r="F236" t="s">
        <v>2641</v>
      </c>
      <c r="G236" t="s">
        <v>2642</v>
      </c>
      <c r="H236" t="s">
        <v>2643</v>
      </c>
    </row>
    <row r="237" spans="1:8" x14ac:dyDescent="0.35">
      <c r="A237">
        <v>236</v>
      </c>
      <c r="B237" t="s">
        <v>2644</v>
      </c>
      <c r="C237" t="s">
        <v>403</v>
      </c>
      <c r="D237" t="s">
        <v>2645</v>
      </c>
      <c r="E237" t="s">
        <v>2092</v>
      </c>
      <c r="F237" t="s">
        <v>2646</v>
      </c>
      <c r="G237" t="s">
        <v>2646</v>
      </c>
      <c r="H237" t="s">
        <v>2647</v>
      </c>
    </row>
    <row r="238" spans="1:8" x14ac:dyDescent="0.35">
      <c r="A238">
        <v>237</v>
      </c>
      <c r="B238" t="s">
        <v>2648</v>
      </c>
      <c r="C238" t="s">
        <v>405</v>
      </c>
      <c r="D238" t="s">
        <v>2649</v>
      </c>
      <c r="E238" t="s">
        <v>2558</v>
      </c>
      <c r="F238" t="s">
        <v>2650</v>
      </c>
      <c r="G238" t="s">
        <v>2650</v>
      </c>
      <c r="H238" t="s">
        <v>2651</v>
      </c>
    </row>
    <row r="239" spans="1:8" x14ac:dyDescent="0.35">
      <c r="A239">
        <v>238</v>
      </c>
      <c r="B239" t="s">
        <v>2652</v>
      </c>
      <c r="C239" t="s">
        <v>407</v>
      </c>
      <c r="D239" t="s">
        <v>2653</v>
      </c>
      <c r="E239" t="s">
        <v>1686</v>
      </c>
      <c r="F239" t="s">
        <v>2654</v>
      </c>
      <c r="G239" t="s">
        <v>2654</v>
      </c>
      <c r="H239" t="s">
        <v>2655</v>
      </c>
    </row>
    <row r="240" spans="1:8" x14ac:dyDescent="0.35">
      <c r="A240">
        <v>239</v>
      </c>
      <c r="B240" t="s">
        <v>2656</v>
      </c>
      <c r="C240" t="s">
        <v>409</v>
      </c>
      <c r="D240" t="s">
        <v>2657</v>
      </c>
      <c r="E240" t="s">
        <v>2627</v>
      </c>
      <c r="F240" t="s">
        <v>2658</v>
      </c>
      <c r="G240" t="s">
        <v>2658</v>
      </c>
      <c r="H240" t="s">
        <v>2659</v>
      </c>
    </row>
    <row r="241" spans="1:8" x14ac:dyDescent="0.35">
      <c r="A241">
        <v>240</v>
      </c>
      <c r="B241" t="s">
        <v>2660</v>
      </c>
      <c r="C241" t="s">
        <v>411</v>
      </c>
      <c r="D241" t="s">
        <v>2661</v>
      </c>
      <c r="E241" t="s">
        <v>1799</v>
      </c>
      <c r="F241" t="s">
        <v>2662</v>
      </c>
      <c r="G241" t="s">
        <v>2663</v>
      </c>
      <c r="H241" t="s">
        <v>2664</v>
      </c>
    </row>
    <row r="242" spans="1:8" x14ac:dyDescent="0.35">
      <c r="A242">
        <v>241</v>
      </c>
      <c r="B242" t="s">
        <v>2665</v>
      </c>
      <c r="C242" t="s">
        <v>413</v>
      </c>
      <c r="D242" t="s">
        <v>2666</v>
      </c>
      <c r="E242" t="s">
        <v>1730</v>
      </c>
      <c r="F242" t="s">
        <v>2667</v>
      </c>
      <c r="G242" t="s">
        <v>2667</v>
      </c>
      <c r="H242" t="s">
        <v>2668</v>
      </c>
    </row>
    <row r="243" spans="1:8" x14ac:dyDescent="0.35">
      <c r="A243">
        <v>242</v>
      </c>
      <c r="B243" t="s">
        <v>2669</v>
      </c>
      <c r="C243" t="s">
        <v>133</v>
      </c>
      <c r="D243" t="s">
        <v>2670</v>
      </c>
      <c r="E243" t="s">
        <v>2092</v>
      </c>
      <c r="F243" t="s">
        <v>2671</v>
      </c>
      <c r="G243" t="s">
        <v>2671</v>
      </c>
      <c r="H243" t="s">
        <v>2672</v>
      </c>
    </row>
    <row r="244" spans="1:8" x14ac:dyDescent="0.35">
      <c r="A244">
        <v>243</v>
      </c>
      <c r="B244" t="s">
        <v>2673</v>
      </c>
      <c r="C244" t="s">
        <v>382</v>
      </c>
      <c r="D244" t="s">
        <v>2674</v>
      </c>
      <c r="E244" t="s">
        <v>1607</v>
      </c>
      <c r="F244" t="s">
        <v>2675</v>
      </c>
      <c r="G244" t="s">
        <v>2675</v>
      </c>
      <c r="H244" t="s">
        <v>2676</v>
      </c>
    </row>
    <row r="245" spans="1:8" x14ac:dyDescent="0.35">
      <c r="A245">
        <v>244</v>
      </c>
      <c r="B245" t="s">
        <v>2677</v>
      </c>
      <c r="C245" t="s">
        <v>417</v>
      </c>
      <c r="D245" t="s">
        <v>2678</v>
      </c>
      <c r="E245" t="s">
        <v>2679</v>
      </c>
      <c r="F245" t="s">
        <v>2680</v>
      </c>
      <c r="G245" t="s">
        <v>2680</v>
      </c>
      <c r="H245" t="s">
        <v>2681</v>
      </c>
    </row>
    <row r="246" spans="1:8" x14ac:dyDescent="0.35">
      <c r="A246">
        <v>245</v>
      </c>
      <c r="B246" t="s">
        <v>2682</v>
      </c>
      <c r="C246" t="s">
        <v>419</v>
      </c>
      <c r="D246" t="s">
        <v>2683</v>
      </c>
      <c r="E246" t="s">
        <v>2684</v>
      </c>
      <c r="F246" t="s">
        <v>2685</v>
      </c>
      <c r="G246" t="s">
        <v>2686</v>
      </c>
      <c r="H246" t="s">
        <v>2687</v>
      </c>
    </row>
    <row r="247" spans="1:8" x14ac:dyDescent="0.35">
      <c r="A247">
        <v>246</v>
      </c>
      <c r="B247" t="s">
        <v>2688</v>
      </c>
      <c r="C247" t="s">
        <v>421</v>
      </c>
      <c r="D247" t="s">
        <v>2689</v>
      </c>
      <c r="E247" t="s">
        <v>2690</v>
      </c>
      <c r="F247" t="s">
        <v>2691</v>
      </c>
      <c r="G247" t="s">
        <v>2691</v>
      </c>
      <c r="H247" t="s">
        <v>2692</v>
      </c>
    </row>
    <row r="248" spans="1:8" x14ac:dyDescent="0.35">
      <c r="A248">
        <v>247</v>
      </c>
      <c r="B248" t="s">
        <v>2693</v>
      </c>
      <c r="C248" t="s">
        <v>379</v>
      </c>
      <c r="D248" t="s">
        <v>2694</v>
      </c>
      <c r="E248" t="s">
        <v>2082</v>
      </c>
      <c r="F248" t="s">
        <v>2695</v>
      </c>
      <c r="G248" t="s">
        <v>2695</v>
      </c>
      <c r="H248" t="s">
        <v>2696</v>
      </c>
    </row>
    <row r="249" spans="1:8" x14ac:dyDescent="0.35">
      <c r="A249">
        <v>248</v>
      </c>
      <c r="B249" t="s">
        <v>2697</v>
      </c>
      <c r="C249" t="s">
        <v>411</v>
      </c>
      <c r="D249" t="s">
        <v>2698</v>
      </c>
      <c r="E249" t="s">
        <v>1613</v>
      </c>
      <c r="F249" t="s">
        <v>2699</v>
      </c>
      <c r="G249" t="s">
        <v>2700</v>
      </c>
      <c r="H249" t="s">
        <v>2701</v>
      </c>
    </row>
    <row r="250" spans="1:8" x14ac:dyDescent="0.35">
      <c r="A250">
        <v>249</v>
      </c>
      <c r="B250" t="s">
        <v>2702</v>
      </c>
      <c r="C250" t="s">
        <v>133</v>
      </c>
      <c r="D250" t="s">
        <v>2703</v>
      </c>
      <c r="E250" t="s">
        <v>2335</v>
      </c>
      <c r="F250" t="s">
        <v>2704</v>
      </c>
      <c r="G250" t="s">
        <v>2704</v>
      </c>
      <c r="H250" t="s">
        <v>2705</v>
      </c>
    </row>
    <row r="251" spans="1:8" x14ac:dyDescent="0.35">
      <c r="A251">
        <v>250</v>
      </c>
      <c r="B251" t="s">
        <v>2706</v>
      </c>
      <c r="C251" t="s">
        <v>426</v>
      </c>
      <c r="D251" t="s">
        <v>2707</v>
      </c>
      <c r="E251" t="s">
        <v>1809</v>
      </c>
      <c r="F251" t="s">
        <v>2707</v>
      </c>
      <c r="G251" t="s">
        <v>2707</v>
      </c>
      <c r="H251" t="s">
        <v>2708</v>
      </c>
    </row>
    <row r="252" spans="1:8" x14ac:dyDescent="0.35">
      <c r="A252">
        <v>251</v>
      </c>
      <c r="B252" t="s">
        <v>2709</v>
      </c>
      <c r="C252" t="s">
        <v>428</v>
      </c>
      <c r="D252" t="s">
        <v>2710</v>
      </c>
      <c r="E252" t="s">
        <v>2092</v>
      </c>
      <c r="F252" t="s">
        <v>2711</v>
      </c>
      <c r="G252" t="s">
        <v>2711</v>
      </c>
      <c r="H252" t="s">
        <v>2712</v>
      </c>
    </row>
    <row r="253" spans="1:8" x14ac:dyDescent="0.35">
      <c r="A253">
        <v>252</v>
      </c>
      <c r="B253" t="s">
        <v>2713</v>
      </c>
      <c r="C253" t="s">
        <v>137</v>
      </c>
      <c r="D253" t="s">
        <v>2714</v>
      </c>
      <c r="E253" t="s">
        <v>1999</v>
      </c>
      <c r="F253" t="s">
        <v>2715</v>
      </c>
      <c r="G253" t="s">
        <v>2715</v>
      </c>
      <c r="H253" t="s">
        <v>2716</v>
      </c>
    </row>
    <row r="254" spans="1:8" x14ac:dyDescent="0.35">
      <c r="A254">
        <v>253</v>
      </c>
      <c r="B254" t="s">
        <v>2717</v>
      </c>
      <c r="C254" t="s">
        <v>431</v>
      </c>
      <c r="D254" t="s">
        <v>2718</v>
      </c>
      <c r="E254" t="s">
        <v>1799</v>
      </c>
      <c r="F254" t="s">
        <v>2719</v>
      </c>
      <c r="G254" t="s">
        <v>2719</v>
      </c>
      <c r="H254" t="s">
        <v>2720</v>
      </c>
    </row>
    <row r="255" spans="1:8" x14ac:dyDescent="0.35">
      <c r="A255">
        <v>254</v>
      </c>
      <c r="B255" t="s">
        <v>2721</v>
      </c>
      <c r="C255" t="s">
        <v>433</v>
      </c>
      <c r="D255" t="s">
        <v>2722</v>
      </c>
      <c r="E255" t="s">
        <v>2177</v>
      </c>
      <c r="F255" t="s">
        <v>2723</v>
      </c>
      <c r="G255" t="s">
        <v>2723</v>
      </c>
      <c r="H255" t="s">
        <v>2724</v>
      </c>
    </row>
    <row r="256" spans="1:8" x14ac:dyDescent="0.35">
      <c r="A256">
        <v>255</v>
      </c>
      <c r="B256" t="s">
        <v>2725</v>
      </c>
      <c r="C256" t="s">
        <v>435</v>
      </c>
      <c r="D256" t="s">
        <v>2726</v>
      </c>
      <c r="E256" t="s">
        <v>1758</v>
      </c>
      <c r="F256" t="s">
        <v>2727</v>
      </c>
      <c r="G256" t="s">
        <v>2727</v>
      </c>
      <c r="H256" t="s">
        <v>2728</v>
      </c>
    </row>
    <row r="257" spans="1:8" x14ac:dyDescent="0.35">
      <c r="A257">
        <v>256</v>
      </c>
      <c r="B257" t="s">
        <v>2729</v>
      </c>
      <c r="C257" t="s">
        <v>437</v>
      </c>
      <c r="D257" t="s">
        <v>2730</v>
      </c>
      <c r="E257" t="s">
        <v>1629</v>
      </c>
      <c r="F257" t="s">
        <v>2731</v>
      </c>
      <c r="G257" t="s">
        <v>2731</v>
      </c>
      <c r="H257" t="s">
        <v>2732</v>
      </c>
    </row>
    <row r="258" spans="1:8" x14ac:dyDescent="0.35">
      <c r="A258">
        <v>257</v>
      </c>
      <c r="B258" t="s">
        <v>2733</v>
      </c>
      <c r="C258" t="s">
        <v>91</v>
      </c>
      <c r="D258" t="s">
        <v>2734</v>
      </c>
      <c r="E258" t="s">
        <v>2335</v>
      </c>
      <c r="F258" t="s">
        <v>2735</v>
      </c>
      <c r="G258" t="s">
        <v>2735</v>
      </c>
      <c r="H258" t="s">
        <v>2736</v>
      </c>
    </row>
    <row r="259" spans="1:8" x14ac:dyDescent="0.35">
      <c r="A259">
        <v>258</v>
      </c>
      <c r="B259" t="s">
        <v>2737</v>
      </c>
      <c r="C259" t="s">
        <v>440</v>
      </c>
      <c r="D259" t="s">
        <v>2738</v>
      </c>
      <c r="E259" t="s">
        <v>1674</v>
      </c>
      <c r="F259" t="s">
        <v>2739</v>
      </c>
      <c r="G259" t="s">
        <v>2739</v>
      </c>
      <c r="H259" t="s">
        <v>2740</v>
      </c>
    </row>
    <row r="260" spans="1:8" x14ac:dyDescent="0.35">
      <c r="A260">
        <v>259</v>
      </c>
      <c r="B260" t="s">
        <v>2741</v>
      </c>
      <c r="C260" t="s">
        <v>442</v>
      </c>
      <c r="D260" t="s">
        <v>2742</v>
      </c>
      <c r="E260" t="s">
        <v>2743</v>
      </c>
      <c r="F260" t="s">
        <v>2744</v>
      </c>
      <c r="G260" t="s">
        <v>2744</v>
      </c>
      <c r="H260" t="s">
        <v>2745</v>
      </c>
    </row>
    <row r="261" spans="1:8" x14ac:dyDescent="0.35">
      <c r="A261">
        <v>260</v>
      </c>
      <c r="B261" t="s">
        <v>2746</v>
      </c>
      <c r="C261" t="s">
        <v>442</v>
      </c>
      <c r="D261" t="s">
        <v>2747</v>
      </c>
      <c r="E261" t="s">
        <v>2748</v>
      </c>
      <c r="F261" t="s">
        <v>2749</v>
      </c>
      <c r="G261" t="s">
        <v>2749</v>
      </c>
      <c r="H261" t="s">
        <v>2750</v>
      </c>
    </row>
    <row r="262" spans="1:8" x14ac:dyDescent="0.35">
      <c r="A262">
        <v>261</v>
      </c>
      <c r="B262" t="s">
        <v>2751</v>
      </c>
      <c r="C262" t="s">
        <v>445</v>
      </c>
      <c r="D262" t="s">
        <v>2752</v>
      </c>
      <c r="E262" t="s">
        <v>1680</v>
      </c>
      <c r="F262" t="s">
        <v>2753</v>
      </c>
      <c r="G262" t="s">
        <v>2754</v>
      </c>
      <c r="H262" t="s">
        <v>2755</v>
      </c>
    </row>
    <row r="263" spans="1:8" x14ac:dyDescent="0.35">
      <c r="A263">
        <v>262</v>
      </c>
      <c r="B263" t="s">
        <v>2756</v>
      </c>
      <c r="C263" t="s">
        <v>447</v>
      </c>
      <c r="D263" t="s">
        <v>2757</v>
      </c>
      <c r="E263" t="s">
        <v>2609</v>
      </c>
      <c r="F263" t="s">
        <v>2758</v>
      </c>
      <c r="G263" t="s">
        <v>2758</v>
      </c>
      <c r="H263" t="s">
        <v>2759</v>
      </c>
    </row>
    <row r="264" spans="1:8" x14ac:dyDescent="0.35">
      <c r="A264">
        <v>263</v>
      </c>
      <c r="B264" t="s">
        <v>2760</v>
      </c>
      <c r="C264" t="s">
        <v>449</v>
      </c>
      <c r="D264" t="s">
        <v>2761</v>
      </c>
      <c r="E264" t="s">
        <v>2553</v>
      </c>
      <c r="F264" t="s">
        <v>2762</v>
      </c>
      <c r="G264" t="s">
        <v>2762</v>
      </c>
      <c r="H264" t="s">
        <v>2763</v>
      </c>
    </row>
    <row r="265" spans="1:8" x14ac:dyDescent="0.35">
      <c r="A265">
        <v>264</v>
      </c>
      <c r="B265" t="s">
        <v>2764</v>
      </c>
      <c r="C265" t="s">
        <v>451</v>
      </c>
      <c r="D265" t="s">
        <v>2765</v>
      </c>
      <c r="E265" t="s">
        <v>2069</v>
      </c>
      <c r="F265" t="s">
        <v>2766</v>
      </c>
      <c r="G265" t="s">
        <v>2766</v>
      </c>
      <c r="H265" t="s">
        <v>2767</v>
      </c>
    </row>
    <row r="266" spans="1:8" x14ac:dyDescent="0.35">
      <c r="A266">
        <v>265</v>
      </c>
      <c r="B266" t="s">
        <v>2768</v>
      </c>
      <c r="C266" t="s">
        <v>102</v>
      </c>
      <c r="D266" t="s">
        <v>2769</v>
      </c>
      <c r="E266" t="s">
        <v>2558</v>
      </c>
      <c r="F266" t="s">
        <v>2770</v>
      </c>
      <c r="G266" t="s">
        <v>2770</v>
      </c>
      <c r="H266" t="s">
        <v>2771</v>
      </c>
    </row>
    <row r="267" spans="1:8" x14ac:dyDescent="0.35">
      <c r="A267">
        <v>266</v>
      </c>
      <c r="B267" t="s">
        <v>2772</v>
      </c>
      <c r="C267" t="s">
        <v>454</v>
      </c>
      <c r="D267" t="s">
        <v>2773</v>
      </c>
      <c r="E267" t="s">
        <v>2558</v>
      </c>
      <c r="F267" t="s">
        <v>2774</v>
      </c>
      <c r="G267" t="s">
        <v>2774</v>
      </c>
      <c r="H267" t="s">
        <v>2775</v>
      </c>
    </row>
    <row r="268" spans="1:8" x14ac:dyDescent="0.35">
      <c r="A268">
        <v>267</v>
      </c>
      <c r="B268" t="s">
        <v>2776</v>
      </c>
      <c r="C268" t="s">
        <v>456</v>
      </c>
      <c r="D268" t="s">
        <v>2777</v>
      </c>
      <c r="E268" t="s">
        <v>2074</v>
      </c>
      <c r="F268" t="s">
        <v>2778</v>
      </c>
      <c r="G268" t="s">
        <v>2778</v>
      </c>
      <c r="H268" t="s">
        <v>2779</v>
      </c>
    </row>
    <row r="269" spans="1:8" x14ac:dyDescent="0.35">
      <c r="A269">
        <v>268</v>
      </c>
      <c r="B269" t="s">
        <v>2780</v>
      </c>
      <c r="C269" t="s">
        <v>458</v>
      </c>
      <c r="D269" t="s">
        <v>2781</v>
      </c>
      <c r="E269" t="s">
        <v>2782</v>
      </c>
      <c r="F269" t="s">
        <v>2783</v>
      </c>
      <c r="G269" t="s">
        <v>2784</v>
      </c>
      <c r="H269" t="s">
        <v>2785</v>
      </c>
    </row>
    <row r="270" spans="1:8" x14ac:dyDescent="0.35">
      <c r="A270">
        <v>269</v>
      </c>
      <c r="B270" t="s">
        <v>2786</v>
      </c>
      <c r="C270" t="s">
        <v>460</v>
      </c>
      <c r="D270" t="s">
        <v>2787</v>
      </c>
      <c r="E270" t="s">
        <v>1692</v>
      </c>
      <c r="F270" t="s">
        <v>2788</v>
      </c>
      <c r="G270" t="s">
        <v>2788</v>
      </c>
      <c r="H270" t="s">
        <v>2789</v>
      </c>
    </row>
    <row r="271" spans="1:8" x14ac:dyDescent="0.35">
      <c r="A271">
        <v>270</v>
      </c>
      <c r="B271" t="s">
        <v>2790</v>
      </c>
      <c r="C271" t="s">
        <v>442</v>
      </c>
      <c r="D271" t="s">
        <v>2791</v>
      </c>
      <c r="E271" t="s">
        <v>2782</v>
      </c>
      <c r="F271" t="s">
        <v>2792</v>
      </c>
      <c r="G271" t="s">
        <v>2792</v>
      </c>
      <c r="H271" t="s">
        <v>2793</v>
      </c>
    </row>
    <row r="272" spans="1:8" x14ac:dyDescent="0.35">
      <c r="A272">
        <v>271</v>
      </c>
      <c r="B272" t="s">
        <v>2794</v>
      </c>
      <c r="C272" t="s">
        <v>463</v>
      </c>
      <c r="D272" t="s">
        <v>2795</v>
      </c>
      <c r="E272" t="s">
        <v>2796</v>
      </c>
      <c r="F272" t="s">
        <v>2797</v>
      </c>
      <c r="G272" t="s">
        <v>2797</v>
      </c>
      <c r="H272" t="s">
        <v>2798</v>
      </c>
    </row>
    <row r="273" spans="1:8" x14ac:dyDescent="0.35">
      <c r="A273">
        <v>272</v>
      </c>
      <c r="B273" t="s">
        <v>2799</v>
      </c>
      <c r="C273" t="s">
        <v>463</v>
      </c>
      <c r="D273" t="s">
        <v>2800</v>
      </c>
      <c r="E273" t="s">
        <v>2558</v>
      </c>
      <c r="F273" t="s">
        <v>2801</v>
      </c>
      <c r="G273" t="s">
        <v>2802</v>
      </c>
      <c r="H273" t="s">
        <v>2803</v>
      </c>
    </row>
    <row r="274" spans="1:8" x14ac:dyDescent="0.35">
      <c r="A274">
        <v>273</v>
      </c>
      <c r="B274" t="s">
        <v>2804</v>
      </c>
      <c r="C274" t="s">
        <v>379</v>
      </c>
      <c r="D274" t="s">
        <v>2805</v>
      </c>
      <c r="E274" t="s">
        <v>2806</v>
      </c>
      <c r="F274" t="s">
        <v>2807</v>
      </c>
      <c r="G274" t="s">
        <v>2807</v>
      </c>
      <c r="H274" t="s">
        <v>2808</v>
      </c>
    </row>
    <row r="275" spans="1:8" x14ac:dyDescent="0.35">
      <c r="A275">
        <v>274</v>
      </c>
      <c r="B275" t="s">
        <v>2809</v>
      </c>
      <c r="C275" t="s">
        <v>467</v>
      </c>
      <c r="D275" t="s">
        <v>2810</v>
      </c>
      <c r="E275" t="s">
        <v>1893</v>
      </c>
      <c r="F275" t="s">
        <v>2811</v>
      </c>
      <c r="G275" t="s">
        <v>2812</v>
      </c>
      <c r="H275" t="s">
        <v>2813</v>
      </c>
    </row>
    <row r="276" spans="1:8" x14ac:dyDescent="0.35">
      <c r="A276">
        <v>275</v>
      </c>
      <c r="B276" t="s">
        <v>2814</v>
      </c>
      <c r="C276" t="s">
        <v>467</v>
      </c>
      <c r="D276" t="s">
        <v>2815</v>
      </c>
      <c r="E276" t="s">
        <v>1884</v>
      </c>
      <c r="F276" t="s">
        <v>2816</v>
      </c>
      <c r="G276" t="s">
        <v>2817</v>
      </c>
      <c r="H276" t="s">
        <v>2818</v>
      </c>
    </row>
    <row r="277" spans="1:8" x14ac:dyDescent="0.35">
      <c r="A277">
        <v>276</v>
      </c>
      <c r="B277" t="s">
        <v>2819</v>
      </c>
      <c r="C277" t="s">
        <v>470</v>
      </c>
      <c r="D277" t="s">
        <v>2820</v>
      </c>
      <c r="E277" t="s">
        <v>2609</v>
      </c>
      <c r="F277" t="s">
        <v>2821</v>
      </c>
      <c r="G277" t="s">
        <v>2822</v>
      </c>
      <c r="H277" t="s">
        <v>2823</v>
      </c>
    </row>
    <row r="278" spans="1:8" x14ac:dyDescent="0.35">
      <c r="A278">
        <v>277</v>
      </c>
      <c r="B278" t="s">
        <v>2824</v>
      </c>
      <c r="C278" t="s">
        <v>472</v>
      </c>
      <c r="D278" t="s">
        <v>2825</v>
      </c>
      <c r="E278" t="s">
        <v>2253</v>
      </c>
      <c r="F278" t="s">
        <v>2826</v>
      </c>
      <c r="G278" t="s">
        <v>2826</v>
      </c>
      <c r="H278" t="s">
        <v>2827</v>
      </c>
    </row>
    <row r="279" spans="1:8" x14ac:dyDescent="0.35">
      <c r="A279">
        <v>278</v>
      </c>
      <c r="B279" t="s">
        <v>2828</v>
      </c>
      <c r="C279" t="s">
        <v>442</v>
      </c>
      <c r="D279" t="s">
        <v>2829</v>
      </c>
      <c r="E279" t="s">
        <v>2599</v>
      </c>
      <c r="F279" t="s">
        <v>2830</v>
      </c>
      <c r="G279" t="s">
        <v>2830</v>
      </c>
      <c r="H279" t="s">
        <v>2831</v>
      </c>
    </row>
    <row r="280" spans="1:8" x14ac:dyDescent="0.35">
      <c r="A280">
        <v>279</v>
      </c>
      <c r="B280" t="s">
        <v>2832</v>
      </c>
      <c r="C280" t="s">
        <v>475</v>
      </c>
      <c r="D280" t="s">
        <v>2833</v>
      </c>
      <c r="E280" t="s">
        <v>2229</v>
      </c>
      <c r="F280" t="s">
        <v>2834</v>
      </c>
      <c r="G280" t="s">
        <v>2834</v>
      </c>
      <c r="H280" t="s">
        <v>2835</v>
      </c>
    </row>
    <row r="281" spans="1:8" x14ac:dyDescent="0.35">
      <c r="A281">
        <v>280</v>
      </c>
      <c r="B281" t="s">
        <v>2836</v>
      </c>
      <c r="C281" t="s">
        <v>477</v>
      </c>
      <c r="D281" t="s">
        <v>2837</v>
      </c>
      <c r="E281" t="s">
        <v>2164</v>
      </c>
      <c r="F281" t="s">
        <v>2838</v>
      </c>
      <c r="G281" t="s">
        <v>2838</v>
      </c>
      <c r="H281" t="s">
        <v>2839</v>
      </c>
    </row>
    <row r="282" spans="1:8" x14ac:dyDescent="0.35">
      <c r="A282">
        <v>281</v>
      </c>
      <c r="B282" t="s">
        <v>2840</v>
      </c>
      <c r="C282" t="s">
        <v>445</v>
      </c>
      <c r="D282" t="s">
        <v>2841</v>
      </c>
      <c r="E282" t="s">
        <v>2052</v>
      </c>
      <c r="F282" t="s">
        <v>2842</v>
      </c>
      <c r="G282" t="s">
        <v>2842</v>
      </c>
      <c r="H282" t="s">
        <v>2843</v>
      </c>
    </row>
    <row r="283" spans="1:8" x14ac:dyDescent="0.35">
      <c r="A283">
        <v>282</v>
      </c>
      <c r="B283" t="s">
        <v>2844</v>
      </c>
      <c r="C283" t="s">
        <v>480</v>
      </c>
      <c r="D283" t="s">
        <v>2845</v>
      </c>
      <c r="E283" t="s">
        <v>1596</v>
      </c>
      <c r="F283" t="s">
        <v>2845</v>
      </c>
      <c r="G283" t="s">
        <v>2845</v>
      </c>
      <c r="H283" t="s">
        <v>2846</v>
      </c>
    </row>
    <row r="284" spans="1:8" x14ac:dyDescent="0.35">
      <c r="A284">
        <v>283</v>
      </c>
      <c r="B284" t="s">
        <v>2847</v>
      </c>
      <c r="C284" t="s">
        <v>482</v>
      </c>
      <c r="D284" t="s">
        <v>2848</v>
      </c>
      <c r="E284" t="s">
        <v>2599</v>
      </c>
      <c r="F284" t="s">
        <v>2849</v>
      </c>
      <c r="G284" t="s">
        <v>2850</v>
      </c>
      <c r="H284" t="s">
        <v>2851</v>
      </c>
    </row>
    <row r="285" spans="1:8" x14ac:dyDescent="0.35">
      <c r="A285">
        <v>284</v>
      </c>
      <c r="B285" t="s">
        <v>2852</v>
      </c>
      <c r="C285" t="s">
        <v>484</v>
      </c>
      <c r="D285" t="s">
        <v>2853</v>
      </c>
      <c r="E285" t="s">
        <v>2348</v>
      </c>
      <c r="F285" t="s">
        <v>2854</v>
      </c>
      <c r="G285" t="s">
        <v>2854</v>
      </c>
      <c r="H285" t="s">
        <v>2855</v>
      </c>
    </row>
    <row r="286" spans="1:8" x14ac:dyDescent="0.35">
      <c r="A286">
        <v>285</v>
      </c>
      <c r="B286" t="s">
        <v>2856</v>
      </c>
      <c r="C286" t="s">
        <v>486</v>
      </c>
      <c r="D286" t="s">
        <v>2857</v>
      </c>
      <c r="E286" t="s">
        <v>1888</v>
      </c>
      <c r="F286" t="s">
        <v>2858</v>
      </c>
      <c r="G286" t="s">
        <v>2858</v>
      </c>
      <c r="H286" t="s">
        <v>2859</v>
      </c>
    </row>
    <row r="287" spans="1:8" x14ac:dyDescent="0.35">
      <c r="A287">
        <v>286</v>
      </c>
      <c r="B287" t="s">
        <v>2860</v>
      </c>
      <c r="C287" t="s">
        <v>488</v>
      </c>
      <c r="D287" t="s">
        <v>2861</v>
      </c>
      <c r="E287" t="s">
        <v>2862</v>
      </c>
      <c r="F287" t="s">
        <v>2863</v>
      </c>
      <c r="G287" t="s">
        <v>2863</v>
      </c>
      <c r="H287" t="s">
        <v>2864</v>
      </c>
    </row>
    <row r="288" spans="1:8" x14ac:dyDescent="0.35">
      <c r="A288">
        <v>287</v>
      </c>
      <c r="B288" t="s">
        <v>2865</v>
      </c>
      <c r="C288" t="s">
        <v>490</v>
      </c>
      <c r="D288" t="s">
        <v>2866</v>
      </c>
      <c r="E288" t="s">
        <v>2867</v>
      </c>
      <c r="F288" t="s">
        <v>2868</v>
      </c>
      <c r="G288" t="s">
        <v>2869</v>
      </c>
      <c r="H288" t="s">
        <v>2870</v>
      </c>
    </row>
    <row r="289" spans="1:8" x14ac:dyDescent="0.35">
      <c r="A289">
        <v>288</v>
      </c>
      <c r="B289" t="s">
        <v>2871</v>
      </c>
      <c r="C289" t="s">
        <v>492</v>
      </c>
      <c r="D289" t="s">
        <v>2872</v>
      </c>
      <c r="E289" t="s">
        <v>1669</v>
      </c>
      <c r="F289" t="s">
        <v>2873</v>
      </c>
      <c r="G289" t="s">
        <v>2874</v>
      </c>
      <c r="H289" t="s">
        <v>2875</v>
      </c>
    </row>
    <row r="290" spans="1:8" x14ac:dyDescent="0.35">
      <c r="A290">
        <v>289</v>
      </c>
      <c r="B290" t="s">
        <v>2876</v>
      </c>
      <c r="C290" t="s">
        <v>494</v>
      </c>
      <c r="D290" t="s">
        <v>2877</v>
      </c>
      <c r="E290" t="s">
        <v>2878</v>
      </c>
      <c r="F290" t="s">
        <v>2879</v>
      </c>
      <c r="G290" t="s">
        <v>2880</v>
      </c>
      <c r="H290" t="s">
        <v>2881</v>
      </c>
    </row>
    <row r="291" spans="1:8" x14ac:dyDescent="0.35">
      <c r="A291">
        <v>290</v>
      </c>
      <c r="B291" t="s">
        <v>2882</v>
      </c>
      <c r="C291" t="s">
        <v>496</v>
      </c>
      <c r="D291" t="s">
        <v>2883</v>
      </c>
      <c r="E291" t="s">
        <v>1799</v>
      </c>
      <c r="F291" t="s">
        <v>2884</v>
      </c>
      <c r="G291" t="s">
        <v>2884</v>
      </c>
      <c r="H291" t="s">
        <v>2885</v>
      </c>
    </row>
    <row r="292" spans="1:8" x14ac:dyDescent="0.35">
      <c r="A292">
        <v>291</v>
      </c>
      <c r="B292" t="s">
        <v>2886</v>
      </c>
      <c r="C292" t="s">
        <v>498</v>
      </c>
      <c r="D292" t="s">
        <v>2887</v>
      </c>
      <c r="E292" t="s">
        <v>1596</v>
      </c>
      <c r="F292" t="s">
        <v>2888</v>
      </c>
      <c r="G292" t="s">
        <v>2888</v>
      </c>
      <c r="H292" t="s">
        <v>2888</v>
      </c>
    </row>
    <row r="293" spans="1:8" x14ac:dyDescent="0.35">
      <c r="A293">
        <v>292</v>
      </c>
      <c r="B293" t="s">
        <v>2889</v>
      </c>
      <c r="C293" t="s">
        <v>442</v>
      </c>
      <c r="D293" t="s">
        <v>2890</v>
      </c>
      <c r="E293" t="s">
        <v>2609</v>
      </c>
      <c r="F293" t="s">
        <v>2891</v>
      </c>
      <c r="G293" t="s">
        <v>2891</v>
      </c>
      <c r="H293" t="s">
        <v>2892</v>
      </c>
    </row>
    <row r="294" spans="1:8" x14ac:dyDescent="0.35">
      <c r="A294">
        <v>293</v>
      </c>
      <c r="B294" t="s">
        <v>2893</v>
      </c>
      <c r="C294" t="s">
        <v>501</v>
      </c>
      <c r="D294" t="s">
        <v>2894</v>
      </c>
      <c r="E294" t="s">
        <v>2878</v>
      </c>
      <c r="F294" t="s">
        <v>2895</v>
      </c>
      <c r="G294" t="s">
        <v>2895</v>
      </c>
      <c r="H294" t="s">
        <v>2896</v>
      </c>
    </row>
    <row r="295" spans="1:8" x14ac:dyDescent="0.35">
      <c r="A295">
        <v>294</v>
      </c>
      <c r="B295" t="s">
        <v>2897</v>
      </c>
      <c r="C295" t="s">
        <v>503</v>
      </c>
      <c r="D295" t="s">
        <v>2898</v>
      </c>
      <c r="E295" t="s">
        <v>2899</v>
      </c>
      <c r="F295" t="s">
        <v>2900</v>
      </c>
      <c r="G295" t="s">
        <v>2900</v>
      </c>
      <c r="H295" t="s">
        <v>2901</v>
      </c>
    </row>
    <row r="296" spans="1:8" x14ac:dyDescent="0.35">
      <c r="A296">
        <v>295</v>
      </c>
      <c r="B296" t="s">
        <v>2902</v>
      </c>
      <c r="C296" t="s">
        <v>76</v>
      </c>
      <c r="D296" t="s">
        <v>2903</v>
      </c>
      <c r="E296" t="s">
        <v>2904</v>
      </c>
      <c r="F296" t="s">
        <v>2905</v>
      </c>
      <c r="G296" t="s">
        <v>2905</v>
      </c>
      <c r="H296" t="s">
        <v>2906</v>
      </c>
    </row>
    <row r="297" spans="1:8" x14ac:dyDescent="0.35">
      <c r="A297">
        <v>296</v>
      </c>
      <c r="B297" t="s">
        <v>2907</v>
      </c>
      <c r="C297" t="s">
        <v>506</v>
      </c>
      <c r="D297" t="s">
        <v>2908</v>
      </c>
      <c r="E297" t="s">
        <v>1730</v>
      </c>
      <c r="F297" t="s">
        <v>2909</v>
      </c>
      <c r="G297" t="s">
        <v>2909</v>
      </c>
      <c r="H297" t="s">
        <v>2910</v>
      </c>
    </row>
    <row r="298" spans="1:8" x14ac:dyDescent="0.35">
      <c r="A298">
        <v>297</v>
      </c>
      <c r="B298" t="s">
        <v>2911</v>
      </c>
      <c r="C298" t="s">
        <v>508</v>
      </c>
      <c r="D298" t="s">
        <v>2912</v>
      </c>
      <c r="E298" t="s">
        <v>1669</v>
      </c>
      <c r="F298" t="s">
        <v>2913</v>
      </c>
      <c r="G298" t="s">
        <v>2913</v>
      </c>
      <c r="H298" t="s">
        <v>2914</v>
      </c>
    </row>
    <row r="299" spans="1:8" x14ac:dyDescent="0.35">
      <c r="A299">
        <v>298</v>
      </c>
      <c r="B299" t="s">
        <v>2915</v>
      </c>
      <c r="C299" t="s">
        <v>510</v>
      </c>
      <c r="D299" t="s">
        <v>2916</v>
      </c>
      <c r="E299" t="s">
        <v>1906</v>
      </c>
      <c r="F299" t="s">
        <v>2917</v>
      </c>
      <c r="G299" t="s">
        <v>2917</v>
      </c>
      <c r="H299" t="s">
        <v>2918</v>
      </c>
    </row>
    <row r="300" spans="1:8" x14ac:dyDescent="0.35">
      <c r="A300">
        <v>299</v>
      </c>
      <c r="B300" t="s">
        <v>2919</v>
      </c>
      <c r="C300" t="s">
        <v>512</v>
      </c>
      <c r="D300" t="s">
        <v>2920</v>
      </c>
      <c r="E300" t="s">
        <v>2921</v>
      </c>
      <c r="F300" t="s">
        <v>2922</v>
      </c>
      <c r="G300" t="s">
        <v>2922</v>
      </c>
      <c r="H300" t="s">
        <v>2923</v>
      </c>
    </row>
    <row r="301" spans="1:8" x14ac:dyDescent="0.35">
      <c r="A301">
        <v>300</v>
      </c>
      <c r="B301" t="s">
        <v>2924</v>
      </c>
      <c r="C301" t="s">
        <v>447</v>
      </c>
      <c r="D301" t="s">
        <v>2925</v>
      </c>
      <c r="E301" t="s">
        <v>2599</v>
      </c>
      <c r="F301" t="s">
        <v>2926</v>
      </c>
      <c r="G301" t="s">
        <v>2926</v>
      </c>
      <c r="H301" t="s">
        <v>2927</v>
      </c>
    </row>
    <row r="302" spans="1:8" x14ac:dyDescent="0.35">
      <c r="A302">
        <v>301</v>
      </c>
      <c r="B302" t="s">
        <v>2928</v>
      </c>
      <c r="C302" t="s">
        <v>515</v>
      </c>
      <c r="D302" t="s">
        <v>2929</v>
      </c>
      <c r="E302" t="s">
        <v>1735</v>
      </c>
      <c r="F302" t="s">
        <v>2930</v>
      </c>
      <c r="G302" t="s">
        <v>2930</v>
      </c>
      <c r="H302" t="s">
        <v>2931</v>
      </c>
    </row>
    <row r="303" spans="1:8" x14ac:dyDescent="0.35">
      <c r="A303">
        <v>302</v>
      </c>
      <c r="B303" t="s">
        <v>2932</v>
      </c>
      <c r="C303" t="s">
        <v>517</v>
      </c>
      <c r="D303" t="s">
        <v>2933</v>
      </c>
      <c r="E303" t="s">
        <v>2934</v>
      </c>
      <c r="F303" t="s">
        <v>2935</v>
      </c>
      <c r="G303" t="s">
        <v>2935</v>
      </c>
      <c r="H303" t="s">
        <v>2936</v>
      </c>
    </row>
    <row r="304" spans="1:8" x14ac:dyDescent="0.35">
      <c r="A304">
        <v>303</v>
      </c>
      <c r="B304" t="s">
        <v>2937</v>
      </c>
      <c r="C304" t="s">
        <v>519</v>
      </c>
      <c r="D304" t="s">
        <v>2938</v>
      </c>
      <c r="E304" t="s">
        <v>1692</v>
      </c>
      <c r="F304" t="s">
        <v>2939</v>
      </c>
      <c r="G304" t="s">
        <v>2939</v>
      </c>
      <c r="H304" t="s">
        <v>2940</v>
      </c>
    </row>
    <row r="305" spans="1:8" x14ac:dyDescent="0.35">
      <c r="A305">
        <v>304</v>
      </c>
      <c r="B305" t="s">
        <v>2941</v>
      </c>
      <c r="C305" t="s">
        <v>519</v>
      </c>
      <c r="D305" t="s">
        <v>2942</v>
      </c>
      <c r="E305" t="s">
        <v>1735</v>
      </c>
      <c r="F305" t="s">
        <v>2943</v>
      </c>
      <c r="G305" t="s">
        <v>2943</v>
      </c>
      <c r="H305" t="s">
        <v>2944</v>
      </c>
    </row>
    <row r="306" spans="1:8" x14ac:dyDescent="0.35">
      <c r="A306">
        <v>305</v>
      </c>
      <c r="B306" t="s">
        <v>2945</v>
      </c>
      <c r="C306" t="s">
        <v>522</v>
      </c>
      <c r="D306" t="s">
        <v>2946</v>
      </c>
      <c r="E306" t="s">
        <v>2008</v>
      </c>
      <c r="F306" t="s">
        <v>2947</v>
      </c>
      <c r="G306" t="s">
        <v>2948</v>
      </c>
      <c r="H306" t="s">
        <v>2949</v>
      </c>
    </row>
    <row r="307" spans="1:8" x14ac:dyDescent="0.35">
      <c r="A307">
        <v>306</v>
      </c>
      <c r="B307" t="s">
        <v>2950</v>
      </c>
      <c r="C307" t="s">
        <v>447</v>
      </c>
      <c r="D307" t="s">
        <v>2951</v>
      </c>
      <c r="E307" t="s">
        <v>1775</v>
      </c>
      <c r="F307" t="s">
        <v>2952</v>
      </c>
      <c r="G307" t="s">
        <v>2952</v>
      </c>
      <c r="H307" t="s">
        <v>2953</v>
      </c>
    </row>
    <row r="308" spans="1:8" x14ac:dyDescent="0.35">
      <c r="A308">
        <v>307</v>
      </c>
      <c r="B308" t="s">
        <v>2954</v>
      </c>
      <c r="C308" t="s">
        <v>525</v>
      </c>
      <c r="D308" t="s">
        <v>2955</v>
      </c>
      <c r="E308" t="s">
        <v>1764</v>
      </c>
      <c r="F308" t="s">
        <v>2956</v>
      </c>
      <c r="G308" t="s">
        <v>2956</v>
      </c>
      <c r="H308" t="s">
        <v>2957</v>
      </c>
    </row>
    <row r="309" spans="1:8" x14ac:dyDescent="0.35">
      <c r="A309">
        <v>308</v>
      </c>
      <c r="B309" t="s">
        <v>2958</v>
      </c>
      <c r="C309" t="s">
        <v>447</v>
      </c>
      <c r="D309" t="s">
        <v>2959</v>
      </c>
      <c r="E309" t="s">
        <v>2442</v>
      </c>
      <c r="F309" t="s">
        <v>2960</v>
      </c>
      <c r="G309" t="s">
        <v>2960</v>
      </c>
      <c r="H309" t="s">
        <v>2961</v>
      </c>
    </row>
    <row r="310" spans="1:8" x14ac:dyDescent="0.35">
      <c r="A310">
        <v>309</v>
      </c>
      <c r="B310" t="s">
        <v>2962</v>
      </c>
      <c r="C310" t="s">
        <v>528</v>
      </c>
      <c r="D310" t="s">
        <v>2963</v>
      </c>
      <c r="E310" t="s">
        <v>1596</v>
      </c>
      <c r="F310" t="s">
        <v>2964</v>
      </c>
      <c r="G310" t="s">
        <v>2965</v>
      </c>
      <c r="H310" t="s">
        <v>2966</v>
      </c>
    </row>
    <row r="311" spans="1:8" x14ac:dyDescent="0.35">
      <c r="A311">
        <v>310</v>
      </c>
      <c r="B311" t="s">
        <v>2967</v>
      </c>
      <c r="C311" t="s">
        <v>442</v>
      </c>
      <c r="D311" t="s">
        <v>2968</v>
      </c>
      <c r="E311" t="s">
        <v>2609</v>
      </c>
      <c r="F311" t="s">
        <v>2969</v>
      </c>
      <c r="G311" t="s">
        <v>2969</v>
      </c>
      <c r="H311" t="s">
        <v>2970</v>
      </c>
    </row>
    <row r="312" spans="1:8" x14ac:dyDescent="0.35">
      <c r="A312">
        <v>311</v>
      </c>
      <c r="B312" t="s">
        <v>2971</v>
      </c>
      <c r="C312" t="s">
        <v>531</v>
      </c>
      <c r="D312" t="s">
        <v>2972</v>
      </c>
      <c r="E312" t="s">
        <v>2782</v>
      </c>
      <c r="F312" t="s">
        <v>2973</v>
      </c>
      <c r="G312" t="s">
        <v>2973</v>
      </c>
      <c r="H312" t="s">
        <v>2974</v>
      </c>
    </row>
    <row r="313" spans="1:8" x14ac:dyDescent="0.35">
      <c r="A313">
        <v>312</v>
      </c>
      <c r="B313" t="s">
        <v>2975</v>
      </c>
      <c r="C313" t="s">
        <v>533</v>
      </c>
      <c r="D313" t="s">
        <v>2976</v>
      </c>
      <c r="E313" t="s">
        <v>2977</v>
      </c>
      <c r="F313" t="s">
        <v>2978</v>
      </c>
      <c r="G313" t="s">
        <v>2979</v>
      </c>
      <c r="H313" t="s">
        <v>2980</v>
      </c>
    </row>
    <row r="314" spans="1:8" x14ac:dyDescent="0.35">
      <c r="A314">
        <v>313</v>
      </c>
      <c r="B314" t="s">
        <v>2981</v>
      </c>
      <c r="C314" t="s">
        <v>535</v>
      </c>
      <c r="D314" t="s">
        <v>2982</v>
      </c>
      <c r="E314" t="s">
        <v>2977</v>
      </c>
      <c r="F314" t="s">
        <v>2983</v>
      </c>
      <c r="G314" t="s">
        <v>2984</v>
      </c>
      <c r="H314" t="s">
        <v>2985</v>
      </c>
    </row>
    <row r="315" spans="1:8" x14ac:dyDescent="0.35">
      <c r="A315">
        <v>314</v>
      </c>
      <c r="B315" t="s">
        <v>2986</v>
      </c>
      <c r="C315" t="s">
        <v>537</v>
      </c>
      <c r="D315" t="s">
        <v>2987</v>
      </c>
      <c r="E315" t="s">
        <v>2258</v>
      </c>
      <c r="F315" t="s">
        <v>2988</v>
      </c>
      <c r="G315" t="s">
        <v>2988</v>
      </c>
      <c r="H315" t="s">
        <v>2989</v>
      </c>
    </row>
    <row r="316" spans="1:8" x14ac:dyDescent="0.35">
      <c r="A316">
        <v>315</v>
      </c>
      <c r="B316" t="s">
        <v>2990</v>
      </c>
      <c r="C316" t="s">
        <v>539</v>
      </c>
      <c r="D316" t="s">
        <v>2991</v>
      </c>
      <c r="E316" t="s">
        <v>2164</v>
      </c>
      <c r="F316" t="s">
        <v>2992</v>
      </c>
      <c r="G316" t="s">
        <v>2993</v>
      </c>
      <c r="H316" t="s">
        <v>2994</v>
      </c>
    </row>
    <row r="317" spans="1:8" x14ac:dyDescent="0.35">
      <c r="A317">
        <v>316</v>
      </c>
      <c r="B317" t="s">
        <v>2995</v>
      </c>
      <c r="C317" t="s">
        <v>541</v>
      </c>
      <c r="D317" t="s">
        <v>2996</v>
      </c>
      <c r="E317" t="s">
        <v>1804</v>
      </c>
      <c r="F317" t="s">
        <v>2996</v>
      </c>
      <c r="G317" t="s">
        <v>2996</v>
      </c>
      <c r="H317" t="s">
        <v>2997</v>
      </c>
    </row>
    <row r="318" spans="1:8" x14ac:dyDescent="0.35">
      <c r="A318">
        <v>317</v>
      </c>
      <c r="B318" t="s">
        <v>2998</v>
      </c>
      <c r="C318" t="s">
        <v>543</v>
      </c>
      <c r="D318" t="s">
        <v>2999</v>
      </c>
      <c r="E318" t="s">
        <v>2609</v>
      </c>
      <c r="F318" t="s">
        <v>3000</v>
      </c>
      <c r="G318" t="s">
        <v>3000</v>
      </c>
      <c r="H318" t="s">
        <v>3001</v>
      </c>
    </row>
    <row r="319" spans="1:8" x14ac:dyDescent="0.35">
      <c r="A319">
        <v>318</v>
      </c>
      <c r="B319" t="s">
        <v>3002</v>
      </c>
      <c r="C319" t="s">
        <v>545</v>
      </c>
      <c r="D319" t="s">
        <v>3003</v>
      </c>
      <c r="E319" t="s">
        <v>2082</v>
      </c>
      <c r="F319" t="s">
        <v>3004</v>
      </c>
      <c r="G319" t="s">
        <v>3004</v>
      </c>
      <c r="H319" t="s">
        <v>3005</v>
      </c>
    </row>
    <row r="320" spans="1:8" x14ac:dyDescent="0.35">
      <c r="A320">
        <v>319</v>
      </c>
      <c r="B320" t="s">
        <v>3006</v>
      </c>
      <c r="C320" t="s">
        <v>547</v>
      </c>
      <c r="D320" t="s">
        <v>3007</v>
      </c>
      <c r="E320" t="s">
        <v>1719</v>
      </c>
      <c r="F320" t="s">
        <v>3008</v>
      </c>
      <c r="G320" t="s">
        <v>3008</v>
      </c>
      <c r="H320" t="s">
        <v>3009</v>
      </c>
    </row>
    <row r="321" spans="1:8" x14ac:dyDescent="0.35">
      <c r="A321">
        <v>320</v>
      </c>
      <c r="B321" t="s">
        <v>3010</v>
      </c>
      <c r="C321" t="s">
        <v>549</v>
      </c>
      <c r="D321" t="s">
        <v>3011</v>
      </c>
      <c r="E321" t="s">
        <v>3012</v>
      </c>
      <c r="F321" t="s">
        <v>3013</v>
      </c>
      <c r="G321" t="s">
        <v>3013</v>
      </c>
      <c r="H321" t="s">
        <v>3014</v>
      </c>
    </row>
    <row r="322" spans="1:8" x14ac:dyDescent="0.35">
      <c r="A322">
        <v>321</v>
      </c>
      <c r="B322" t="s">
        <v>3015</v>
      </c>
      <c r="C322" t="s">
        <v>551</v>
      </c>
      <c r="D322" t="s">
        <v>3016</v>
      </c>
      <c r="E322" t="s">
        <v>1844</v>
      </c>
      <c r="F322" t="s">
        <v>3017</v>
      </c>
      <c r="G322" t="s">
        <v>3017</v>
      </c>
      <c r="H322" t="s">
        <v>3018</v>
      </c>
    </row>
    <row r="323" spans="1:8" x14ac:dyDescent="0.35">
      <c r="A323">
        <v>322</v>
      </c>
      <c r="B323" t="s">
        <v>3019</v>
      </c>
      <c r="C323" t="s">
        <v>555</v>
      </c>
      <c r="D323" t="s">
        <v>3020</v>
      </c>
      <c r="E323" t="s">
        <v>3021</v>
      </c>
      <c r="F323" t="s">
        <v>3022</v>
      </c>
      <c r="G323" t="s">
        <v>3023</v>
      </c>
      <c r="H323" t="s">
        <v>3024</v>
      </c>
    </row>
    <row r="324" spans="1:8" x14ac:dyDescent="0.35">
      <c r="A324">
        <v>323</v>
      </c>
      <c r="B324" t="s">
        <v>3025</v>
      </c>
      <c r="C324" t="s">
        <v>557</v>
      </c>
      <c r="D324" t="s">
        <v>3026</v>
      </c>
      <c r="E324" t="s">
        <v>2092</v>
      </c>
      <c r="F324" t="s">
        <v>3027</v>
      </c>
      <c r="G324" t="s">
        <v>3028</v>
      </c>
      <c r="H324" t="s">
        <v>3029</v>
      </c>
    </row>
    <row r="325" spans="1:8" x14ac:dyDescent="0.35">
      <c r="A325">
        <v>324</v>
      </c>
      <c r="B325" t="s">
        <v>3030</v>
      </c>
      <c r="C325" t="s">
        <v>559</v>
      </c>
      <c r="D325" t="s">
        <v>3031</v>
      </c>
      <c r="E325" t="s">
        <v>2348</v>
      </c>
      <c r="F325" t="s">
        <v>3032</v>
      </c>
      <c r="G325" t="s">
        <v>3032</v>
      </c>
      <c r="H325" t="s">
        <v>3033</v>
      </c>
    </row>
    <row r="326" spans="1:8" x14ac:dyDescent="0.35">
      <c r="A326">
        <v>325</v>
      </c>
      <c r="B326" t="s">
        <v>3034</v>
      </c>
      <c r="C326" t="s">
        <v>561</v>
      </c>
      <c r="D326" t="s">
        <v>3035</v>
      </c>
      <c r="E326" t="s">
        <v>3036</v>
      </c>
      <c r="F326" t="s">
        <v>3037</v>
      </c>
      <c r="G326" t="s">
        <v>3037</v>
      </c>
      <c r="H326" t="s">
        <v>3038</v>
      </c>
    </row>
    <row r="327" spans="1:8" x14ac:dyDescent="0.35">
      <c r="A327">
        <v>326</v>
      </c>
      <c r="B327" t="s">
        <v>3039</v>
      </c>
      <c r="C327" t="s">
        <v>563</v>
      </c>
      <c r="D327" t="s">
        <v>3040</v>
      </c>
      <c r="E327" t="s">
        <v>3041</v>
      </c>
      <c r="F327" t="s">
        <v>3042</v>
      </c>
      <c r="G327" t="s">
        <v>3042</v>
      </c>
      <c r="H327" t="s">
        <v>3043</v>
      </c>
    </row>
    <row r="328" spans="1:8" x14ac:dyDescent="0.35">
      <c r="A328">
        <v>327</v>
      </c>
      <c r="B328" t="s">
        <v>3044</v>
      </c>
      <c r="C328" t="s">
        <v>565</v>
      </c>
      <c r="D328" t="s">
        <v>3045</v>
      </c>
      <c r="E328" t="s">
        <v>2159</v>
      </c>
      <c r="F328" t="s">
        <v>3046</v>
      </c>
      <c r="G328" t="s">
        <v>3046</v>
      </c>
      <c r="H328" t="s">
        <v>3047</v>
      </c>
    </row>
    <row r="329" spans="1:8" x14ac:dyDescent="0.35">
      <c r="A329">
        <v>328</v>
      </c>
      <c r="B329" t="s">
        <v>3048</v>
      </c>
      <c r="C329" t="s">
        <v>567</v>
      </c>
      <c r="D329" t="s">
        <v>3049</v>
      </c>
      <c r="E329" t="s">
        <v>2312</v>
      </c>
      <c r="F329" t="s">
        <v>3050</v>
      </c>
      <c r="G329" t="s">
        <v>3050</v>
      </c>
      <c r="H329" t="s">
        <v>3051</v>
      </c>
    </row>
    <row r="330" spans="1:8" x14ac:dyDescent="0.35">
      <c r="A330">
        <v>329</v>
      </c>
      <c r="B330" t="s">
        <v>3052</v>
      </c>
      <c r="C330" t="s">
        <v>569</v>
      </c>
      <c r="D330" t="s">
        <v>3053</v>
      </c>
      <c r="E330" t="s">
        <v>1629</v>
      </c>
      <c r="F330" t="s">
        <v>3054</v>
      </c>
      <c r="G330" t="s">
        <v>3054</v>
      </c>
      <c r="H330" t="s">
        <v>3055</v>
      </c>
    </row>
    <row r="331" spans="1:8" x14ac:dyDescent="0.35">
      <c r="A331">
        <v>330</v>
      </c>
      <c r="B331" t="s">
        <v>3056</v>
      </c>
      <c r="C331" t="s">
        <v>571</v>
      </c>
      <c r="D331" t="s">
        <v>3057</v>
      </c>
      <c r="E331" t="s">
        <v>1990</v>
      </c>
      <c r="F331" t="s">
        <v>3058</v>
      </c>
      <c r="G331" t="s">
        <v>3058</v>
      </c>
      <c r="H331" t="s">
        <v>3059</v>
      </c>
    </row>
    <row r="332" spans="1:8" x14ac:dyDescent="0.35">
      <c r="A332">
        <v>331</v>
      </c>
      <c r="B332" t="s">
        <v>3060</v>
      </c>
      <c r="C332" t="s">
        <v>484</v>
      </c>
      <c r="D332" t="s">
        <v>3061</v>
      </c>
      <c r="E332" t="s">
        <v>2348</v>
      </c>
      <c r="F332" t="s">
        <v>3062</v>
      </c>
      <c r="G332" t="s">
        <v>3062</v>
      </c>
      <c r="H332" t="s">
        <v>3063</v>
      </c>
    </row>
    <row r="333" spans="1:8" x14ac:dyDescent="0.35">
      <c r="A333">
        <v>332</v>
      </c>
      <c r="B333" t="s">
        <v>3064</v>
      </c>
      <c r="C333" t="s">
        <v>575</v>
      </c>
      <c r="D333" t="s">
        <v>3065</v>
      </c>
      <c r="E333" t="s">
        <v>2312</v>
      </c>
      <c r="F333" t="s">
        <v>3066</v>
      </c>
      <c r="G333" t="s">
        <v>3066</v>
      </c>
      <c r="H333" t="s">
        <v>3067</v>
      </c>
    </row>
    <row r="334" spans="1:8" x14ac:dyDescent="0.35">
      <c r="A334">
        <v>333</v>
      </c>
      <c r="B334" t="s">
        <v>3068</v>
      </c>
      <c r="C334" t="s">
        <v>577</v>
      </c>
      <c r="D334" t="s">
        <v>3069</v>
      </c>
      <c r="E334" t="s">
        <v>3070</v>
      </c>
      <c r="F334" t="s">
        <v>3071</v>
      </c>
      <c r="G334" t="s">
        <v>3071</v>
      </c>
      <c r="H334" t="s">
        <v>3072</v>
      </c>
    </row>
    <row r="335" spans="1:8" x14ac:dyDescent="0.35">
      <c r="A335">
        <v>334</v>
      </c>
      <c r="B335" t="s">
        <v>3073</v>
      </c>
      <c r="C335" t="s">
        <v>577</v>
      </c>
      <c r="D335" t="s">
        <v>3074</v>
      </c>
      <c r="E335" t="s">
        <v>1764</v>
      </c>
      <c r="F335" t="s">
        <v>3075</v>
      </c>
      <c r="G335" t="s">
        <v>3075</v>
      </c>
      <c r="H335" t="s">
        <v>3076</v>
      </c>
    </row>
    <row r="336" spans="1:8" x14ac:dyDescent="0.35">
      <c r="A336">
        <v>335</v>
      </c>
      <c r="B336" t="s">
        <v>3077</v>
      </c>
      <c r="C336" t="s">
        <v>435</v>
      </c>
      <c r="D336" t="s">
        <v>3078</v>
      </c>
      <c r="E336" t="s">
        <v>3079</v>
      </c>
      <c r="F336" t="s">
        <v>3080</v>
      </c>
      <c r="G336" t="s">
        <v>3080</v>
      </c>
      <c r="H336" t="s">
        <v>3081</v>
      </c>
    </row>
    <row r="337" spans="1:8" x14ac:dyDescent="0.35">
      <c r="A337">
        <v>336</v>
      </c>
      <c r="B337" t="s">
        <v>3082</v>
      </c>
      <c r="C337" t="s">
        <v>76</v>
      </c>
      <c r="D337" t="s">
        <v>3083</v>
      </c>
      <c r="E337" t="s">
        <v>2796</v>
      </c>
      <c r="F337" t="s">
        <v>3084</v>
      </c>
      <c r="G337" t="s">
        <v>3084</v>
      </c>
      <c r="H337" t="s">
        <v>3085</v>
      </c>
    </row>
    <row r="338" spans="1:8" x14ac:dyDescent="0.35">
      <c r="A338">
        <v>337</v>
      </c>
      <c r="B338" t="s">
        <v>3086</v>
      </c>
      <c r="C338" t="s">
        <v>582</v>
      </c>
      <c r="D338" t="s">
        <v>3087</v>
      </c>
      <c r="E338" t="s">
        <v>1613</v>
      </c>
      <c r="F338" t="s">
        <v>3088</v>
      </c>
      <c r="G338" t="s">
        <v>3089</v>
      </c>
      <c r="H338" t="s">
        <v>3090</v>
      </c>
    </row>
    <row r="339" spans="1:8" x14ac:dyDescent="0.35">
      <c r="A339">
        <v>338</v>
      </c>
      <c r="B339" t="s">
        <v>3091</v>
      </c>
      <c r="C339" t="s">
        <v>584</v>
      </c>
      <c r="D339" t="s">
        <v>3092</v>
      </c>
      <c r="E339" t="s">
        <v>3079</v>
      </c>
      <c r="F339" t="s">
        <v>3093</v>
      </c>
      <c r="G339" t="s">
        <v>3093</v>
      </c>
      <c r="H339" t="s">
        <v>3094</v>
      </c>
    </row>
    <row r="340" spans="1:8" x14ac:dyDescent="0.35">
      <c r="A340">
        <v>339</v>
      </c>
      <c r="B340" t="s">
        <v>3095</v>
      </c>
      <c r="C340" t="s">
        <v>586</v>
      </c>
      <c r="D340" t="s">
        <v>3096</v>
      </c>
      <c r="E340" t="s">
        <v>1663</v>
      </c>
      <c r="F340" t="s">
        <v>3097</v>
      </c>
      <c r="G340" t="s">
        <v>3098</v>
      </c>
      <c r="H340" t="s">
        <v>3099</v>
      </c>
    </row>
    <row r="341" spans="1:8" x14ac:dyDescent="0.35">
      <c r="A341">
        <v>340</v>
      </c>
      <c r="B341" t="s">
        <v>3100</v>
      </c>
      <c r="C341" t="s">
        <v>588</v>
      </c>
      <c r="D341" t="s">
        <v>3101</v>
      </c>
      <c r="E341" t="s">
        <v>2558</v>
      </c>
      <c r="F341" t="s">
        <v>3102</v>
      </c>
      <c r="G341" t="s">
        <v>3103</v>
      </c>
      <c r="H341" t="s">
        <v>3104</v>
      </c>
    </row>
    <row r="342" spans="1:8" x14ac:dyDescent="0.35">
      <c r="A342">
        <v>341</v>
      </c>
      <c r="B342" t="s">
        <v>3105</v>
      </c>
      <c r="C342" t="s">
        <v>590</v>
      </c>
      <c r="D342" t="s">
        <v>3106</v>
      </c>
      <c r="E342" t="s">
        <v>3107</v>
      </c>
      <c r="F342" t="s">
        <v>3108</v>
      </c>
      <c r="G342" t="s">
        <v>3109</v>
      </c>
      <c r="H342" t="s">
        <v>3110</v>
      </c>
    </row>
    <row r="343" spans="1:8" x14ac:dyDescent="0.35">
      <c r="A343">
        <v>342</v>
      </c>
      <c r="B343" t="s">
        <v>3111</v>
      </c>
      <c r="C343" t="s">
        <v>592</v>
      </c>
      <c r="D343" t="s">
        <v>3112</v>
      </c>
      <c r="E343" t="s">
        <v>3113</v>
      </c>
      <c r="F343" t="s">
        <v>3114</v>
      </c>
      <c r="G343" t="s">
        <v>3114</v>
      </c>
      <c r="H343" t="s">
        <v>3115</v>
      </c>
    </row>
    <row r="344" spans="1:8" x14ac:dyDescent="0.35">
      <c r="A344">
        <v>343</v>
      </c>
      <c r="B344" t="s">
        <v>3116</v>
      </c>
      <c r="C344" t="s">
        <v>594</v>
      </c>
      <c r="D344" t="s">
        <v>3117</v>
      </c>
      <c r="E344" t="s">
        <v>3118</v>
      </c>
      <c r="F344" t="s">
        <v>3119</v>
      </c>
      <c r="G344" t="s">
        <v>3119</v>
      </c>
      <c r="H344" t="s">
        <v>3120</v>
      </c>
    </row>
    <row r="345" spans="1:8" x14ac:dyDescent="0.35">
      <c r="A345">
        <v>344</v>
      </c>
      <c r="B345" t="s">
        <v>3121</v>
      </c>
      <c r="C345" t="s">
        <v>596</v>
      </c>
      <c r="D345" t="s">
        <v>3122</v>
      </c>
      <c r="E345" t="s">
        <v>1853</v>
      </c>
      <c r="F345" t="s">
        <v>3123</v>
      </c>
      <c r="G345" t="s">
        <v>3123</v>
      </c>
      <c r="H345" t="s">
        <v>3124</v>
      </c>
    </row>
    <row r="346" spans="1:8" x14ac:dyDescent="0.35">
      <c r="A346">
        <v>345</v>
      </c>
      <c r="B346" t="s">
        <v>3125</v>
      </c>
      <c r="C346" t="s">
        <v>598</v>
      </c>
      <c r="D346" t="s">
        <v>3126</v>
      </c>
      <c r="E346" t="s">
        <v>2229</v>
      </c>
      <c r="F346" t="s">
        <v>3127</v>
      </c>
      <c r="G346" t="s">
        <v>3127</v>
      </c>
      <c r="H346" t="s">
        <v>3128</v>
      </c>
    </row>
    <row r="347" spans="1:8" x14ac:dyDescent="0.35">
      <c r="A347">
        <v>346</v>
      </c>
      <c r="B347" t="s">
        <v>3129</v>
      </c>
      <c r="C347" t="s">
        <v>600</v>
      </c>
      <c r="D347" t="s">
        <v>3130</v>
      </c>
      <c r="E347" t="s">
        <v>3131</v>
      </c>
      <c r="F347" t="s">
        <v>3130</v>
      </c>
      <c r="G347" t="s">
        <v>3130</v>
      </c>
      <c r="H347" t="s">
        <v>3132</v>
      </c>
    </row>
    <row r="348" spans="1:8" x14ac:dyDescent="0.35">
      <c r="A348">
        <v>347</v>
      </c>
      <c r="B348" t="s">
        <v>3133</v>
      </c>
      <c r="C348" t="s">
        <v>602</v>
      </c>
      <c r="D348" t="s">
        <v>3134</v>
      </c>
      <c r="E348" t="s">
        <v>2862</v>
      </c>
      <c r="F348" t="s">
        <v>3135</v>
      </c>
      <c r="G348" t="s">
        <v>3135</v>
      </c>
      <c r="H348" t="s">
        <v>3136</v>
      </c>
    </row>
    <row r="349" spans="1:8" x14ac:dyDescent="0.35">
      <c r="A349">
        <v>348</v>
      </c>
      <c r="B349" t="s">
        <v>3137</v>
      </c>
      <c r="C349" t="s">
        <v>604</v>
      </c>
      <c r="D349" t="s">
        <v>3138</v>
      </c>
      <c r="E349" t="s">
        <v>2558</v>
      </c>
      <c r="F349" t="s">
        <v>3139</v>
      </c>
      <c r="G349" t="s">
        <v>3139</v>
      </c>
      <c r="H349" t="s">
        <v>3140</v>
      </c>
    </row>
    <row r="350" spans="1:8" x14ac:dyDescent="0.35">
      <c r="A350">
        <v>349</v>
      </c>
      <c r="B350" t="s">
        <v>3141</v>
      </c>
      <c r="C350" t="s">
        <v>606</v>
      </c>
      <c r="D350" t="s">
        <v>3142</v>
      </c>
      <c r="E350" t="s">
        <v>2154</v>
      </c>
      <c r="F350" t="s">
        <v>3143</v>
      </c>
      <c r="G350" t="s">
        <v>3144</v>
      </c>
      <c r="H350" t="s">
        <v>3145</v>
      </c>
    </row>
    <row r="351" spans="1:8" x14ac:dyDescent="0.35">
      <c r="A351">
        <v>350</v>
      </c>
      <c r="B351" t="s">
        <v>3146</v>
      </c>
      <c r="C351" t="s">
        <v>608</v>
      </c>
      <c r="D351" t="s">
        <v>3147</v>
      </c>
      <c r="E351" t="s">
        <v>1785</v>
      </c>
      <c r="F351" t="s">
        <v>3148</v>
      </c>
      <c r="G351" t="s">
        <v>3148</v>
      </c>
      <c r="H351" t="s">
        <v>3149</v>
      </c>
    </row>
    <row r="352" spans="1:8" x14ac:dyDescent="0.35">
      <c r="A352">
        <v>351</v>
      </c>
      <c r="B352" t="s">
        <v>3150</v>
      </c>
      <c r="C352" t="s">
        <v>610</v>
      </c>
      <c r="D352" t="s">
        <v>3151</v>
      </c>
      <c r="E352" t="s">
        <v>1764</v>
      </c>
      <c r="F352" t="s">
        <v>3152</v>
      </c>
      <c r="G352" t="s">
        <v>3152</v>
      </c>
      <c r="H352" t="s">
        <v>3153</v>
      </c>
    </row>
    <row r="353" spans="1:8" x14ac:dyDescent="0.35">
      <c r="A353">
        <v>352</v>
      </c>
      <c r="B353" t="s">
        <v>3154</v>
      </c>
      <c r="C353" t="s">
        <v>612</v>
      </c>
      <c r="D353" t="s">
        <v>3155</v>
      </c>
      <c r="E353" t="s">
        <v>1799</v>
      </c>
      <c r="F353" t="s">
        <v>3156</v>
      </c>
      <c r="G353" t="s">
        <v>3156</v>
      </c>
      <c r="H353" t="s">
        <v>3157</v>
      </c>
    </row>
    <row r="354" spans="1:8" x14ac:dyDescent="0.35">
      <c r="A354">
        <v>353</v>
      </c>
      <c r="B354" t="s">
        <v>3158</v>
      </c>
      <c r="C354" t="s">
        <v>614</v>
      </c>
      <c r="D354" t="s">
        <v>3159</v>
      </c>
      <c r="E354" t="s">
        <v>1799</v>
      </c>
      <c r="F354" t="s">
        <v>3160</v>
      </c>
      <c r="G354" t="s">
        <v>3160</v>
      </c>
      <c r="H354" t="s">
        <v>3161</v>
      </c>
    </row>
    <row r="355" spans="1:8" x14ac:dyDescent="0.35">
      <c r="A355">
        <v>354</v>
      </c>
      <c r="B355" t="s">
        <v>3162</v>
      </c>
      <c r="C355" t="s">
        <v>614</v>
      </c>
      <c r="D355" t="s">
        <v>3163</v>
      </c>
      <c r="E355" t="s">
        <v>1829</v>
      </c>
      <c r="F355" t="s">
        <v>3164</v>
      </c>
      <c r="G355" t="s">
        <v>3164</v>
      </c>
      <c r="H355" t="s">
        <v>3165</v>
      </c>
    </row>
    <row r="356" spans="1:8" x14ac:dyDescent="0.35">
      <c r="A356">
        <v>355</v>
      </c>
      <c r="B356" t="s">
        <v>3166</v>
      </c>
      <c r="C356" t="s">
        <v>617</v>
      </c>
      <c r="D356" t="s">
        <v>3167</v>
      </c>
      <c r="E356" t="s">
        <v>2505</v>
      </c>
      <c r="F356" t="s">
        <v>3168</v>
      </c>
      <c r="G356" t="s">
        <v>3168</v>
      </c>
      <c r="H356" t="s">
        <v>3169</v>
      </c>
    </row>
    <row r="357" spans="1:8" x14ac:dyDescent="0.35">
      <c r="A357">
        <v>356</v>
      </c>
      <c r="B357" t="s">
        <v>3170</v>
      </c>
      <c r="C357" t="s">
        <v>221</v>
      </c>
      <c r="D357" t="s">
        <v>3171</v>
      </c>
      <c r="E357" t="s">
        <v>1804</v>
      </c>
      <c r="F357" t="s">
        <v>3171</v>
      </c>
      <c r="G357" t="s">
        <v>3171</v>
      </c>
      <c r="H357" t="s">
        <v>3172</v>
      </c>
    </row>
    <row r="358" spans="1:8" x14ac:dyDescent="0.35">
      <c r="A358">
        <v>357</v>
      </c>
      <c r="B358" t="s">
        <v>3173</v>
      </c>
      <c r="C358" t="s">
        <v>620</v>
      </c>
      <c r="D358" t="s">
        <v>3174</v>
      </c>
      <c r="E358" t="s">
        <v>2604</v>
      </c>
      <c r="F358" t="s">
        <v>3175</v>
      </c>
      <c r="G358" t="s">
        <v>3175</v>
      </c>
      <c r="H358" t="s">
        <v>3176</v>
      </c>
    </row>
    <row r="359" spans="1:8" x14ac:dyDescent="0.35">
      <c r="A359">
        <v>358</v>
      </c>
      <c r="B359" t="s">
        <v>3177</v>
      </c>
      <c r="C359" t="s">
        <v>460</v>
      </c>
      <c r="D359" t="s">
        <v>3178</v>
      </c>
      <c r="E359" t="s">
        <v>1844</v>
      </c>
      <c r="F359" t="s">
        <v>3179</v>
      </c>
      <c r="G359" t="s">
        <v>3179</v>
      </c>
      <c r="H359" t="s">
        <v>3180</v>
      </c>
    </row>
    <row r="360" spans="1:8" x14ac:dyDescent="0.35">
      <c r="A360">
        <v>359</v>
      </c>
      <c r="B360" t="s">
        <v>3181</v>
      </c>
      <c r="C360" t="s">
        <v>460</v>
      </c>
      <c r="D360" t="s">
        <v>3182</v>
      </c>
      <c r="E360" t="s">
        <v>1730</v>
      </c>
      <c r="F360" t="s">
        <v>3183</v>
      </c>
      <c r="G360" t="s">
        <v>3183</v>
      </c>
      <c r="H360" t="s">
        <v>3184</v>
      </c>
    </row>
    <row r="361" spans="1:8" x14ac:dyDescent="0.35">
      <c r="A361">
        <v>360</v>
      </c>
      <c r="B361" t="s">
        <v>3185</v>
      </c>
      <c r="C361" t="s">
        <v>460</v>
      </c>
      <c r="D361" t="s">
        <v>3186</v>
      </c>
      <c r="E361" t="s">
        <v>1929</v>
      </c>
      <c r="F361" t="s">
        <v>3187</v>
      </c>
      <c r="G361" t="s">
        <v>3187</v>
      </c>
      <c r="H361" t="s">
        <v>3188</v>
      </c>
    </row>
    <row r="362" spans="1:8" x14ac:dyDescent="0.35">
      <c r="A362">
        <v>361</v>
      </c>
      <c r="B362" t="s">
        <v>3189</v>
      </c>
      <c r="C362" t="s">
        <v>460</v>
      </c>
      <c r="D362" t="s">
        <v>3190</v>
      </c>
      <c r="E362" t="s">
        <v>1929</v>
      </c>
      <c r="F362" t="s">
        <v>3191</v>
      </c>
      <c r="G362" t="s">
        <v>3191</v>
      </c>
      <c r="H362" t="s">
        <v>3192</v>
      </c>
    </row>
    <row r="363" spans="1:8" x14ac:dyDescent="0.35">
      <c r="A363">
        <v>362</v>
      </c>
      <c r="B363" t="s">
        <v>3193</v>
      </c>
      <c r="C363" t="s">
        <v>620</v>
      </c>
      <c r="D363" t="s">
        <v>3194</v>
      </c>
      <c r="E363" t="s">
        <v>1719</v>
      </c>
      <c r="F363" t="s">
        <v>3195</v>
      </c>
      <c r="G363" t="s">
        <v>3195</v>
      </c>
      <c r="H363" t="s">
        <v>3196</v>
      </c>
    </row>
    <row r="364" spans="1:8" x14ac:dyDescent="0.35">
      <c r="A364">
        <v>363</v>
      </c>
      <c r="B364" t="s">
        <v>3197</v>
      </c>
      <c r="C364" t="s">
        <v>460</v>
      </c>
      <c r="D364" t="s">
        <v>3198</v>
      </c>
      <c r="E364" t="s">
        <v>1730</v>
      </c>
      <c r="F364" t="s">
        <v>3199</v>
      </c>
      <c r="G364" t="s">
        <v>3199</v>
      </c>
      <c r="H364" t="s">
        <v>3200</v>
      </c>
    </row>
    <row r="365" spans="1:8" x14ac:dyDescent="0.35">
      <c r="A365">
        <v>364</v>
      </c>
      <c r="B365" t="s">
        <v>3201</v>
      </c>
      <c r="C365" t="s">
        <v>93</v>
      </c>
      <c r="D365" t="s">
        <v>3202</v>
      </c>
      <c r="E365" t="s">
        <v>2215</v>
      </c>
      <c r="F365" t="s">
        <v>3203</v>
      </c>
      <c r="G365" t="s">
        <v>3203</v>
      </c>
      <c r="H365" t="s">
        <v>3204</v>
      </c>
    </row>
    <row r="366" spans="1:8" x14ac:dyDescent="0.35">
      <c r="A366">
        <v>365</v>
      </c>
      <c r="B366" t="s">
        <v>3205</v>
      </c>
      <c r="C366" t="s">
        <v>629</v>
      </c>
      <c r="D366" t="s">
        <v>3206</v>
      </c>
      <c r="E366" t="s">
        <v>1730</v>
      </c>
      <c r="F366" t="s">
        <v>3207</v>
      </c>
      <c r="G366" t="s">
        <v>3207</v>
      </c>
      <c r="H366" t="s">
        <v>3208</v>
      </c>
    </row>
    <row r="367" spans="1:8" x14ac:dyDescent="0.35">
      <c r="A367">
        <v>366</v>
      </c>
      <c r="B367" t="s">
        <v>3209</v>
      </c>
      <c r="C367" t="s">
        <v>629</v>
      </c>
      <c r="D367" t="s">
        <v>3210</v>
      </c>
      <c r="E367" t="s">
        <v>1692</v>
      </c>
      <c r="F367" t="s">
        <v>3211</v>
      </c>
      <c r="G367" t="s">
        <v>3211</v>
      </c>
      <c r="H367" t="s">
        <v>3212</v>
      </c>
    </row>
    <row r="368" spans="1:8" x14ac:dyDescent="0.35">
      <c r="A368">
        <v>367</v>
      </c>
      <c r="B368" t="s">
        <v>3213</v>
      </c>
      <c r="C368" t="s">
        <v>629</v>
      </c>
      <c r="D368" t="s">
        <v>3214</v>
      </c>
      <c r="E368" t="s">
        <v>1929</v>
      </c>
      <c r="F368" t="s">
        <v>3215</v>
      </c>
      <c r="G368" t="s">
        <v>3215</v>
      </c>
      <c r="H368" t="s">
        <v>3216</v>
      </c>
    </row>
    <row r="369" spans="1:8" x14ac:dyDescent="0.35">
      <c r="A369">
        <v>368</v>
      </c>
      <c r="B369" t="s">
        <v>3217</v>
      </c>
      <c r="C369" t="s">
        <v>629</v>
      </c>
      <c r="D369" t="s">
        <v>3218</v>
      </c>
      <c r="E369" t="s">
        <v>1730</v>
      </c>
      <c r="F369" t="s">
        <v>3219</v>
      </c>
      <c r="G369" t="s">
        <v>3219</v>
      </c>
      <c r="H369" t="s">
        <v>3220</v>
      </c>
    </row>
    <row r="370" spans="1:8" x14ac:dyDescent="0.35">
      <c r="A370">
        <v>369</v>
      </c>
      <c r="B370" t="s">
        <v>3221</v>
      </c>
      <c r="C370" t="s">
        <v>634</v>
      </c>
      <c r="D370" t="s">
        <v>3222</v>
      </c>
      <c r="E370" t="s">
        <v>2748</v>
      </c>
      <c r="F370" t="s">
        <v>3223</v>
      </c>
      <c r="G370" t="s">
        <v>3223</v>
      </c>
      <c r="H370" t="s">
        <v>3224</v>
      </c>
    </row>
    <row r="371" spans="1:8" x14ac:dyDescent="0.35">
      <c r="A371">
        <v>370</v>
      </c>
      <c r="B371" t="s">
        <v>3225</v>
      </c>
      <c r="C371" t="s">
        <v>636</v>
      </c>
      <c r="D371" t="s">
        <v>3226</v>
      </c>
      <c r="E371" t="s">
        <v>3227</v>
      </c>
      <c r="F371" t="s">
        <v>3228</v>
      </c>
      <c r="G371" t="s">
        <v>3228</v>
      </c>
      <c r="H371" t="s">
        <v>3229</v>
      </c>
    </row>
    <row r="372" spans="1:8" x14ac:dyDescent="0.35">
      <c r="A372">
        <v>371</v>
      </c>
      <c r="B372" t="s">
        <v>3230</v>
      </c>
      <c r="C372" t="s">
        <v>638</v>
      </c>
      <c r="D372" t="s">
        <v>3231</v>
      </c>
      <c r="E372" t="s">
        <v>2743</v>
      </c>
      <c r="F372" t="s">
        <v>3232</v>
      </c>
      <c r="G372" t="s">
        <v>3232</v>
      </c>
      <c r="H372" t="s">
        <v>3233</v>
      </c>
    </row>
    <row r="373" spans="1:8" x14ac:dyDescent="0.35">
      <c r="A373">
        <v>372</v>
      </c>
      <c r="B373" t="s">
        <v>3234</v>
      </c>
      <c r="C373" t="s">
        <v>330</v>
      </c>
      <c r="D373" t="s">
        <v>3235</v>
      </c>
      <c r="E373" t="s">
        <v>1629</v>
      </c>
      <c r="F373" t="s">
        <v>3236</v>
      </c>
      <c r="G373" t="s">
        <v>3236</v>
      </c>
      <c r="H373" t="s">
        <v>3237</v>
      </c>
    </row>
    <row r="374" spans="1:8" x14ac:dyDescent="0.35">
      <c r="A374">
        <v>373</v>
      </c>
      <c r="B374" t="s">
        <v>3238</v>
      </c>
      <c r="C374" t="s">
        <v>641</v>
      </c>
      <c r="D374" t="s">
        <v>3239</v>
      </c>
      <c r="E374" t="s">
        <v>1893</v>
      </c>
      <c r="F374" t="s">
        <v>3240</v>
      </c>
      <c r="G374" t="s">
        <v>3240</v>
      </c>
      <c r="H374" t="s">
        <v>3241</v>
      </c>
    </row>
    <row r="375" spans="1:8" x14ac:dyDescent="0.35">
      <c r="A375">
        <v>374</v>
      </c>
      <c r="B375" t="s">
        <v>3242</v>
      </c>
      <c r="C375" t="s">
        <v>643</v>
      </c>
      <c r="D375" t="s">
        <v>3243</v>
      </c>
      <c r="E375" t="s">
        <v>3244</v>
      </c>
      <c r="F375" t="s">
        <v>3245</v>
      </c>
      <c r="G375" t="s">
        <v>3246</v>
      </c>
      <c r="H375" t="s">
        <v>3247</v>
      </c>
    </row>
    <row r="376" spans="1:8" x14ac:dyDescent="0.35">
      <c r="A376">
        <v>375</v>
      </c>
      <c r="B376" t="s">
        <v>3248</v>
      </c>
      <c r="C376" t="s">
        <v>645</v>
      </c>
      <c r="D376" t="s">
        <v>3249</v>
      </c>
      <c r="E376" t="s">
        <v>1799</v>
      </c>
      <c r="F376" t="s">
        <v>3250</v>
      </c>
      <c r="G376" t="s">
        <v>3250</v>
      </c>
      <c r="H376" t="s">
        <v>3251</v>
      </c>
    </row>
    <row r="377" spans="1:8" x14ac:dyDescent="0.35">
      <c r="A377">
        <v>376</v>
      </c>
      <c r="B377" t="s">
        <v>3252</v>
      </c>
      <c r="C377" t="s">
        <v>647</v>
      </c>
      <c r="D377" t="s">
        <v>3253</v>
      </c>
      <c r="E377" t="s">
        <v>1624</v>
      </c>
      <c r="F377" t="s">
        <v>3254</v>
      </c>
      <c r="G377" t="s">
        <v>3254</v>
      </c>
      <c r="H377" t="s">
        <v>3255</v>
      </c>
    </row>
    <row r="378" spans="1:8" x14ac:dyDescent="0.35">
      <c r="A378">
        <v>377</v>
      </c>
      <c r="B378" t="s">
        <v>3256</v>
      </c>
      <c r="C378" t="s">
        <v>649</v>
      </c>
      <c r="D378" t="s">
        <v>3257</v>
      </c>
      <c r="E378" t="s">
        <v>3258</v>
      </c>
      <c r="F378" t="s">
        <v>3259</v>
      </c>
      <c r="G378" t="s">
        <v>3259</v>
      </c>
      <c r="H378" t="s">
        <v>3260</v>
      </c>
    </row>
    <row r="379" spans="1:8" x14ac:dyDescent="0.35">
      <c r="A379">
        <v>378</v>
      </c>
      <c r="B379" t="s">
        <v>3261</v>
      </c>
      <c r="C379" t="s">
        <v>651</v>
      </c>
      <c r="D379" t="s">
        <v>3262</v>
      </c>
      <c r="E379" t="s">
        <v>3263</v>
      </c>
      <c r="F379" t="s">
        <v>3264</v>
      </c>
      <c r="G379" t="s">
        <v>3264</v>
      </c>
      <c r="H379" t="s">
        <v>3265</v>
      </c>
    </row>
    <row r="380" spans="1:8" x14ac:dyDescent="0.35">
      <c r="A380">
        <v>379</v>
      </c>
      <c r="B380" t="s">
        <v>3266</v>
      </c>
      <c r="C380" t="s">
        <v>653</v>
      </c>
      <c r="D380" t="s">
        <v>3267</v>
      </c>
      <c r="E380" t="s">
        <v>1785</v>
      </c>
      <c r="F380" t="s">
        <v>3268</v>
      </c>
      <c r="G380" t="s">
        <v>3268</v>
      </c>
      <c r="H380" t="s">
        <v>3269</v>
      </c>
    </row>
    <row r="381" spans="1:8" x14ac:dyDescent="0.35">
      <c r="A381">
        <v>380</v>
      </c>
      <c r="B381" t="s">
        <v>3270</v>
      </c>
      <c r="C381" t="s">
        <v>655</v>
      </c>
      <c r="D381" t="s">
        <v>3271</v>
      </c>
      <c r="E381" t="s">
        <v>1652</v>
      </c>
      <c r="F381" t="s">
        <v>3272</v>
      </c>
      <c r="G381" t="s">
        <v>3272</v>
      </c>
      <c r="H381" t="s">
        <v>3273</v>
      </c>
    </row>
    <row r="382" spans="1:8" x14ac:dyDescent="0.35">
      <c r="A382">
        <v>381</v>
      </c>
      <c r="B382" t="s">
        <v>3274</v>
      </c>
      <c r="C382" t="s">
        <v>657</v>
      </c>
      <c r="D382" t="s">
        <v>3275</v>
      </c>
      <c r="E382" t="s">
        <v>3276</v>
      </c>
      <c r="F382" t="s">
        <v>3275</v>
      </c>
      <c r="G382" t="s">
        <v>3275</v>
      </c>
      <c r="H382" t="s">
        <v>3277</v>
      </c>
    </row>
    <row r="383" spans="1:8" x14ac:dyDescent="0.35">
      <c r="A383">
        <v>382</v>
      </c>
      <c r="B383" t="s">
        <v>3278</v>
      </c>
      <c r="C383" t="s">
        <v>274</v>
      </c>
      <c r="D383" t="s">
        <v>3279</v>
      </c>
      <c r="E383" t="s">
        <v>2154</v>
      </c>
      <c r="F383" t="s">
        <v>3280</v>
      </c>
      <c r="G383" t="s">
        <v>3280</v>
      </c>
      <c r="H383" t="s">
        <v>3281</v>
      </c>
    </row>
    <row r="384" spans="1:8" x14ac:dyDescent="0.35">
      <c r="A384">
        <v>383</v>
      </c>
      <c r="B384" t="s">
        <v>3282</v>
      </c>
      <c r="C384" t="s">
        <v>660</v>
      </c>
      <c r="D384" t="s">
        <v>3283</v>
      </c>
      <c r="E384" t="s">
        <v>2114</v>
      </c>
      <c r="F384" t="s">
        <v>3284</v>
      </c>
      <c r="G384" t="s">
        <v>3284</v>
      </c>
      <c r="H384" t="s">
        <v>3285</v>
      </c>
    </row>
    <row r="385" spans="1:8" x14ac:dyDescent="0.35">
      <c r="A385">
        <v>384</v>
      </c>
      <c r="B385" t="s">
        <v>3286</v>
      </c>
      <c r="C385" t="s">
        <v>662</v>
      </c>
      <c r="D385" t="s">
        <v>3287</v>
      </c>
      <c r="E385" t="s">
        <v>1906</v>
      </c>
      <c r="F385" t="s">
        <v>3288</v>
      </c>
      <c r="G385" t="s">
        <v>3288</v>
      </c>
      <c r="H385" t="s">
        <v>3289</v>
      </c>
    </row>
    <row r="386" spans="1:8" x14ac:dyDescent="0.35">
      <c r="A386">
        <v>385</v>
      </c>
      <c r="B386" t="s">
        <v>3290</v>
      </c>
      <c r="C386" t="s">
        <v>664</v>
      </c>
      <c r="D386" t="s">
        <v>3291</v>
      </c>
      <c r="E386" t="s">
        <v>2109</v>
      </c>
      <c r="F386" t="s">
        <v>3292</v>
      </c>
      <c r="G386" t="s">
        <v>3292</v>
      </c>
      <c r="H386" t="s">
        <v>3293</v>
      </c>
    </row>
    <row r="387" spans="1:8" x14ac:dyDescent="0.35">
      <c r="A387">
        <v>386</v>
      </c>
      <c r="B387" t="s">
        <v>3294</v>
      </c>
      <c r="C387" t="s">
        <v>666</v>
      </c>
      <c r="D387" t="s">
        <v>3295</v>
      </c>
      <c r="E387" t="s">
        <v>1785</v>
      </c>
      <c r="F387" t="s">
        <v>3296</v>
      </c>
      <c r="G387" t="s">
        <v>3296</v>
      </c>
      <c r="H387" t="s">
        <v>3297</v>
      </c>
    </row>
    <row r="388" spans="1:8" x14ac:dyDescent="0.35">
      <c r="A388">
        <v>387</v>
      </c>
      <c r="B388" t="s">
        <v>3298</v>
      </c>
      <c r="C388" t="s">
        <v>668</v>
      </c>
      <c r="D388" t="s">
        <v>3299</v>
      </c>
      <c r="E388" t="s">
        <v>1674</v>
      </c>
      <c r="F388" t="s">
        <v>3300</v>
      </c>
      <c r="G388" t="s">
        <v>3300</v>
      </c>
      <c r="H388" t="s">
        <v>3301</v>
      </c>
    </row>
    <row r="389" spans="1:8" x14ac:dyDescent="0.35">
      <c r="A389">
        <v>388</v>
      </c>
      <c r="B389" t="s">
        <v>3298</v>
      </c>
      <c r="C389" t="s">
        <v>668</v>
      </c>
      <c r="D389" t="s">
        <v>3299</v>
      </c>
      <c r="E389" t="s">
        <v>1674</v>
      </c>
      <c r="F389" t="s">
        <v>3300</v>
      </c>
      <c r="G389" t="s">
        <v>3300</v>
      </c>
      <c r="H389" t="s">
        <v>3301</v>
      </c>
    </row>
    <row r="390" spans="1:8" x14ac:dyDescent="0.35">
      <c r="A390">
        <v>389</v>
      </c>
      <c r="B390" t="s">
        <v>3302</v>
      </c>
      <c r="C390" t="s">
        <v>671</v>
      </c>
      <c r="D390" t="s">
        <v>3303</v>
      </c>
      <c r="E390" t="s">
        <v>1809</v>
      </c>
      <c r="F390" t="s">
        <v>3303</v>
      </c>
      <c r="G390" t="s">
        <v>3303</v>
      </c>
      <c r="H390" t="s">
        <v>3304</v>
      </c>
    </row>
    <row r="391" spans="1:8" x14ac:dyDescent="0.35">
      <c r="A391">
        <v>390</v>
      </c>
      <c r="B391" t="s">
        <v>3305</v>
      </c>
      <c r="C391" t="s">
        <v>673</v>
      </c>
      <c r="D391" t="s">
        <v>3306</v>
      </c>
      <c r="E391" t="s">
        <v>2387</v>
      </c>
      <c r="F391" t="s">
        <v>3307</v>
      </c>
      <c r="G391" t="s">
        <v>3308</v>
      </c>
      <c r="H391" t="s">
        <v>3309</v>
      </c>
    </row>
    <row r="392" spans="1:8" x14ac:dyDescent="0.35">
      <c r="A392">
        <v>391</v>
      </c>
      <c r="B392" t="s">
        <v>3310</v>
      </c>
      <c r="C392" t="s">
        <v>675</v>
      </c>
      <c r="D392" t="s">
        <v>3311</v>
      </c>
      <c r="E392" t="s">
        <v>1785</v>
      </c>
      <c r="F392" t="s">
        <v>3312</v>
      </c>
      <c r="G392" t="s">
        <v>3312</v>
      </c>
      <c r="H392" t="s">
        <v>3313</v>
      </c>
    </row>
    <row r="393" spans="1:8" x14ac:dyDescent="0.35">
      <c r="A393">
        <v>392</v>
      </c>
      <c r="B393" t="s">
        <v>3314</v>
      </c>
      <c r="C393" t="s">
        <v>677</v>
      </c>
      <c r="D393" t="s">
        <v>3315</v>
      </c>
      <c r="E393" t="s">
        <v>1990</v>
      </c>
      <c r="F393" t="s">
        <v>3316</v>
      </c>
      <c r="G393" t="s">
        <v>3316</v>
      </c>
      <c r="H393" t="s">
        <v>3317</v>
      </c>
    </row>
    <row r="394" spans="1:8" x14ac:dyDescent="0.35">
      <c r="A394">
        <v>393</v>
      </c>
      <c r="B394" t="s">
        <v>3318</v>
      </c>
      <c r="C394" t="s">
        <v>679</v>
      </c>
      <c r="D394" t="s">
        <v>3319</v>
      </c>
      <c r="E394" t="s">
        <v>1758</v>
      </c>
      <c r="F394" t="s">
        <v>3320</v>
      </c>
      <c r="G394" t="s">
        <v>3321</v>
      </c>
      <c r="H394" t="s">
        <v>3322</v>
      </c>
    </row>
    <row r="395" spans="1:8" x14ac:dyDescent="0.35">
      <c r="A395">
        <v>394</v>
      </c>
      <c r="B395" t="s">
        <v>3323</v>
      </c>
      <c r="C395" t="s">
        <v>681</v>
      </c>
      <c r="D395" t="s">
        <v>3324</v>
      </c>
      <c r="E395" t="s">
        <v>1844</v>
      </c>
      <c r="F395" t="s">
        <v>3325</v>
      </c>
      <c r="G395" t="s">
        <v>3325</v>
      </c>
      <c r="H395" t="s">
        <v>3326</v>
      </c>
    </row>
    <row r="396" spans="1:8" x14ac:dyDescent="0.35">
      <c r="A396">
        <v>395</v>
      </c>
      <c r="B396" t="s">
        <v>3327</v>
      </c>
      <c r="C396" t="s">
        <v>683</v>
      </c>
      <c r="D396" t="s">
        <v>3328</v>
      </c>
      <c r="E396" t="s">
        <v>3329</v>
      </c>
      <c r="F396" t="s">
        <v>3330</v>
      </c>
      <c r="G396" t="s">
        <v>3330</v>
      </c>
      <c r="H396" t="s">
        <v>3331</v>
      </c>
    </row>
    <row r="397" spans="1:8" x14ac:dyDescent="0.35">
      <c r="A397">
        <v>396</v>
      </c>
      <c r="B397" t="s">
        <v>3332</v>
      </c>
      <c r="C397" t="s">
        <v>685</v>
      </c>
      <c r="D397" t="s">
        <v>3333</v>
      </c>
      <c r="E397" t="s">
        <v>1607</v>
      </c>
      <c r="F397" t="s">
        <v>3334</v>
      </c>
      <c r="G397" t="s">
        <v>3335</v>
      </c>
      <c r="H397" t="s">
        <v>3336</v>
      </c>
    </row>
    <row r="398" spans="1:8" x14ac:dyDescent="0.35">
      <c r="A398">
        <v>397</v>
      </c>
      <c r="B398" t="s">
        <v>3337</v>
      </c>
      <c r="C398" t="s">
        <v>687</v>
      </c>
      <c r="D398" t="s">
        <v>3338</v>
      </c>
      <c r="E398" t="s">
        <v>2229</v>
      </c>
      <c r="F398" t="s">
        <v>3339</v>
      </c>
      <c r="G398" t="s">
        <v>3339</v>
      </c>
      <c r="H398" t="s">
        <v>3340</v>
      </c>
    </row>
    <row r="399" spans="1:8" x14ac:dyDescent="0.35">
      <c r="A399">
        <v>398</v>
      </c>
      <c r="B399" t="s">
        <v>3341</v>
      </c>
      <c r="C399" t="s">
        <v>689</v>
      </c>
      <c r="D399" t="s">
        <v>3342</v>
      </c>
      <c r="E399" t="s">
        <v>2748</v>
      </c>
      <c r="F399" t="s">
        <v>3343</v>
      </c>
      <c r="G399" t="s">
        <v>3343</v>
      </c>
      <c r="H399" t="s">
        <v>3344</v>
      </c>
    </row>
    <row r="400" spans="1:8" x14ac:dyDescent="0.35">
      <c r="A400">
        <v>399</v>
      </c>
      <c r="B400" t="s">
        <v>3345</v>
      </c>
      <c r="C400" t="s">
        <v>691</v>
      </c>
      <c r="D400" t="s">
        <v>3346</v>
      </c>
      <c r="E400" t="s">
        <v>1730</v>
      </c>
      <c r="F400" t="s">
        <v>3347</v>
      </c>
      <c r="G400" t="s">
        <v>3348</v>
      </c>
      <c r="H400" t="s">
        <v>3349</v>
      </c>
    </row>
    <row r="401" spans="1:8" x14ac:dyDescent="0.35">
      <c r="A401">
        <v>400</v>
      </c>
      <c r="B401" t="s">
        <v>3350</v>
      </c>
      <c r="C401" t="s">
        <v>693</v>
      </c>
      <c r="D401" t="s">
        <v>3351</v>
      </c>
      <c r="E401" t="s">
        <v>2558</v>
      </c>
      <c r="F401" t="s">
        <v>3352</v>
      </c>
      <c r="G401" t="s">
        <v>3353</v>
      </c>
      <c r="H401" t="s">
        <v>3354</v>
      </c>
    </row>
    <row r="402" spans="1:8" x14ac:dyDescent="0.35">
      <c r="A402">
        <v>401</v>
      </c>
      <c r="B402" t="s">
        <v>3355</v>
      </c>
      <c r="C402" t="s">
        <v>695</v>
      </c>
      <c r="D402" t="s">
        <v>3356</v>
      </c>
      <c r="E402" t="s">
        <v>3357</v>
      </c>
      <c r="F402" t="s">
        <v>3356</v>
      </c>
      <c r="G402" t="s">
        <v>3356</v>
      </c>
      <c r="H402" t="s">
        <v>3358</v>
      </c>
    </row>
    <row r="403" spans="1:8" x14ac:dyDescent="0.35">
      <c r="A403">
        <v>402</v>
      </c>
      <c r="B403" t="s">
        <v>3359</v>
      </c>
      <c r="C403" t="s">
        <v>697</v>
      </c>
      <c r="D403" t="s">
        <v>3360</v>
      </c>
      <c r="E403" t="s">
        <v>2862</v>
      </c>
      <c r="F403" t="s">
        <v>3361</v>
      </c>
      <c r="G403" t="s">
        <v>3361</v>
      </c>
      <c r="H403" t="s">
        <v>3362</v>
      </c>
    </row>
    <row r="404" spans="1:8" x14ac:dyDescent="0.35">
      <c r="A404">
        <v>403</v>
      </c>
      <c r="B404" t="s">
        <v>3355</v>
      </c>
      <c r="C404" t="s">
        <v>699</v>
      </c>
      <c r="D404" t="s">
        <v>3356</v>
      </c>
      <c r="E404" t="s">
        <v>3357</v>
      </c>
      <c r="F404" t="s">
        <v>3356</v>
      </c>
      <c r="G404" t="s">
        <v>3356</v>
      </c>
      <c r="H404" t="s">
        <v>3358</v>
      </c>
    </row>
    <row r="405" spans="1:8" x14ac:dyDescent="0.35">
      <c r="A405">
        <v>404</v>
      </c>
      <c r="B405" t="s">
        <v>3363</v>
      </c>
      <c r="C405" t="s">
        <v>701</v>
      </c>
      <c r="D405" t="s">
        <v>3364</v>
      </c>
      <c r="E405" t="s">
        <v>3365</v>
      </c>
      <c r="F405" t="s">
        <v>3364</v>
      </c>
      <c r="G405" t="s">
        <v>3366</v>
      </c>
      <c r="H405" t="s">
        <v>3367</v>
      </c>
    </row>
    <row r="406" spans="1:8" x14ac:dyDescent="0.35">
      <c r="A406">
        <v>405</v>
      </c>
      <c r="B406" t="s">
        <v>3368</v>
      </c>
      <c r="C406" t="s">
        <v>703</v>
      </c>
      <c r="D406" t="s">
        <v>3369</v>
      </c>
      <c r="E406" t="s">
        <v>2299</v>
      </c>
      <c r="F406" t="s">
        <v>3370</v>
      </c>
      <c r="G406" t="s">
        <v>3371</v>
      </c>
      <c r="H406" t="s">
        <v>3372</v>
      </c>
    </row>
    <row r="407" spans="1:8" x14ac:dyDescent="0.35">
      <c r="A407">
        <v>406</v>
      </c>
      <c r="B407" t="s">
        <v>3373</v>
      </c>
      <c r="C407" t="s">
        <v>705</v>
      </c>
      <c r="D407" t="s">
        <v>3374</v>
      </c>
      <c r="E407" t="s">
        <v>3131</v>
      </c>
      <c r="F407" t="s">
        <v>3374</v>
      </c>
      <c r="G407" t="s">
        <v>3374</v>
      </c>
      <c r="H407" t="s">
        <v>3375</v>
      </c>
    </row>
    <row r="408" spans="1:8" x14ac:dyDescent="0.35">
      <c r="A408">
        <v>407</v>
      </c>
      <c r="B408" t="s">
        <v>3376</v>
      </c>
      <c r="C408" t="s">
        <v>703</v>
      </c>
      <c r="D408" t="s">
        <v>3377</v>
      </c>
      <c r="E408" t="s">
        <v>2041</v>
      </c>
      <c r="F408" t="s">
        <v>3378</v>
      </c>
      <c r="G408" t="s">
        <v>3378</v>
      </c>
      <c r="H408" t="s">
        <v>3379</v>
      </c>
    </row>
    <row r="409" spans="1:8" x14ac:dyDescent="0.35">
      <c r="A409">
        <v>408</v>
      </c>
      <c r="B409" t="s">
        <v>3380</v>
      </c>
      <c r="C409" t="s">
        <v>157</v>
      </c>
      <c r="D409" t="s">
        <v>3381</v>
      </c>
      <c r="E409" t="s">
        <v>2149</v>
      </c>
      <c r="F409" t="s">
        <v>3382</v>
      </c>
      <c r="G409" t="s">
        <v>3382</v>
      </c>
      <c r="H409" t="s">
        <v>3383</v>
      </c>
    </row>
    <row r="410" spans="1:8" x14ac:dyDescent="0.35">
      <c r="A410">
        <v>409</v>
      </c>
      <c r="B410" t="s">
        <v>3384</v>
      </c>
      <c r="C410" t="s">
        <v>711</v>
      </c>
      <c r="D410" t="s">
        <v>3385</v>
      </c>
      <c r="E410" t="s">
        <v>1735</v>
      </c>
      <c r="F410" t="s">
        <v>3386</v>
      </c>
      <c r="G410" t="s">
        <v>3386</v>
      </c>
      <c r="H410" t="s">
        <v>3387</v>
      </c>
    </row>
    <row r="411" spans="1:8" x14ac:dyDescent="0.35">
      <c r="A411">
        <v>410</v>
      </c>
      <c r="B411" t="s">
        <v>3388</v>
      </c>
      <c r="C411" t="s">
        <v>713</v>
      </c>
      <c r="D411" t="s">
        <v>3389</v>
      </c>
      <c r="E411" t="s">
        <v>1730</v>
      </c>
      <c r="F411" t="s">
        <v>3390</v>
      </c>
      <c r="G411" t="s">
        <v>3390</v>
      </c>
      <c r="H411" t="s">
        <v>3391</v>
      </c>
    </row>
    <row r="412" spans="1:8" x14ac:dyDescent="0.35">
      <c r="A412">
        <v>411</v>
      </c>
      <c r="B412" t="s">
        <v>3392</v>
      </c>
      <c r="C412" t="s">
        <v>715</v>
      </c>
      <c r="D412" t="s">
        <v>3393</v>
      </c>
      <c r="E412" t="s">
        <v>2210</v>
      </c>
      <c r="F412" t="s">
        <v>3394</v>
      </c>
      <c r="G412" t="s">
        <v>3395</v>
      </c>
      <c r="H412" t="s">
        <v>3396</v>
      </c>
    </row>
    <row r="413" spans="1:8" x14ac:dyDescent="0.35">
      <c r="A413">
        <v>412</v>
      </c>
      <c r="B413" t="s">
        <v>3397</v>
      </c>
      <c r="C413" t="s">
        <v>76</v>
      </c>
      <c r="D413" t="s">
        <v>3398</v>
      </c>
      <c r="E413" t="s">
        <v>1853</v>
      </c>
      <c r="F413" t="s">
        <v>3399</v>
      </c>
      <c r="G413" t="s">
        <v>3399</v>
      </c>
      <c r="H413" t="s">
        <v>3400</v>
      </c>
    </row>
    <row r="414" spans="1:8" x14ac:dyDescent="0.35">
      <c r="A414">
        <v>413</v>
      </c>
      <c r="B414" t="s">
        <v>3401</v>
      </c>
      <c r="C414" t="s">
        <v>718</v>
      </c>
      <c r="D414" t="s">
        <v>3402</v>
      </c>
      <c r="E414" t="s">
        <v>2748</v>
      </c>
      <c r="F414" t="s">
        <v>3403</v>
      </c>
      <c r="G414" t="s">
        <v>3403</v>
      </c>
      <c r="H414" t="s">
        <v>3404</v>
      </c>
    </row>
    <row r="415" spans="1:8" x14ac:dyDescent="0.35">
      <c r="A415">
        <v>414</v>
      </c>
      <c r="B415" t="s">
        <v>3405</v>
      </c>
      <c r="C415" t="s">
        <v>105</v>
      </c>
      <c r="D415" t="s">
        <v>3406</v>
      </c>
      <c r="E415" t="s">
        <v>2599</v>
      </c>
      <c r="F415" t="s">
        <v>3407</v>
      </c>
      <c r="G415" t="s">
        <v>3407</v>
      </c>
      <c r="H415" t="s">
        <v>3408</v>
      </c>
    </row>
    <row r="416" spans="1:8" x14ac:dyDescent="0.35">
      <c r="A416">
        <v>415</v>
      </c>
      <c r="B416" t="s">
        <v>3409</v>
      </c>
      <c r="C416" t="s">
        <v>721</v>
      </c>
      <c r="D416" t="s">
        <v>3410</v>
      </c>
      <c r="E416" t="s">
        <v>2143</v>
      </c>
      <c r="F416" t="s">
        <v>3411</v>
      </c>
      <c r="G416" t="s">
        <v>3411</v>
      </c>
      <c r="H416" t="s">
        <v>3412</v>
      </c>
    </row>
    <row r="417" spans="1:8" x14ac:dyDescent="0.35">
      <c r="A417">
        <v>416</v>
      </c>
      <c r="B417" t="s">
        <v>3413</v>
      </c>
      <c r="C417" t="s">
        <v>653</v>
      </c>
      <c r="D417" t="s">
        <v>3414</v>
      </c>
      <c r="E417" t="s">
        <v>2640</v>
      </c>
      <c r="F417" t="s">
        <v>3415</v>
      </c>
      <c r="G417" t="s">
        <v>3415</v>
      </c>
      <c r="H417" t="s">
        <v>3416</v>
      </c>
    </row>
    <row r="418" spans="1:8" x14ac:dyDescent="0.35">
      <c r="A418">
        <v>417</v>
      </c>
      <c r="B418" t="s">
        <v>3417</v>
      </c>
      <c r="C418" t="s">
        <v>510</v>
      </c>
      <c r="D418" t="s">
        <v>3418</v>
      </c>
      <c r="E418" t="s">
        <v>2640</v>
      </c>
      <c r="F418" t="s">
        <v>3419</v>
      </c>
      <c r="G418" t="s">
        <v>3419</v>
      </c>
      <c r="H418" t="s">
        <v>3420</v>
      </c>
    </row>
    <row r="419" spans="1:8" x14ac:dyDescent="0.35">
      <c r="A419">
        <v>418</v>
      </c>
      <c r="B419" t="s">
        <v>3421</v>
      </c>
      <c r="C419" t="s">
        <v>172</v>
      </c>
      <c r="D419" t="s">
        <v>3422</v>
      </c>
      <c r="E419" t="s">
        <v>2109</v>
      </c>
      <c r="F419" t="s">
        <v>3423</v>
      </c>
      <c r="G419" t="s">
        <v>3423</v>
      </c>
      <c r="H419" t="s">
        <v>3424</v>
      </c>
    </row>
    <row r="420" spans="1:8" x14ac:dyDescent="0.35">
      <c r="A420">
        <v>419</v>
      </c>
      <c r="B420" t="s">
        <v>3425</v>
      </c>
      <c r="C420" t="s">
        <v>726</v>
      </c>
      <c r="D420" t="s">
        <v>3426</v>
      </c>
      <c r="E420" t="s">
        <v>1844</v>
      </c>
      <c r="F420" t="s">
        <v>3427</v>
      </c>
      <c r="G420" t="s">
        <v>3428</v>
      </c>
      <c r="H420" t="s">
        <v>3429</v>
      </c>
    </row>
    <row r="421" spans="1:8" x14ac:dyDescent="0.35">
      <c r="A421">
        <v>420</v>
      </c>
      <c r="B421" t="s">
        <v>3430</v>
      </c>
      <c r="C421" t="s">
        <v>565</v>
      </c>
      <c r="D421" t="s">
        <v>3431</v>
      </c>
      <c r="E421" t="s">
        <v>2082</v>
      </c>
      <c r="F421" t="s">
        <v>3432</v>
      </c>
      <c r="G421" t="s">
        <v>3432</v>
      </c>
      <c r="H421" t="s">
        <v>3433</v>
      </c>
    </row>
    <row r="422" spans="1:8" x14ac:dyDescent="0.35">
      <c r="A422">
        <v>421</v>
      </c>
      <c r="B422" t="s">
        <v>3434</v>
      </c>
      <c r="C422" t="s">
        <v>442</v>
      </c>
      <c r="D422" t="s">
        <v>3435</v>
      </c>
      <c r="E422" t="s">
        <v>1629</v>
      </c>
      <c r="F422" t="s">
        <v>3436</v>
      </c>
      <c r="G422" t="s">
        <v>3436</v>
      </c>
      <c r="H422" t="s">
        <v>3437</v>
      </c>
    </row>
    <row r="423" spans="1:8" x14ac:dyDescent="0.35">
      <c r="A423">
        <v>422</v>
      </c>
      <c r="B423" t="s">
        <v>3438</v>
      </c>
      <c r="C423" t="s">
        <v>730</v>
      </c>
      <c r="D423" t="s">
        <v>3439</v>
      </c>
      <c r="E423" t="s">
        <v>2253</v>
      </c>
      <c r="F423" t="s">
        <v>3440</v>
      </c>
      <c r="G423" t="s">
        <v>3441</v>
      </c>
      <c r="H423" t="s">
        <v>3442</v>
      </c>
    </row>
    <row r="424" spans="1:8" x14ac:dyDescent="0.35">
      <c r="A424">
        <v>423</v>
      </c>
      <c r="B424" t="s">
        <v>3443</v>
      </c>
      <c r="C424" t="s">
        <v>732</v>
      </c>
      <c r="D424" t="s">
        <v>3444</v>
      </c>
      <c r="E424" t="s">
        <v>3445</v>
      </c>
      <c r="F424" t="s">
        <v>3446</v>
      </c>
      <c r="G424" t="s">
        <v>3446</v>
      </c>
      <c r="H424" t="s">
        <v>3447</v>
      </c>
    </row>
    <row r="425" spans="1:8" x14ac:dyDescent="0.35">
      <c r="A425">
        <v>424</v>
      </c>
      <c r="B425" t="s">
        <v>3448</v>
      </c>
      <c r="C425" t="s">
        <v>734</v>
      </c>
      <c r="D425" t="s">
        <v>3449</v>
      </c>
      <c r="E425" t="s">
        <v>1799</v>
      </c>
      <c r="F425" t="s">
        <v>3450</v>
      </c>
      <c r="G425" t="s">
        <v>3450</v>
      </c>
      <c r="H425" t="s">
        <v>3451</v>
      </c>
    </row>
    <row r="426" spans="1:8" x14ac:dyDescent="0.35">
      <c r="A426">
        <v>425</v>
      </c>
      <c r="B426" t="s">
        <v>3452</v>
      </c>
      <c r="C426" t="s">
        <v>703</v>
      </c>
      <c r="D426" t="s">
        <v>3453</v>
      </c>
      <c r="E426" t="s">
        <v>3454</v>
      </c>
      <c r="F426" t="s">
        <v>3455</v>
      </c>
      <c r="G426" t="s">
        <v>3455</v>
      </c>
      <c r="H426" t="s">
        <v>3456</v>
      </c>
    </row>
    <row r="427" spans="1:8" x14ac:dyDescent="0.35">
      <c r="A427">
        <v>426</v>
      </c>
      <c r="B427" t="s">
        <v>3457</v>
      </c>
      <c r="C427" t="s">
        <v>737</v>
      </c>
      <c r="D427" t="s">
        <v>3458</v>
      </c>
      <c r="E427" t="s">
        <v>3459</v>
      </c>
      <c r="F427" t="s">
        <v>3460</v>
      </c>
      <c r="G427" t="s">
        <v>3460</v>
      </c>
      <c r="H427" t="s">
        <v>3461</v>
      </c>
    </row>
    <row r="428" spans="1:8" x14ac:dyDescent="0.35">
      <c r="A428">
        <v>427</v>
      </c>
      <c r="B428" t="s">
        <v>3462</v>
      </c>
      <c r="C428" t="s">
        <v>739</v>
      </c>
      <c r="D428" t="s">
        <v>3463</v>
      </c>
      <c r="E428" t="s">
        <v>1607</v>
      </c>
      <c r="F428" t="s">
        <v>3464</v>
      </c>
      <c r="G428" t="s">
        <v>3464</v>
      </c>
      <c r="H428" t="s">
        <v>3465</v>
      </c>
    </row>
    <row r="429" spans="1:8" x14ac:dyDescent="0.35">
      <c r="A429">
        <v>428</v>
      </c>
      <c r="B429" t="s">
        <v>3466</v>
      </c>
      <c r="C429" t="s">
        <v>739</v>
      </c>
      <c r="D429" t="s">
        <v>3467</v>
      </c>
      <c r="E429" t="s">
        <v>3468</v>
      </c>
      <c r="F429" t="s">
        <v>3469</v>
      </c>
      <c r="G429" t="s">
        <v>3469</v>
      </c>
      <c r="H429" t="s">
        <v>3470</v>
      </c>
    </row>
    <row r="430" spans="1:8" x14ac:dyDescent="0.35">
      <c r="A430">
        <v>429</v>
      </c>
      <c r="B430" t="s">
        <v>3471</v>
      </c>
      <c r="C430" t="s">
        <v>742</v>
      </c>
      <c r="D430" t="s">
        <v>3472</v>
      </c>
      <c r="E430" t="s">
        <v>1686</v>
      </c>
      <c r="F430" t="s">
        <v>3473</v>
      </c>
      <c r="G430" t="s">
        <v>3473</v>
      </c>
      <c r="H430" t="s">
        <v>3474</v>
      </c>
    </row>
    <row r="431" spans="1:8" x14ac:dyDescent="0.35">
      <c r="A431">
        <v>430</v>
      </c>
      <c r="B431" t="s">
        <v>3475</v>
      </c>
      <c r="C431" t="s">
        <v>379</v>
      </c>
      <c r="D431" t="s">
        <v>3476</v>
      </c>
      <c r="E431" t="s">
        <v>2159</v>
      </c>
      <c r="F431" t="s">
        <v>3477</v>
      </c>
      <c r="G431" t="s">
        <v>3477</v>
      </c>
      <c r="H431" t="s">
        <v>3478</v>
      </c>
    </row>
    <row r="432" spans="1:8" x14ac:dyDescent="0.35">
      <c r="A432">
        <v>431</v>
      </c>
      <c r="B432" t="s">
        <v>3479</v>
      </c>
      <c r="C432" t="s">
        <v>746</v>
      </c>
      <c r="D432" t="s">
        <v>3480</v>
      </c>
      <c r="E432" t="s">
        <v>3481</v>
      </c>
      <c r="F432" t="s">
        <v>3482</v>
      </c>
      <c r="G432" t="s">
        <v>3482</v>
      </c>
      <c r="H432" t="s">
        <v>3483</v>
      </c>
    </row>
    <row r="433" spans="1:8" x14ac:dyDescent="0.35">
      <c r="A433">
        <v>432</v>
      </c>
      <c r="B433" t="s">
        <v>3484</v>
      </c>
      <c r="C433" t="s">
        <v>748</v>
      </c>
      <c r="D433" t="s">
        <v>3485</v>
      </c>
      <c r="E433" t="s">
        <v>2069</v>
      </c>
      <c r="F433" t="s">
        <v>3486</v>
      </c>
      <c r="G433" t="s">
        <v>3487</v>
      </c>
      <c r="H433" t="s">
        <v>3488</v>
      </c>
    </row>
    <row r="434" spans="1:8" x14ac:dyDescent="0.35">
      <c r="A434">
        <v>433</v>
      </c>
      <c r="B434" t="s">
        <v>3489</v>
      </c>
      <c r="C434" t="s">
        <v>750</v>
      </c>
      <c r="D434" t="s">
        <v>3490</v>
      </c>
      <c r="E434" t="s">
        <v>1990</v>
      </c>
      <c r="F434" t="s">
        <v>3491</v>
      </c>
      <c r="G434" t="s">
        <v>3491</v>
      </c>
      <c r="H434" t="s">
        <v>3492</v>
      </c>
    </row>
    <row r="435" spans="1:8" x14ac:dyDescent="0.35">
      <c r="A435">
        <v>434</v>
      </c>
      <c r="B435" t="s">
        <v>3493</v>
      </c>
      <c r="C435" t="s">
        <v>752</v>
      </c>
      <c r="D435" t="s">
        <v>3494</v>
      </c>
      <c r="E435" t="s">
        <v>2229</v>
      </c>
      <c r="F435" t="s">
        <v>3495</v>
      </c>
      <c r="G435" t="s">
        <v>3495</v>
      </c>
      <c r="H435" t="s">
        <v>3496</v>
      </c>
    </row>
    <row r="436" spans="1:8" x14ac:dyDescent="0.35">
      <c r="A436">
        <v>435</v>
      </c>
      <c r="B436" t="s">
        <v>3497</v>
      </c>
      <c r="C436" t="s">
        <v>754</v>
      </c>
      <c r="D436" t="s">
        <v>3498</v>
      </c>
      <c r="E436" t="s">
        <v>2609</v>
      </c>
      <c r="F436" t="s">
        <v>3499</v>
      </c>
      <c r="G436" t="s">
        <v>3500</v>
      </c>
      <c r="H436" t="s">
        <v>3501</v>
      </c>
    </row>
    <row r="437" spans="1:8" x14ac:dyDescent="0.35">
      <c r="A437">
        <v>436</v>
      </c>
      <c r="B437" t="s">
        <v>3502</v>
      </c>
      <c r="C437" t="s">
        <v>754</v>
      </c>
      <c r="D437" t="s">
        <v>3503</v>
      </c>
      <c r="E437" t="s">
        <v>2299</v>
      </c>
      <c r="F437" t="s">
        <v>3504</v>
      </c>
      <c r="G437" t="s">
        <v>3505</v>
      </c>
      <c r="H437" t="s">
        <v>3506</v>
      </c>
    </row>
    <row r="438" spans="1:8" x14ac:dyDescent="0.35">
      <c r="A438">
        <v>437</v>
      </c>
      <c r="B438" t="s">
        <v>3507</v>
      </c>
      <c r="C438" t="s">
        <v>757</v>
      </c>
      <c r="D438" t="s">
        <v>3508</v>
      </c>
      <c r="E438" t="s">
        <v>2782</v>
      </c>
      <c r="F438" t="s">
        <v>3509</v>
      </c>
      <c r="G438" t="s">
        <v>3510</v>
      </c>
      <c r="H438" t="s">
        <v>3511</v>
      </c>
    </row>
    <row r="439" spans="1:8" x14ac:dyDescent="0.35">
      <c r="A439">
        <v>438</v>
      </c>
      <c r="B439" t="s">
        <v>3512</v>
      </c>
      <c r="C439" t="s">
        <v>442</v>
      </c>
      <c r="D439" t="s">
        <v>3513</v>
      </c>
      <c r="E439" t="s">
        <v>1652</v>
      </c>
      <c r="F439" t="s">
        <v>3514</v>
      </c>
      <c r="G439" t="s">
        <v>3514</v>
      </c>
      <c r="H439" t="s">
        <v>3515</v>
      </c>
    </row>
    <row r="440" spans="1:8" x14ac:dyDescent="0.35">
      <c r="A440">
        <v>439</v>
      </c>
      <c r="B440" t="s">
        <v>3516</v>
      </c>
      <c r="C440" t="s">
        <v>760</v>
      </c>
      <c r="D440" t="s">
        <v>3517</v>
      </c>
      <c r="E440" t="s">
        <v>1624</v>
      </c>
      <c r="F440" t="s">
        <v>3518</v>
      </c>
      <c r="G440" t="s">
        <v>3519</v>
      </c>
      <c r="H440" t="s">
        <v>3520</v>
      </c>
    </row>
    <row r="441" spans="1:8" x14ac:dyDescent="0.35">
      <c r="A441">
        <v>440</v>
      </c>
      <c r="B441" t="s">
        <v>3521</v>
      </c>
      <c r="C441" t="s">
        <v>762</v>
      </c>
      <c r="D441" t="s">
        <v>3522</v>
      </c>
      <c r="E441" t="s">
        <v>2272</v>
      </c>
      <c r="F441" t="s">
        <v>3523</v>
      </c>
      <c r="G441" t="s">
        <v>3523</v>
      </c>
      <c r="H441" t="s">
        <v>3524</v>
      </c>
    </row>
    <row r="442" spans="1:8" x14ac:dyDescent="0.35">
      <c r="A442">
        <v>441</v>
      </c>
      <c r="B442" t="s">
        <v>3525</v>
      </c>
      <c r="C442" t="s">
        <v>764</v>
      </c>
      <c r="D442" t="s">
        <v>3526</v>
      </c>
      <c r="E442" t="s">
        <v>1707</v>
      </c>
      <c r="F442" t="s">
        <v>3527</v>
      </c>
      <c r="G442" t="s">
        <v>3527</v>
      </c>
      <c r="H442" t="s">
        <v>3528</v>
      </c>
    </row>
    <row r="443" spans="1:8" x14ac:dyDescent="0.35">
      <c r="A443">
        <v>442</v>
      </c>
      <c r="B443" t="s">
        <v>3529</v>
      </c>
      <c r="C443" t="s">
        <v>766</v>
      </c>
      <c r="D443" t="s">
        <v>3530</v>
      </c>
      <c r="E443" t="s">
        <v>1758</v>
      </c>
      <c r="F443" t="s">
        <v>3531</v>
      </c>
      <c r="G443" t="s">
        <v>3531</v>
      </c>
      <c r="H443" t="s">
        <v>3532</v>
      </c>
    </row>
    <row r="444" spans="1:8" x14ac:dyDescent="0.35">
      <c r="A444">
        <v>443</v>
      </c>
      <c r="B444" t="s">
        <v>3533</v>
      </c>
      <c r="C444" t="s">
        <v>561</v>
      </c>
      <c r="D444" t="s">
        <v>3534</v>
      </c>
      <c r="E444" t="s">
        <v>2335</v>
      </c>
      <c r="F444" t="s">
        <v>3535</v>
      </c>
      <c r="G444" t="s">
        <v>3535</v>
      </c>
      <c r="H444" t="s">
        <v>3536</v>
      </c>
    </row>
    <row r="445" spans="1:8" x14ac:dyDescent="0.35">
      <c r="A445">
        <v>444</v>
      </c>
      <c r="B445" t="s">
        <v>3537</v>
      </c>
      <c r="C445" t="s">
        <v>76</v>
      </c>
      <c r="D445" t="s">
        <v>3538</v>
      </c>
      <c r="E445" t="s">
        <v>3539</v>
      </c>
      <c r="F445" t="s">
        <v>3540</v>
      </c>
      <c r="G445" t="s">
        <v>3540</v>
      </c>
      <c r="H445" t="s">
        <v>3541</v>
      </c>
    </row>
    <row r="446" spans="1:8" x14ac:dyDescent="0.35">
      <c r="A446">
        <v>445</v>
      </c>
      <c r="B446" t="s">
        <v>3542</v>
      </c>
      <c r="C446" t="s">
        <v>772</v>
      </c>
      <c r="D446" t="s">
        <v>3543</v>
      </c>
      <c r="E446" t="s">
        <v>1888</v>
      </c>
      <c r="F446" t="s">
        <v>3544</v>
      </c>
      <c r="G446" t="s">
        <v>3544</v>
      </c>
      <c r="H446" t="s">
        <v>3545</v>
      </c>
    </row>
    <row r="447" spans="1:8" x14ac:dyDescent="0.35">
      <c r="A447">
        <v>446</v>
      </c>
      <c r="B447" t="s">
        <v>3546</v>
      </c>
      <c r="C447" t="s">
        <v>772</v>
      </c>
      <c r="D447" t="s">
        <v>3547</v>
      </c>
      <c r="E447" t="s">
        <v>3548</v>
      </c>
      <c r="F447" t="s">
        <v>3549</v>
      </c>
      <c r="G447" t="s">
        <v>3549</v>
      </c>
      <c r="H447" t="s">
        <v>3550</v>
      </c>
    </row>
    <row r="448" spans="1:8" x14ac:dyDescent="0.35">
      <c r="A448">
        <v>447</v>
      </c>
      <c r="B448" t="s">
        <v>3551</v>
      </c>
      <c r="C448" t="s">
        <v>772</v>
      </c>
      <c r="D448" t="s">
        <v>3552</v>
      </c>
      <c r="E448" t="s">
        <v>2234</v>
      </c>
      <c r="F448" t="s">
        <v>3553</v>
      </c>
      <c r="G448" t="s">
        <v>3553</v>
      </c>
      <c r="H448" t="s">
        <v>3554</v>
      </c>
    </row>
    <row r="449" spans="1:8" x14ac:dyDescent="0.35">
      <c r="A449">
        <v>448</v>
      </c>
      <c r="B449" t="s">
        <v>3555</v>
      </c>
      <c r="C449" t="s">
        <v>772</v>
      </c>
      <c r="D449" t="s">
        <v>3556</v>
      </c>
      <c r="E449" t="s">
        <v>1844</v>
      </c>
      <c r="F449" t="s">
        <v>3557</v>
      </c>
      <c r="G449" t="s">
        <v>3557</v>
      </c>
      <c r="H449" t="s">
        <v>3558</v>
      </c>
    </row>
    <row r="450" spans="1:8" x14ac:dyDescent="0.35">
      <c r="A450">
        <v>449</v>
      </c>
      <c r="B450" t="s">
        <v>3559</v>
      </c>
      <c r="C450" t="s">
        <v>772</v>
      </c>
      <c r="D450" t="s">
        <v>3560</v>
      </c>
      <c r="E450" t="s">
        <v>3561</v>
      </c>
      <c r="F450" t="s">
        <v>3562</v>
      </c>
      <c r="G450" t="s">
        <v>3562</v>
      </c>
      <c r="H450" t="s">
        <v>3563</v>
      </c>
    </row>
    <row r="451" spans="1:8" x14ac:dyDescent="0.35">
      <c r="A451">
        <v>450</v>
      </c>
      <c r="B451" t="s">
        <v>3564</v>
      </c>
      <c r="C451" t="s">
        <v>594</v>
      </c>
      <c r="D451" t="s">
        <v>3565</v>
      </c>
      <c r="E451" t="s">
        <v>2977</v>
      </c>
      <c r="F451" t="s">
        <v>3566</v>
      </c>
      <c r="G451" t="s">
        <v>3566</v>
      </c>
      <c r="H451" t="s">
        <v>3567</v>
      </c>
    </row>
    <row r="452" spans="1:8" x14ac:dyDescent="0.35">
      <c r="A452">
        <v>451</v>
      </c>
      <c r="B452" t="s">
        <v>3568</v>
      </c>
      <c r="C452" t="s">
        <v>781</v>
      </c>
      <c r="D452" t="s">
        <v>3569</v>
      </c>
      <c r="E452" t="s">
        <v>1618</v>
      </c>
      <c r="F452" t="s">
        <v>3570</v>
      </c>
      <c r="G452" t="s">
        <v>3571</v>
      </c>
      <c r="H452" t="s">
        <v>3572</v>
      </c>
    </row>
    <row r="453" spans="1:8" x14ac:dyDescent="0.35">
      <c r="A453">
        <v>452</v>
      </c>
      <c r="B453" t="s">
        <v>3573</v>
      </c>
      <c r="C453" t="s">
        <v>783</v>
      </c>
      <c r="D453" t="s">
        <v>3574</v>
      </c>
      <c r="E453" t="s">
        <v>3575</v>
      </c>
      <c r="F453" t="s">
        <v>3576</v>
      </c>
      <c r="G453" t="s">
        <v>3576</v>
      </c>
      <c r="H453" t="s">
        <v>3577</v>
      </c>
    </row>
    <row r="454" spans="1:8" x14ac:dyDescent="0.35">
      <c r="A454">
        <v>453</v>
      </c>
      <c r="B454" t="s">
        <v>3578</v>
      </c>
      <c r="C454" t="s">
        <v>785</v>
      </c>
      <c r="D454" t="s">
        <v>3579</v>
      </c>
      <c r="E454" t="s">
        <v>2229</v>
      </c>
      <c r="F454" t="s">
        <v>3580</v>
      </c>
      <c r="G454" t="s">
        <v>3580</v>
      </c>
      <c r="H454" t="s">
        <v>3581</v>
      </c>
    </row>
    <row r="455" spans="1:8" x14ac:dyDescent="0.35">
      <c r="A455">
        <v>454</v>
      </c>
      <c r="B455" t="s">
        <v>3582</v>
      </c>
      <c r="C455" t="s">
        <v>785</v>
      </c>
      <c r="D455" t="s">
        <v>3583</v>
      </c>
      <c r="E455" t="s">
        <v>1929</v>
      </c>
      <c r="F455" t="s">
        <v>3584</v>
      </c>
      <c r="G455" t="s">
        <v>3584</v>
      </c>
      <c r="H455" t="s">
        <v>3585</v>
      </c>
    </row>
    <row r="456" spans="1:8" x14ac:dyDescent="0.35">
      <c r="A456">
        <v>455</v>
      </c>
      <c r="B456" t="s">
        <v>3586</v>
      </c>
      <c r="C456" t="s">
        <v>788</v>
      </c>
      <c r="D456" t="s">
        <v>3587</v>
      </c>
      <c r="E456" t="s">
        <v>3588</v>
      </c>
      <c r="F456" t="s">
        <v>3589</v>
      </c>
      <c r="G456" t="s">
        <v>3590</v>
      </c>
      <c r="H456" t="s">
        <v>3590</v>
      </c>
    </row>
    <row r="457" spans="1:8" x14ac:dyDescent="0.35">
      <c r="A457">
        <v>456</v>
      </c>
      <c r="B457" t="s">
        <v>3591</v>
      </c>
      <c r="C457" t="s">
        <v>790</v>
      </c>
      <c r="D457" t="s">
        <v>3592</v>
      </c>
      <c r="E457" t="s">
        <v>3593</v>
      </c>
      <c r="F457" t="s">
        <v>3594</v>
      </c>
      <c r="G457" t="s">
        <v>3595</v>
      </c>
      <c r="H457" t="s">
        <v>3596</v>
      </c>
    </row>
    <row r="458" spans="1:8" x14ac:dyDescent="0.35">
      <c r="A458">
        <v>457</v>
      </c>
      <c r="B458" t="s">
        <v>3597</v>
      </c>
      <c r="C458" t="s">
        <v>792</v>
      </c>
      <c r="D458" t="s">
        <v>3598</v>
      </c>
      <c r="E458" t="s">
        <v>1929</v>
      </c>
      <c r="F458" t="s">
        <v>3599</v>
      </c>
      <c r="G458" t="s">
        <v>3599</v>
      </c>
      <c r="H458" t="s">
        <v>3600</v>
      </c>
    </row>
    <row r="459" spans="1:8" x14ac:dyDescent="0.35">
      <c r="A459">
        <v>458</v>
      </c>
      <c r="B459" t="s">
        <v>3601</v>
      </c>
      <c r="C459" t="s">
        <v>794</v>
      </c>
      <c r="D459" t="s">
        <v>3602</v>
      </c>
      <c r="E459" t="s">
        <v>2186</v>
      </c>
      <c r="F459" t="s">
        <v>3603</v>
      </c>
      <c r="G459" t="s">
        <v>3603</v>
      </c>
      <c r="H459" t="s">
        <v>3604</v>
      </c>
    </row>
    <row r="460" spans="1:8" x14ac:dyDescent="0.35">
      <c r="A460">
        <v>459</v>
      </c>
      <c r="B460" t="s">
        <v>3605</v>
      </c>
      <c r="C460" t="s">
        <v>796</v>
      </c>
      <c r="D460" t="s">
        <v>3606</v>
      </c>
      <c r="E460" t="s">
        <v>1741</v>
      </c>
      <c r="F460" t="s">
        <v>3607</v>
      </c>
      <c r="G460" t="s">
        <v>3607</v>
      </c>
      <c r="H460" t="s">
        <v>3608</v>
      </c>
    </row>
    <row r="461" spans="1:8" x14ac:dyDescent="0.35">
      <c r="A461">
        <v>460</v>
      </c>
      <c r="B461" t="s">
        <v>3609</v>
      </c>
      <c r="C461" t="s">
        <v>798</v>
      </c>
      <c r="D461" t="s">
        <v>3610</v>
      </c>
      <c r="E461" t="s">
        <v>2604</v>
      </c>
      <c r="F461" t="s">
        <v>3611</v>
      </c>
      <c r="G461" t="s">
        <v>3611</v>
      </c>
      <c r="H461" t="s">
        <v>3612</v>
      </c>
    </row>
    <row r="462" spans="1:8" x14ac:dyDescent="0.35">
      <c r="A462">
        <v>461</v>
      </c>
      <c r="B462" t="s">
        <v>3613</v>
      </c>
      <c r="C462" t="s">
        <v>798</v>
      </c>
      <c r="D462" t="s">
        <v>3614</v>
      </c>
      <c r="E462" t="s">
        <v>1735</v>
      </c>
      <c r="F462" t="s">
        <v>3615</v>
      </c>
      <c r="G462" t="s">
        <v>3615</v>
      </c>
      <c r="H462" t="s">
        <v>3616</v>
      </c>
    </row>
    <row r="463" spans="1:8" x14ac:dyDescent="0.35">
      <c r="A463">
        <v>462</v>
      </c>
      <c r="B463" t="s">
        <v>3617</v>
      </c>
      <c r="C463" t="s">
        <v>801</v>
      </c>
      <c r="D463" t="s">
        <v>3618</v>
      </c>
      <c r="E463" t="s">
        <v>1785</v>
      </c>
      <c r="F463" t="s">
        <v>3619</v>
      </c>
      <c r="G463" t="s">
        <v>3619</v>
      </c>
      <c r="H463" t="s">
        <v>3620</v>
      </c>
    </row>
  </sheetData>
  <phoneticPr fontId="2" type="noConversion"/>
  <conditionalFormatting sqref="B2:B463">
    <cfRule type="duplicateValues" dxfId="13"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537F-E222-44B3-9E89-489F8C554EE3}">
  <dimension ref="A1:I463"/>
  <sheetViews>
    <sheetView topLeftCell="I1" workbookViewId="0">
      <selection activeCell="L1" sqref="L1"/>
    </sheetView>
  </sheetViews>
  <sheetFormatPr defaultRowHeight="14.5" x14ac:dyDescent="0.35"/>
  <cols>
    <col min="1" max="1" width="10.54296875" bestFit="1" customWidth="1"/>
    <col min="2" max="2" width="5.453125" bestFit="1" customWidth="1"/>
    <col min="3" max="3" width="80.7265625" bestFit="1" customWidth="1"/>
    <col min="4" max="4" width="17.1796875" bestFit="1" customWidth="1"/>
    <col min="5" max="5" width="80.7265625" bestFit="1" customWidth="1"/>
    <col min="6" max="6" width="38.90625" bestFit="1" customWidth="1"/>
    <col min="7" max="9" width="80.7265625" bestFit="1" customWidth="1"/>
  </cols>
  <sheetData>
    <row r="1" spans="1:9" x14ac:dyDescent="0.35">
      <c r="A1" t="s">
        <v>3635</v>
      </c>
      <c r="B1" t="s">
        <v>0</v>
      </c>
      <c r="C1" t="s">
        <v>1</v>
      </c>
      <c r="D1" t="s">
        <v>2</v>
      </c>
      <c r="E1" t="s">
        <v>1589</v>
      </c>
      <c r="F1" t="s">
        <v>1590</v>
      </c>
      <c r="G1" t="s">
        <v>1591</v>
      </c>
      <c r="H1" t="s">
        <v>1592</v>
      </c>
      <c r="I1" t="s">
        <v>1593</v>
      </c>
    </row>
    <row r="2" spans="1:9" x14ac:dyDescent="0.35">
      <c r="A2">
        <v>1</v>
      </c>
      <c r="B2">
        <v>1</v>
      </c>
      <c r="C2" t="s">
        <v>1594</v>
      </c>
      <c r="D2" t="s">
        <v>4</v>
      </c>
      <c r="E2" t="s">
        <v>1595</v>
      </c>
      <c r="F2" t="s">
        <v>1596</v>
      </c>
      <c r="G2" t="s">
        <v>1597</v>
      </c>
      <c r="H2" t="s">
        <v>1597</v>
      </c>
      <c r="I2" t="s">
        <v>1598</v>
      </c>
    </row>
    <row r="3" spans="1:9" x14ac:dyDescent="0.35">
      <c r="A3">
        <f>SUM(A2+1)</f>
        <v>2</v>
      </c>
      <c r="B3">
        <v>2</v>
      </c>
      <c r="C3" t="s">
        <v>1599</v>
      </c>
      <c r="D3" t="s">
        <v>6</v>
      </c>
      <c r="E3" t="s">
        <v>1600</v>
      </c>
      <c r="F3" t="s">
        <v>1601</v>
      </c>
      <c r="G3" t="s">
        <v>1602</v>
      </c>
      <c r="H3" t="s">
        <v>3636</v>
      </c>
      <c r="I3" t="s">
        <v>3637</v>
      </c>
    </row>
    <row r="4" spans="1:9" x14ac:dyDescent="0.35">
      <c r="A4">
        <f t="shared" ref="A4:A67" si="0">SUM(A3+1)</f>
        <v>3</v>
      </c>
      <c r="B4">
        <v>3</v>
      </c>
      <c r="C4" t="s">
        <v>1605</v>
      </c>
      <c r="D4" t="s">
        <v>8</v>
      </c>
      <c r="E4" t="s">
        <v>1606</v>
      </c>
      <c r="F4" t="s">
        <v>1607</v>
      </c>
      <c r="G4" t="s">
        <v>1608</v>
      </c>
      <c r="H4" t="s">
        <v>1609</v>
      </c>
      <c r="I4" t="s">
        <v>1610</v>
      </c>
    </row>
    <row r="5" spans="1:9" x14ac:dyDescent="0.35">
      <c r="A5">
        <f t="shared" si="0"/>
        <v>4</v>
      </c>
      <c r="B5">
        <v>4</v>
      </c>
      <c r="C5" t="s">
        <v>1611</v>
      </c>
      <c r="D5" t="s">
        <v>10</v>
      </c>
      <c r="E5" t="s">
        <v>1612</v>
      </c>
      <c r="F5" t="s">
        <v>1613</v>
      </c>
      <c r="G5" t="s">
        <v>1614</v>
      </c>
      <c r="H5" t="s">
        <v>1614</v>
      </c>
      <c r="I5" t="s">
        <v>1615</v>
      </c>
    </row>
    <row r="6" spans="1:9" x14ac:dyDescent="0.35">
      <c r="A6">
        <f t="shared" si="0"/>
        <v>5</v>
      </c>
      <c r="B6">
        <v>5</v>
      </c>
      <c r="C6" t="s">
        <v>1616</v>
      </c>
      <c r="D6" t="s">
        <v>12</v>
      </c>
      <c r="E6" t="s">
        <v>1617</v>
      </c>
      <c r="F6" t="s">
        <v>1618</v>
      </c>
      <c r="G6" t="s">
        <v>1619</v>
      </c>
      <c r="H6" t="s">
        <v>3638</v>
      </c>
      <c r="I6" t="s">
        <v>3639</v>
      </c>
    </row>
    <row r="7" spans="1:9" x14ac:dyDescent="0.35">
      <c r="A7">
        <f t="shared" si="0"/>
        <v>6</v>
      </c>
      <c r="B7">
        <v>6</v>
      </c>
      <c r="C7" t="s">
        <v>1622</v>
      </c>
      <c r="D7" t="s">
        <v>14</v>
      </c>
      <c r="E7" t="s">
        <v>1623</v>
      </c>
      <c r="F7" t="s">
        <v>1624</v>
      </c>
      <c r="G7" t="s">
        <v>1625</v>
      </c>
      <c r="H7" t="s">
        <v>3640</v>
      </c>
      <c r="I7" t="s">
        <v>3641</v>
      </c>
    </row>
    <row r="8" spans="1:9" x14ac:dyDescent="0.35">
      <c r="A8">
        <f t="shared" si="0"/>
        <v>7</v>
      </c>
      <c r="B8">
        <v>7</v>
      </c>
      <c r="C8" t="s">
        <v>1627</v>
      </c>
      <c r="D8" t="s">
        <v>16</v>
      </c>
      <c r="E8" t="s">
        <v>1628</v>
      </c>
      <c r="F8" t="s">
        <v>1629</v>
      </c>
      <c r="G8" t="s">
        <v>1630</v>
      </c>
      <c r="H8" t="s">
        <v>1630</v>
      </c>
      <c r="I8" t="s">
        <v>1631</v>
      </c>
    </row>
    <row r="9" spans="1:9" x14ac:dyDescent="0.35">
      <c r="A9">
        <f t="shared" si="0"/>
        <v>8</v>
      </c>
      <c r="B9">
        <v>8</v>
      </c>
      <c r="C9" t="s">
        <v>1632</v>
      </c>
      <c r="D9" t="s">
        <v>18</v>
      </c>
      <c r="E9" t="s">
        <v>1633</v>
      </c>
      <c r="F9" t="s">
        <v>1634</v>
      </c>
      <c r="G9" t="s">
        <v>1635</v>
      </c>
      <c r="H9" t="s">
        <v>3642</v>
      </c>
      <c r="I9" t="s">
        <v>3643</v>
      </c>
    </row>
    <row r="10" spans="1:9" x14ac:dyDescent="0.35">
      <c r="A10">
        <f t="shared" si="0"/>
        <v>9</v>
      </c>
      <c r="B10">
        <v>9</v>
      </c>
      <c r="C10" t="s">
        <v>1638</v>
      </c>
      <c r="D10" t="s">
        <v>20</v>
      </c>
      <c r="E10" t="s">
        <v>1639</v>
      </c>
      <c r="F10" t="s">
        <v>1640</v>
      </c>
      <c r="G10" t="s">
        <v>1641</v>
      </c>
      <c r="H10" t="s">
        <v>1642</v>
      </c>
      <c r="I10" t="s">
        <v>1643</v>
      </c>
    </row>
    <row r="11" spans="1:9" x14ac:dyDescent="0.35">
      <c r="A11">
        <f t="shared" si="0"/>
        <v>10</v>
      </c>
      <c r="B11">
        <v>10</v>
      </c>
      <c r="C11" t="s">
        <v>1644</v>
      </c>
      <c r="D11" t="s">
        <v>22</v>
      </c>
      <c r="E11" t="s">
        <v>1645</v>
      </c>
      <c r="F11" t="s">
        <v>1646</v>
      </c>
      <c r="G11" t="s">
        <v>1647</v>
      </c>
      <c r="H11" t="s">
        <v>1648</v>
      </c>
      <c r="I11" t="s">
        <v>1649</v>
      </c>
    </row>
    <row r="12" spans="1:9" x14ac:dyDescent="0.35">
      <c r="A12">
        <f t="shared" si="0"/>
        <v>11</v>
      </c>
      <c r="B12">
        <v>11</v>
      </c>
      <c r="C12" t="s">
        <v>1650</v>
      </c>
      <c r="D12" t="s">
        <v>24</v>
      </c>
      <c r="E12" t="s">
        <v>1651</v>
      </c>
      <c r="F12" t="s">
        <v>1652</v>
      </c>
      <c r="G12" t="s">
        <v>1653</v>
      </c>
      <c r="H12" t="s">
        <v>3644</v>
      </c>
      <c r="I12" t="s">
        <v>3645</v>
      </c>
    </row>
    <row r="13" spans="1:9" x14ac:dyDescent="0.35">
      <c r="A13">
        <f t="shared" si="0"/>
        <v>12</v>
      </c>
      <c r="B13">
        <v>12</v>
      </c>
      <c r="C13" t="s">
        <v>1655</v>
      </c>
      <c r="D13" t="s">
        <v>26</v>
      </c>
      <c r="E13" t="s">
        <v>1656</v>
      </c>
      <c r="F13" t="s">
        <v>1657</v>
      </c>
      <c r="G13" t="s">
        <v>1658</v>
      </c>
      <c r="H13" t="s">
        <v>1659</v>
      </c>
      <c r="I13" t="s">
        <v>1660</v>
      </c>
    </row>
    <row r="14" spans="1:9" x14ac:dyDescent="0.35">
      <c r="A14">
        <f t="shared" si="0"/>
        <v>13</v>
      </c>
      <c r="B14">
        <v>13</v>
      </c>
      <c r="C14" t="s">
        <v>1661</v>
      </c>
      <c r="D14" t="s">
        <v>28</v>
      </c>
      <c r="E14" t="s">
        <v>1662</v>
      </c>
      <c r="F14" t="s">
        <v>1663</v>
      </c>
      <c r="G14" t="s">
        <v>1664</v>
      </c>
      <c r="H14" t="s">
        <v>1665</v>
      </c>
      <c r="I14" t="s">
        <v>1666</v>
      </c>
    </row>
    <row r="15" spans="1:9" x14ac:dyDescent="0.35">
      <c r="A15">
        <f t="shared" si="0"/>
        <v>14</v>
      </c>
      <c r="B15">
        <v>14</v>
      </c>
      <c r="C15" t="s">
        <v>1661</v>
      </c>
      <c r="D15" t="s">
        <v>30</v>
      </c>
      <c r="E15" t="s">
        <v>1662</v>
      </c>
      <c r="F15" t="s">
        <v>1663</v>
      </c>
      <c r="G15" t="s">
        <v>1664</v>
      </c>
      <c r="H15" t="s">
        <v>1665</v>
      </c>
      <c r="I15" t="s">
        <v>1666</v>
      </c>
    </row>
    <row r="16" spans="1:9" x14ac:dyDescent="0.35">
      <c r="A16">
        <f t="shared" si="0"/>
        <v>15</v>
      </c>
      <c r="B16">
        <v>15</v>
      </c>
      <c r="C16" t="s">
        <v>1667</v>
      </c>
      <c r="D16" t="s">
        <v>32</v>
      </c>
      <c r="E16" t="s">
        <v>1668</v>
      </c>
      <c r="F16" t="s">
        <v>1669</v>
      </c>
      <c r="G16" t="s">
        <v>1670</v>
      </c>
      <c r="H16" t="s">
        <v>1670</v>
      </c>
      <c r="I16" t="s">
        <v>1671</v>
      </c>
    </row>
    <row r="17" spans="1:9" x14ac:dyDescent="0.35">
      <c r="A17">
        <f t="shared" si="0"/>
        <v>16</v>
      </c>
      <c r="B17">
        <v>16</v>
      </c>
      <c r="C17" t="s">
        <v>1672</v>
      </c>
      <c r="D17" t="s">
        <v>34</v>
      </c>
      <c r="E17" t="s">
        <v>1673</v>
      </c>
      <c r="F17" t="s">
        <v>1674</v>
      </c>
      <c r="G17" t="s">
        <v>1675</v>
      </c>
      <c r="H17" t="s">
        <v>1676</v>
      </c>
      <c r="I17" t="s">
        <v>1677</v>
      </c>
    </row>
    <row r="18" spans="1:9" x14ac:dyDescent="0.35">
      <c r="A18">
        <f t="shared" si="0"/>
        <v>17</v>
      </c>
      <c r="B18">
        <v>17</v>
      </c>
      <c r="C18" t="s">
        <v>1678</v>
      </c>
      <c r="D18" t="s">
        <v>36</v>
      </c>
      <c r="E18" t="s">
        <v>1679</v>
      </c>
      <c r="F18" t="s">
        <v>1680</v>
      </c>
      <c r="G18" t="s">
        <v>1681</v>
      </c>
      <c r="H18" t="s">
        <v>1682</v>
      </c>
      <c r="I18" t="s">
        <v>1683</v>
      </c>
    </row>
    <row r="19" spans="1:9" x14ac:dyDescent="0.35">
      <c r="A19">
        <f t="shared" si="0"/>
        <v>18</v>
      </c>
      <c r="B19">
        <v>18</v>
      </c>
      <c r="C19" t="s">
        <v>1684</v>
      </c>
      <c r="D19" t="s">
        <v>38</v>
      </c>
      <c r="E19" t="s">
        <v>1685</v>
      </c>
      <c r="F19" t="s">
        <v>1686</v>
      </c>
      <c r="G19" t="s">
        <v>1687</v>
      </c>
      <c r="H19" t="s">
        <v>1688</v>
      </c>
      <c r="I19" t="s">
        <v>1689</v>
      </c>
    </row>
    <row r="20" spans="1:9" x14ac:dyDescent="0.35">
      <c r="A20">
        <f t="shared" si="0"/>
        <v>19</v>
      </c>
      <c r="B20">
        <v>19</v>
      </c>
      <c r="C20" t="s">
        <v>1690</v>
      </c>
      <c r="D20" t="s">
        <v>40</v>
      </c>
      <c r="E20" t="s">
        <v>1691</v>
      </c>
      <c r="F20" t="s">
        <v>1692</v>
      </c>
      <c r="G20" t="s">
        <v>1693</v>
      </c>
      <c r="H20" t="s">
        <v>1693</v>
      </c>
      <c r="I20" t="s">
        <v>1694</v>
      </c>
    </row>
    <row r="21" spans="1:9" x14ac:dyDescent="0.35">
      <c r="A21">
        <f t="shared" si="0"/>
        <v>20</v>
      </c>
      <c r="B21">
        <v>20</v>
      </c>
      <c r="C21" t="s">
        <v>1695</v>
      </c>
      <c r="D21" t="s">
        <v>42</v>
      </c>
      <c r="E21" t="s">
        <v>1696</v>
      </c>
      <c r="F21" t="s">
        <v>1697</v>
      </c>
      <c r="G21" t="s">
        <v>1698</v>
      </c>
      <c r="H21" t="s">
        <v>1698</v>
      </c>
      <c r="I21" t="s">
        <v>1699</v>
      </c>
    </row>
    <row r="22" spans="1:9" x14ac:dyDescent="0.35">
      <c r="A22">
        <f t="shared" si="0"/>
        <v>21</v>
      </c>
      <c r="B22">
        <v>21</v>
      </c>
      <c r="C22" t="s">
        <v>1700</v>
      </c>
      <c r="D22" t="s">
        <v>44</v>
      </c>
      <c r="E22" t="s">
        <v>1701</v>
      </c>
      <c r="F22" t="s">
        <v>1702</v>
      </c>
      <c r="G22" t="s">
        <v>1703</v>
      </c>
      <c r="H22" t="s">
        <v>1703</v>
      </c>
      <c r="I22" t="s">
        <v>1704</v>
      </c>
    </row>
    <row r="23" spans="1:9" x14ac:dyDescent="0.35">
      <c r="A23">
        <f t="shared" si="0"/>
        <v>22</v>
      </c>
      <c r="B23">
        <v>22</v>
      </c>
      <c r="C23" t="s">
        <v>1705</v>
      </c>
      <c r="D23" t="s">
        <v>20</v>
      </c>
      <c r="E23" t="s">
        <v>1706</v>
      </c>
      <c r="F23" t="s">
        <v>1707</v>
      </c>
      <c r="G23" t="s">
        <v>1708</v>
      </c>
      <c r="H23" t="s">
        <v>1709</v>
      </c>
      <c r="I23" t="s">
        <v>1710</v>
      </c>
    </row>
    <row r="24" spans="1:9" x14ac:dyDescent="0.35">
      <c r="A24">
        <f t="shared" si="0"/>
        <v>23</v>
      </c>
      <c r="B24">
        <v>23</v>
      </c>
      <c r="C24" t="s">
        <v>1711</v>
      </c>
      <c r="D24" t="s">
        <v>47</v>
      </c>
      <c r="E24" t="s">
        <v>1712</v>
      </c>
      <c r="F24" t="s">
        <v>1713</v>
      </c>
      <c r="G24" t="s">
        <v>1714</v>
      </c>
      <c r="H24" t="s">
        <v>3646</v>
      </c>
      <c r="I24" t="s">
        <v>3647</v>
      </c>
    </row>
    <row r="25" spans="1:9" x14ac:dyDescent="0.35">
      <c r="A25">
        <f t="shared" si="0"/>
        <v>24</v>
      </c>
      <c r="B25">
        <v>24</v>
      </c>
      <c r="C25" t="s">
        <v>1717</v>
      </c>
      <c r="D25" t="s">
        <v>49</v>
      </c>
      <c r="E25" t="s">
        <v>1718</v>
      </c>
      <c r="F25" t="s">
        <v>1719</v>
      </c>
      <c r="G25" t="s">
        <v>1720</v>
      </c>
      <c r="H25" t="s">
        <v>1720</v>
      </c>
      <c r="I25" t="s">
        <v>1721</v>
      </c>
    </row>
    <row r="26" spans="1:9" x14ac:dyDescent="0.35">
      <c r="A26">
        <f t="shared" si="0"/>
        <v>25</v>
      </c>
      <c r="B26">
        <v>25</v>
      </c>
      <c r="C26" t="s">
        <v>1722</v>
      </c>
      <c r="D26" t="s">
        <v>20</v>
      </c>
      <c r="E26" t="s">
        <v>1723</v>
      </c>
      <c r="F26" t="s">
        <v>1724</v>
      </c>
      <c r="G26" t="s">
        <v>1725</v>
      </c>
      <c r="H26" t="s">
        <v>1726</v>
      </c>
      <c r="I26" t="s">
        <v>1727</v>
      </c>
    </row>
    <row r="27" spans="1:9" x14ac:dyDescent="0.35">
      <c r="A27">
        <f t="shared" si="0"/>
        <v>26</v>
      </c>
      <c r="B27">
        <v>26</v>
      </c>
      <c r="C27" t="s">
        <v>1728</v>
      </c>
      <c r="D27" t="s">
        <v>52</v>
      </c>
      <c r="E27" t="s">
        <v>1729</v>
      </c>
      <c r="F27" t="s">
        <v>1730</v>
      </c>
      <c r="G27" t="s">
        <v>1731</v>
      </c>
      <c r="H27" t="s">
        <v>1731</v>
      </c>
      <c r="I27" t="s">
        <v>1732</v>
      </c>
    </row>
    <row r="28" spans="1:9" x14ac:dyDescent="0.35">
      <c r="A28">
        <f t="shared" si="0"/>
        <v>27</v>
      </c>
      <c r="B28">
        <v>27</v>
      </c>
      <c r="C28" t="s">
        <v>1733</v>
      </c>
      <c r="D28" t="s">
        <v>54</v>
      </c>
      <c r="E28" t="s">
        <v>1734</v>
      </c>
      <c r="F28" t="s">
        <v>1735</v>
      </c>
      <c r="G28" t="s">
        <v>1736</v>
      </c>
      <c r="H28" t="s">
        <v>1737</v>
      </c>
      <c r="I28" t="s">
        <v>1738</v>
      </c>
    </row>
    <row r="29" spans="1:9" x14ac:dyDescent="0.35">
      <c r="A29">
        <f t="shared" si="0"/>
        <v>28</v>
      </c>
      <c r="B29">
        <v>28</v>
      </c>
      <c r="C29" t="s">
        <v>1739</v>
      </c>
      <c r="D29" t="s">
        <v>56</v>
      </c>
      <c r="E29" t="s">
        <v>1740</v>
      </c>
      <c r="F29" t="s">
        <v>1741</v>
      </c>
      <c r="G29" t="s">
        <v>1742</v>
      </c>
      <c r="H29" t="s">
        <v>1743</v>
      </c>
      <c r="I29" t="s">
        <v>1744</v>
      </c>
    </row>
    <row r="30" spans="1:9" x14ac:dyDescent="0.35">
      <c r="A30">
        <f t="shared" si="0"/>
        <v>29</v>
      </c>
      <c r="B30">
        <v>29</v>
      </c>
      <c r="C30" t="s">
        <v>1745</v>
      </c>
      <c r="D30" t="s">
        <v>58</v>
      </c>
      <c r="E30" t="s">
        <v>1746</v>
      </c>
      <c r="F30" t="s">
        <v>1747</v>
      </c>
      <c r="G30" t="s">
        <v>1748</v>
      </c>
      <c r="H30" t="s">
        <v>1748</v>
      </c>
      <c r="I30" t="s">
        <v>1749</v>
      </c>
    </row>
    <row r="31" spans="1:9" x14ac:dyDescent="0.35">
      <c r="A31">
        <f t="shared" si="0"/>
        <v>30</v>
      </c>
      <c r="B31">
        <v>30</v>
      </c>
      <c r="C31" t="s">
        <v>1750</v>
      </c>
      <c r="D31" t="s">
        <v>60</v>
      </c>
      <c r="E31" t="s">
        <v>1751</v>
      </c>
      <c r="F31" t="s">
        <v>1752</v>
      </c>
      <c r="G31" t="s">
        <v>1753</v>
      </c>
      <c r="H31" t="s">
        <v>3648</v>
      </c>
      <c r="I31" t="s">
        <v>3649</v>
      </c>
    </row>
    <row r="32" spans="1:9" x14ac:dyDescent="0.35">
      <c r="A32">
        <f t="shared" si="0"/>
        <v>31</v>
      </c>
      <c r="B32">
        <v>31</v>
      </c>
      <c r="C32" t="s">
        <v>1756</v>
      </c>
      <c r="D32" t="s">
        <v>62</v>
      </c>
      <c r="E32" t="s">
        <v>1757</v>
      </c>
      <c r="F32" t="s">
        <v>1758</v>
      </c>
      <c r="G32" t="s">
        <v>1759</v>
      </c>
      <c r="H32" t="s">
        <v>1760</v>
      </c>
      <c r="I32" t="s">
        <v>1761</v>
      </c>
    </row>
    <row r="33" spans="1:9" x14ac:dyDescent="0.35">
      <c r="A33">
        <f t="shared" si="0"/>
        <v>32</v>
      </c>
      <c r="B33">
        <v>32</v>
      </c>
      <c r="C33" t="s">
        <v>1762</v>
      </c>
      <c r="D33" t="s">
        <v>64</v>
      </c>
      <c r="E33" t="s">
        <v>1763</v>
      </c>
      <c r="F33" t="s">
        <v>1764</v>
      </c>
      <c r="G33" t="s">
        <v>1765</v>
      </c>
      <c r="H33" t="s">
        <v>3650</v>
      </c>
      <c r="I33" t="s">
        <v>1767</v>
      </c>
    </row>
    <row r="34" spans="1:9" x14ac:dyDescent="0.35">
      <c r="A34">
        <f t="shared" si="0"/>
        <v>33</v>
      </c>
      <c r="B34">
        <v>33</v>
      </c>
      <c r="C34" t="s">
        <v>1768</v>
      </c>
      <c r="D34" t="s">
        <v>66</v>
      </c>
      <c r="E34" t="s">
        <v>1769</v>
      </c>
      <c r="F34" t="s">
        <v>1770</v>
      </c>
      <c r="G34" t="s">
        <v>1771</v>
      </c>
      <c r="H34" t="s">
        <v>1771</v>
      </c>
      <c r="I34" t="s">
        <v>1772</v>
      </c>
    </row>
    <row r="35" spans="1:9" x14ac:dyDescent="0.35">
      <c r="A35">
        <f t="shared" si="0"/>
        <v>34</v>
      </c>
      <c r="B35">
        <v>34</v>
      </c>
      <c r="C35" t="s">
        <v>1773</v>
      </c>
      <c r="D35" t="s">
        <v>68</v>
      </c>
      <c r="E35" t="s">
        <v>1774</v>
      </c>
      <c r="F35" t="s">
        <v>1775</v>
      </c>
      <c r="G35" t="s">
        <v>1776</v>
      </c>
      <c r="H35" t="s">
        <v>1776</v>
      </c>
      <c r="I35" t="s">
        <v>1777</v>
      </c>
    </row>
    <row r="36" spans="1:9" x14ac:dyDescent="0.35">
      <c r="A36">
        <f t="shared" si="0"/>
        <v>35</v>
      </c>
      <c r="B36">
        <v>35</v>
      </c>
      <c r="C36" t="s">
        <v>1778</v>
      </c>
      <c r="D36" t="s">
        <v>70</v>
      </c>
      <c r="E36" t="s">
        <v>1779</v>
      </c>
      <c r="F36" t="s">
        <v>1780</v>
      </c>
      <c r="G36" t="s">
        <v>1781</v>
      </c>
      <c r="H36" t="s">
        <v>1781</v>
      </c>
      <c r="I36" t="s">
        <v>1782</v>
      </c>
    </row>
    <row r="37" spans="1:9" x14ac:dyDescent="0.35">
      <c r="A37">
        <f t="shared" si="0"/>
        <v>36</v>
      </c>
      <c r="B37">
        <v>36</v>
      </c>
      <c r="C37" t="s">
        <v>1783</v>
      </c>
      <c r="D37" t="s">
        <v>72</v>
      </c>
      <c r="E37" t="s">
        <v>1784</v>
      </c>
      <c r="F37" t="s">
        <v>1785</v>
      </c>
      <c r="G37" t="s">
        <v>1786</v>
      </c>
      <c r="H37" t="s">
        <v>1786</v>
      </c>
      <c r="I37" t="s">
        <v>1787</v>
      </c>
    </row>
    <row r="38" spans="1:9" x14ac:dyDescent="0.35">
      <c r="A38">
        <f t="shared" si="0"/>
        <v>37</v>
      </c>
      <c r="B38">
        <v>37</v>
      </c>
      <c r="C38" t="s">
        <v>1788</v>
      </c>
      <c r="D38" t="s">
        <v>74</v>
      </c>
      <c r="E38" t="s">
        <v>1789</v>
      </c>
      <c r="F38" t="s">
        <v>1730</v>
      </c>
      <c r="G38" t="s">
        <v>1790</v>
      </c>
      <c r="H38" t="s">
        <v>1790</v>
      </c>
      <c r="I38" t="s">
        <v>1791</v>
      </c>
    </row>
    <row r="39" spans="1:9" x14ac:dyDescent="0.35">
      <c r="A39">
        <f t="shared" si="0"/>
        <v>38</v>
      </c>
      <c r="B39">
        <v>38</v>
      </c>
      <c r="C39" t="s">
        <v>1792</v>
      </c>
      <c r="D39" t="s">
        <v>76</v>
      </c>
      <c r="E39" t="s">
        <v>1793</v>
      </c>
      <c r="F39" t="s">
        <v>1794</v>
      </c>
      <c r="G39" t="s">
        <v>1795</v>
      </c>
      <c r="H39" t="s">
        <v>1795</v>
      </c>
      <c r="I39" t="s">
        <v>1796</v>
      </c>
    </row>
    <row r="40" spans="1:9" x14ac:dyDescent="0.35">
      <c r="A40">
        <f t="shared" si="0"/>
        <v>39</v>
      </c>
      <c r="B40">
        <v>39</v>
      </c>
      <c r="C40" t="s">
        <v>1797</v>
      </c>
      <c r="D40" t="s">
        <v>78</v>
      </c>
      <c r="E40" t="s">
        <v>1798</v>
      </c>
      <c r="F40" t="s">
        <v>1799</v>
      </c>
      <c r="G40" t="s">
        <v>1800</v>
      </c>
      <c r="H40" t="s">
        <v>1800</v>
      </c>
      <c r="I40" t="s">
        <v>1801</v>
      </c>
    </row>
    <row r="41" spans="1:9" x14ac:dyDescent="0.35">
      <c r="A41">
        <f t="shared" si="0"/>
        <v>40</v>
      </c>
      <c r="B41">
        <v>40</v>
      </c>
      <c r="C41" t="s">
        <v>1802</v>
      </c>
      <c r="D41" t="s">
        <v>80</v>
      </c>
      <c r="E41" t="s">
        <v>1803</v>
      </c>
      <c r="F41" t="s">
        <v>1804</v>
      </c>
      <c r="G41" t="s">
        <v>1805</v>
      </c>
      <c r="H41" t="s">
        <v>1805</v>
      </c>
      <c r="I41" t="s">
        <v>1806</v>
      </c>
    </row>
    <row r="42" spans="1:9" x14ac:dyDescent="0.35">
      <c r="A42">
        <f t="shared" si="0"/>
        <v>41</v>
      </c>
      <c r="B42">
        <v>41</v>
      </c>
      <c r="C42" t="s">
        <v>1807</v>
      </c>
      <c r="D42" t="s">
        <v>82</v>
      </c>
      <c r="E42" t="s">
        <v>1808</v>
      </c>
      <c r="F42" t="s">
        <v>1809</v>
      </c>
      <c r="G42" t="s">
        <v>1810</v>
      </c>
      <c r="H42" t="s">
        <v>1810</v>
      </c>
      <c r="I42" t="s">
        <v>1811</v>
      </c>
    </row>
    <row r="43" spans="1:9" x14ac:dyDescent="0.35">
      <c r="A43">
        <f t="shared" si="0"/>
        <v>42</v>
      </c>
      <c r="B43">
        <v>42</v>
      </c>
      <c r="C43" t="s">
        <v>1812</v>
      </c>
      <c r="D43" t="s">
        <v>84</v>
      </c>
      <c r="E43" t="s">
        <v>1813</v>
      </c>
      <c r="F43" t="s">
        <v>1692</v>
      </c>
      <c r="G43" t="s">
        <v>1814</v>
      </c>
      <c r="H43" t="s">
        <v>1814</v>
      </c>
      <c r="I43" t="s">
        <v>1815</v>
      </c>
    </row>
    <row r="44" spans="1:9" x14ac:dyDescent="0.35">
      <c r="A44">
        <f t="shared" si="0"/>
        <v>43</v>
      </c>
      <c r="B44">
        <v>43</v>
      </c>
      <c r="C44" t="s">
        <v>1816</v>
      </c>
      <c r="D44" t="s">
        <v>76</v>
      </c>
      <c r="E44" t="s">
        <v>1817</v>
      </c>
      <c r="F44" t="s">
        <v>1818</v>
      </c>
      <c r="G44" t="s">
        <v>1819</v>
      </c>
      <c r="H44" t="s">
        <v>1819</v>
      </c>
      <c r="I44" t="s">
        <v>1820</v>
      </c>
    </row>
    <row r="45" spans="1:9" x14ac:dyDescent="0.35">
      <c r="A45">
        <f t="shared" si="0"/>
        <v>44</v>
      </c>
      <c r="B45">
        <v>44</v>
      </c>
      <c r="C45" t="s">
        <v>1821</v>
      </c>
      <c r="D45" t="s">
        <v>87</v>
      </c>
      <c r="E45" t="s">
        <v>1822</v>
      </c>
      <c r="F45" t="s">
        <v>1823</v>
      </c>
      <c r="G45" t="s">
        <v>1824</v>
      </c>
      <c r="H45" t="s">
        <v>3651</v>
      </c>
      <c r="I45" t="s">
        <v>3652</v>
      </c>
    </row>
    <row r="46" spans="1:9" x14ac:dyDescent="0.35">
      <c r="A46">
        <f t="shared" si="0"/>
        <v>45</v>
      </c>
      <c r="B46">
        <v>45</v>
      </c>
      <c r="C46" t="s">
        <v>1827</v>
      </c>
      <c r="D46" t="s">
        <v>84</v>
      </c>
      <c r="E46" t="s">
        <v>1828</v>
      </c>
      <c r="F46" t="s">
        <v>1829</v>
      </c>
      <c r="G46" t="s">
        <v>1830</v>
      </c>
      <c r="H46" t="s">
        <v>1830</v>
      </c>
      <c r="I46" t="s">
        <v>1831</v>
      </c>
    </row>
    <row r="47" spans="1:9" x14ac:dyDescent="0.35">
      <c r="A47">
        <f t="shared" si="0"/>
        <v>46</v>
      </c>
      <c r="B47">
        <v>46</v>
      </c>
      <c r="C47" t="s">
        <v>1832</v>
      </c>
      <c r="D47" t="s">
        <v>76</v>
      </c>
      <c r="E47" t="s">
        <v>1833</v>
      </c>
      <c r="F47" t="s">
        <v>1834</v>
      </c>
      <c r="G47" t="s">
        <v>1835</v>
      </c>
      <c r="H47" t="s">
        <v>1835</v>
      </c>
      <c r="I47" t="s">
        <v>1836</v>
      </c>
    </row>
    <row r="48" spans="1:9" x14ac:dyDescent="0.35">
      <c r="A48">
        <f t="shared" si="0"/>
        <v>47</v>
      </c>
      <c r="B48">
        <v>47</v>
      </c>
      <c r="C48" t="s">
        <v>1837</v>
      </c>
      <c r="D48" t="s">
        <v>91</v>
      </c>
      <c r="E48" t="s">
        <v>1838</v>
      </c>
      <c r="F48" t="s">
        <v>1839</v>
      </c>
      <c r="G48" t="s">
        <v>1840</v>
      </c>
      <c r="H48" t="s">
        <v>1840</v>
      </c>
      <c r="I48" t="s">
        <v>1841</v>
      </c>
    </row>
    <row r="49" spans="1:9" x14ac:dyDescent="0.35">
      <c r="A49">
        <f t="shared" si="0"/>
        <v>48</v>
      </c>
      <c r="B49">
        <v>48</v>
      </c>
      <c r="C49" t="s">
        <v>1842</v>
      </c>
      <c r="D49" t="s">
        <v>93</v>
      </c>
      <c r="E49" t="s">
        <v>1843</v>
      </c>
      <c r="F49" t="s">
        <v>1844</v>
      </c>
      <c r="G49" t="s">
        <v>1845</v>
      </c>
      <c r="H49" t="s">
        <v>1845</v>
      </c>
      <c r="I49" t="s">
        <v>1846</v>
      </c>
    </row>
    <row r="50" spans="1:9" x14ac:dyDescent="0.35">
      <c r="A50">
        <f t="shared" si="0"/>
        <v>49</v>
      </c>
      <c r="B50">
        <v>49</v>
      </c>
      <c r="C50" t="s">
        <v>1847</v>
      </c>
      <c r="D50" t="s">
        <v>93</v>
      </c>
      <c r="E50" t="s">
        <v>1848</v>
      </c>
      <c r="F50" t="s">
        <v>1804</v>
      </c>
      <c r="G50" t="s">
        <v>1849</v>
      </c>
      <c r="H50" t="s">
        <v>1849</v>
      </c>
      <c r="I50" t="s">
        <v>1850</v>
      </c>
    </row>
    <row r="51" spans="1:9" x14ac:dyDescent="0.35">
      <c r="A51">
        <f t="shared" si="0"/>
        <v>50</v>
      </c>
      <c r="B51">
        <v>50</v>
      </c>
      <c r="C51" t="s">
        <v>1851</v>
      </c>
      <c r="D51" t="s">
        <v>76</v>
      </c>
      <c r="E51" t="s">
        <v>1852</v>
      </c>
      <c r="F51" t="s">
        <v>1853</v>
      </c>
      <c r="G51" t="s">
        <v>1854</v>
      </c>
      <c r="H51" t="s">
        <v>1854</v>
      </c>
      <c r="I51" t="s">
        <v>1855</v>
      </c>
    </row>
    <row r="52" spans="1:9" x14ac:dyDescent="0.35">
      <c r="A52">
        <f t="shared" si="0"/>
        <v>51</v>
      </c>
      <c r="B52">
        <v>51</v>
      </c>
      <c r="C52" t="s">
        <v>1856</v>
      </c>
      <c r="D52" t="s">
        <v>93</v>
      </c>
      <c r="E52" t="s">
        <v>1857</v>
      </c>
      <c r="F52" t="s">
        <v>1596</v>
      </c>
      <c r="G52" t="s">
        <v>1858</v>
      </c>
      <c r="H52" t="s">
        <v>1858</v>
      </c>
      <c r="I52" t="s">
        <v>1859</v>
      </c>
    </row>
    <row r="53" spans="1:9" x14ac:dyDescent="0.35">
      <c r="A53">
        <f t="shared" si="0"/>
        <v>52</v>
      </c>
      <c r="B53">
        <v>52</v>
      </c>
      <c r="C53" t="s">
        <v>1860</v>
      </c>
      <c r="D53" t="s">
        <v>98</v>
      </c>
      <c r="E53" t="s">
        <v>1861</v>
      </c>
      <c r="F53" t="s">
        <v>1692</v>
      </c>
      <c r="G53" t="s">
        <v>1862</v>
      </c>
      <c r="H53" t="s">
        <v>1862</v>
      </c>
      <c r="I53" t="s">
        <v>1863</v>
      </c>
    </row>
    <row r="54" spans="1:9" x14ac:dyDescent="0.35">
      <c r="A54">
        <f t="shared" si="0"/>
        <v>53</v>
      </c>
      <c r="B54">
        <v>53</v>
      </c>
      <c r="C54" t="s">
        <v>1864</v>
      </c>
      <c r="D54" t="s">
        <v>100</v>
      </c>
      <c r="E54" t="s">
        <v>1865</v>
      </c>
      <c r="F54" t="s">
        <v>1730</v>
      </c>
      <c r="G54" t="s">
        <v>1866</v>
      </c>
      <c r="H54" t="s">
        <v>1866</v>
      </c>
      <c r="I54" t="s">
        <v>1867</v>
      </c>
    </row>
    <row r="55" spans="1:9" x14ac:dyDescent="0.35">
      <c r="A55">
        <f t="shared" si="0"/>
        <v>54</v>
      </c>
      <c r="B55">
        <v>54</v>
      </c>
      <c r="C55" t="s">
        <v>1868</v>
      </c>
      <c r="D55" t="s">
        <v>102</v>
      </c>
      <c r="E55" t="s">
        <v>1869</v>
      </c>
      <c r="F55" t="s">
        <v>1596</v>
      </c>
      <c r="G55" t="s">
        <v>1870</v>
      </c>
      <c r="H55" t="s">
        <v>1871</v>
      </c>
      <c r="I55" t="s">
        <v>1872</v>
      </c>
    </row>
    <row r="56" spans="1:9" x14ac:dyDescent="0.35">
      <c r="A56">
        <f t="shared" si="0"/>
        <v>55</v>
      </c>
      <c r="B56">
        <v>55</v>
      </c>
      <c r="C56" t="s">
        <v>1873</v>
      </c>
      <c r="D56" t="s">
        <v>100</v>
      </c>
      <c r="E56" t="s">
        <v>1874</v>
      </c>
      <c r="F56" t="s">
        <v>1804</v>
      </c>
      <c r="G56" t="s">
        <v>1875</v>
      </c>
      <c r="H56" t="s">
        <v>1875</v>
      </c>
      <c r="I56" t="s">
        <v>1876</v>
      </c>
    </row>
    <row r="57" spans="1:9" x14ac:dyDescent="0.35">
      <c r="A57">
        <f t="shared" si="0"/>
        <v>56</v>
      </c>
      <c r="B57">
        <v>56</v>
      </c>
      <c r="C57" t="s">
        <v>1877</v>
      </c>
      <c r="D57" t="s">
        <v>105</v>
      </c>
      <c r="E57" t="s">
        <v>1878</v>
      </c>
      <c r="F57" t="s">
        <v>1879</v>
      </c>
      <c r="G57" t="s">
        <v>1880</v>
      </c>
      <c r="H57" t="s">
        <v>1880</v>
      </c>
      <c r="I57" t="s">
        <v>1881</v>
      </c>
    </row>
    <row r="58" spans="1:9" x14ac:dyDescent="0.35">
      <c r="A58">
        <f t="shared" si="0"/>
        <v>57</v>
      </c>
      <c r="B58">
        <v>57</v>
      </c>
      <c r="C58" t="s">
        <v>1877</v>
      </c>
      <c r="D58" t="s">
        <v>105</v>
      </c>
      <c r="E58" t="s">
        <v>1878</v>
      </c>
      <c r="F58" t="s">
        <v>1879</v>
      </c>
      <c r="G58" t="s">
        <v>1880</v>
      </c>
      <c r="H58" t="s">
        <v>1880</v>
      </c>
      <c r="I58" t="s">
        <v>1881</v>
      </c>
    </row>
    <row r="59" spans="1:9" x14ac:dyDescent="0.35">
      <c r="A59">
        <f t="shared" si="0"/>
        <v>58</v>
      </c>
      <c r="B59">
        <v>58</v>
      </c>
      <c r="C59" t="s">
        <v>1882</v>
      </c>
      <c r="D59" t="s">
        <v>108</v>
      </c>
      <c r="E59" t="s">
        <v>1883</v>
      </c>
      <c r="F59" t="s">
        <v>1884</v>
      </c>
      <c r="G59" t="s">
        <v>1883</v>
      </c>
      <c r="H59" t="s">
        <v>1883</v>
      </c>
      <c r="I59" t="s">
        <v>1885</v>
      </c>
    </row>
    <row r="60" spans="1:9" x14ac:dyDescent="0.35">
      <c r="A60">
        <f t="shared" si="0"/>
        <v>59</v>
      </c>
      <c r="B60">
        <v>59</v>
      </c>
      <c r="C60" t="s">
        <v>1886</v>
      </c>
      <c r="D60" t="s">
        <v>110</v>
      </c>
      <c r="E60" t="s">
        <v>1887</v>
      </c>
      <c r="F60" t="s">
        <v>1888</v>
      </c>
      <c r="G60" t="s">
        <v>1887</v>
      </c>
      <c r="H60" t="s">
        <v>1889</v>
      </c>
      <c r="I60" t="s">
        <v>1890</v>
      </c>
    </row>
    <row r="61" spans="1:9" x14ac:dyDescent="0.35">
      <c r="A61">
        <f t="shared" si="0"/>
        <v>60</v>
      </c>
      <c r="B61">
        <v>60</v>
      </c>
      <c r="C61" t="s">
        <v>1891</v>
      </c>
      <c r="D61" t="s">
        <v>112</v>
      </c>
      <c r="E61" t="s">
        <v>1892</v>
      </c>
      <c r="F61" t="s">
        <v>1893</v>
      </c>
      <c r="G61" t="s">
        <v>1894</v>
      </c>
      <c r="H61" t="s">
        <v>1894</v>
      </c>
      <c r="I61" t="s">
        <v>1895</v>
      </c>
    </row>
    <row r="62" spans="1:9" x14ac:dyDescent="0.35">
      <c r="A62">
        <f t="shared" si="0"/>
        <v>61</v>
      </c>
      <c r="B62">
        <v>61</v>
      </c>
      <c r="C62" t="s">
        <v>1896</v>
      </c>
      <c r="D62" t="s">
        <v>114</v>
      </c>
      <c r="E62" t="s">
        <v>1897</v>
      </c>
      <c r="F62" t="s">
        <v>1596</v>
      </c>
      <c r="G62" t="s">
        <v>1897</v>
      </c>
      <c r="H62" t="s">
        <v>1897</v>
      </c>
      <c r="I62" t="s">
        <v>1898</v>
      </c>
    </row>
    <row r="63" spans="1:9" x14ac:dyDescent="0.35">
      <c r="A63">
        <f t="shared" si="0"/>
        <v>62</v>
      </c>
      <c r="B63">
        <v>62</v>
      </c>
      <c r="C63" t="s">
        <v>1899</v>
      </c>
      <c r="D63" t="s">
        <v>116</v>
      </c>
      <c r="E63" t="s">
        <v>1900</v>
      </c>
      <c r="F63" t="s">
        <v>1829</v>
      </c>
      <c r="G63" t="s">
        <v>1901</v>
      </c>
      <c r="H63" t="s">
        <v>1902</v>
      </c>
      <c r="I63" t="s">
        <v>1903</v>
      </c>
    </row>
    <row r="64" spans="1:9" x14ac:dyDescent="0.35">
      <c r="A64">
        <f t="shared" si="0"/>
        <v>63</v>
      </c>
      <c r="B64">
        <v>63</v>
      </c>
      <c r="C64" t="s">
        <v>1899</v>
      </c>
      <c r="D64" t="s">
        <v>116</v>
      </c>
      <c r="E64" t="s">
        <v>1900</v>
      </c>
      <c r="F64" t="s">
        <v>1829</v>
      </c>
      <c r="G64" t="s">
        <v>1901</v>
      </c>
      <c r="H64" t="s">
        <v>1902</v>
      </c>
      <c r="I64" t="s">
        <v>1903</v>
      </c>
    </row>
    <row r="65" spans="1:9" x14ac:dyDescent="0.35">
      <c r="A65">
        <f t="shared" si="0"/>
        <v>64</v>
      </c>
      <c r="B65">
        <v>64</v>
      </c>
      <c r="C65" t="s">
        <v>1904</v>
      </c>
      <c r="D65" t="s">
        <v>119</v>
      </c>
      <c r="E65" t="s">
        <v>1905</v>
      </c>
      <c r="F65" t="s">
        <v>1906</v>
      </c>
      <c r="G65" t="s">
        <v>1907</v>
      </c>
      <c r="H65" t="s">
        <v>1907</v>
      </c>
      <c r="I65" t="s">
        <v>1908</v>
      </c>
    </row>
    <row r="66" spans="1:9" x14ac:dyDescent="0.35">
      <c r="A66">
        <f t="shared" si="0"/>
        <v>65</v>
      </c>
      <c r="B66">
        <v>65</v>
      </c>
      <c r="C66" t="s">
        <v>1909</v>
      </c>
      <c r="D66" t="s">
        <v>121</v>
      </c>
      <c r="E66" t="s">
        <v>1910</v>
      </c>
      <c r="F66" t="s">
        <v>1652</v>
      </c>
      <c r="G66" t="s">
        <v>1911</v>
      </c>
      <c r="H66" t="s">
        <v>1911</v>
      </c>
      <c r="I66" t="s">
        <v>1912</v>
      </c>
    </row>
    <row r="67" spans="1:9" x14ac:dyDescent="0.35">
      <c r="A67">
        <f t="shared" si="0"/>
        <v>66</v>
      </c>
      <c r="B67">
        <v>66</v>
      </c>
      <c r="C67" t="s">
        <v>1913</v>
      </c>
      <c r="D67" t="s">
        <v>123</v>
      </c>
      <c r="E67" t="s">
        <v>1914</v>
      </c>
      <c r="F67" t="s">
        <v>1915</v>
      </c>
      <c r="G67" t="s">
        <v>1916</v>
      </c>
      <c r="H67" t="s">
        <v>1916</v>
      </c>
      <c r="I67" t="s">
        <v>1917</v>
      </c>
    </row>
    <row r="68" spans="1:9" x14ac:dyDescent="0.35">
      <c r="A68">
        <f t="shared" ref="A68:A131" si="1">SUM(A67+1)</f>
        <v>67</v>
      </c>
      <c r="B68">
        <v>67</v>
      </c>
      <c r="C68" t="s">
        <v>1918</v>
      </c>
      <c r="D68" t="s">
        <v>125</v>
      </c>
      <c r="E68" t="s">
        <v>1919</v>
      </c>
      <c r="F68" t="s">
        <v>1920</v>
      </c>
      <c r="G68" t="s">
        <v>1921</v>
      </c>
      <c r="H68" t="s">
        <v>1921</v>
      </c>
      <c r="I68" t="s">
        <v>1922</v>
      </c>
    </row>
    <row r="69" spans="1:9" x14ac:dyDescent="0.35">
      <c r="A69">
        <f t="shared" si="1"/>
        <v>68</v>
      </c>
      <c r="B69">
        <v>68</v>
      </c>
      <c r="C69" t="s">
        <v>1923</v>
      </c>
      <c r="D69" t="s">
        <v>127</v>
      </c>
      <c r="E69" t="s">
        <v>1924</v>
      </c>
      <c r="F69" t="s">
        <v>1624</v>
      </c>
      <c r="G69" t="s">
        <v>1925</v>
      </c>
      <c r="H69" t="s">
        <v>1925</v>
      </c>
      <c r="I69" t="s">
        <v>1926</v>
      </c>
    </row>
    <row r="70" spans="1:9" x14ac:dyDescent="0.35">
      <c r="A70">
        <f t="shared" si="1"/>
        <v>69</v>
      </c>
      <c r="B70">
        <v>69</v>
      </c>
      <c r="C70" t="s">
        <v>1927</v>
      </c>
      <c r="D70" t="s">
        <v>129</v>
      </c>
      <c r="E70" t="s">
        <v>1928</v>
      </c>
      <c r="F70" t="s">
        <v>1929</v>
      </c>
      <c r="G70" t="s">
        <v>1930</v>
      </c>
      <c r="H70" t="s">
        <v>1931</v>
      </c>
      <c r="I70" t="s">
        <v>1932</v>
      </c>
    </row>
    <row r="71" spans="1:9" x14ac:dyDescent="0.35">
      <c r="A71">
        <f t="shared" si="1"/>
        <v>70</v>
      </c>
      <c r="B71">
        <v>70</v>
      </c>
      <c r="C71" t="s">
        <v>1933</v>
      </c>
      <c r="D71" t="s">
        <v>93</v>
      </c>
      <c r="E71" t="s">
        <v>1934</v>
      </c>
      <c r="F71" t="s">
        <v>1596</v>
      </c>
      <c r="G71" t="s">
        <v>1935</v>
      </c>
      <c r="H71" t="s">
        <v>1935</v>
      </c>
      <c r="I71" t="s">
        <v>1936</v>
      </c>
    </row>
    <row r="72" spans="1:9" x14ac:dyDescent="0.35">
      <c r="A72">
        <f t="shared" si="1"/>
        <v>71</v>
      </c>
      <c r="B72">
        <v>71</v>
      </c>
      <c r="C72" t="s">
        <v>1933</v>
      </c>
      <c r="D72" t="s">
        <v>76</v>
      </c>
      <c r="E72" t="s">
        <v>1934</v>
      </c>
      <c r="F72" t="s">
        <v>1596</v>
      </c>
      <c r="G72" t="s">
        <v>1935</v>
      </c>
      <c r="H72" t="s">
        <v>1935</v>
      </c>
      <c r="I72" t="s">
        <v>1936</v>
      </c>
    </row>
    <row r="73" spans="1:9" x14ac:dyDescent="0.35">
      <c r="A73">
        <f t="shared" si="1"/>
        <v>72</v>
      </c>
      <c r="B73">
        <v>72</v>
      </c>
      <c r="C73" t="s">
        <v>1937</v>
      </c>
      <c r="D73" t="s">
        <v>133</v>
      </c>
      <c r="E73" t="s">
        <v>1938</v>
      </c>
      <c r="F73" t="s">
        <v>1596</v>
      </c>
      <c r="G73" t="s">
        <v>1938</v>
      </c>
      <c r="H73" t="s">
        <v>1938</v>
      </c>
      <c r="I73" t="s">
        <v>1939</v>
      </c>
    </row>
    <row r="74" spans="1:9" x14ac:dyDescent="0.35">
      <c r="A74">
        <f t="shared" si="1"/>
        <v>73</v>
      </c>
      <c r="B74">
        <v>73</v>
      </c>
      <c r="C74" t="s">
        <v>1940</v>
      </c>
      <c r="D74" t="s">
        <v>135</v>
      </c>
      <c r="E74" t="s">
        <v>1941</v>
      </c>
      <c r="F74" t="s">
        <v>1692</v>
      </c>
      <c r="G74" t="s">
        <v>1942</v>
      </c>
      <c r="H74" t="s">
        <v>1942</v>
      </c>
      <c r="I74" t="s">
        <v>1943</v>
      </c>
    </row>
    <row r="75" spans="1:9" x14ac:dyDescent="0.35">
      <c r="A75">
        <f t="shared" si="1"/>
        <v>74</v>
      </c>
      <c r="B75">
        <v>74</v>
      </c>
      <c r="C75" t="s">
        <v>1944</v>
      </c>
      <c r="D75" t="s">
        <v>137</v>
      </c>
      <c r="E75" t="s">
        <v>1945</v>
      </c>
      <c r="F75" t="s">
        <v>1946</v>
      </c>
      <c r="G75" t="s">
        <v>1947</v>
      </c>
      <c r="H75" t="s">
        <v>1947</v>
      </c>
      <c r="I75" t="s">
        <v>1948</v>
      </c>
    </row>
    <row r="76" spans="1:9" x14ac:dyDescent="0.35">
      <c r="A76">
        <f t="shared" si="1"/>
        <v>75</v>
      </c>
      <c r="B76">
        <v>75</v>
      </c>
      <c r="C76" t="s">
        <v>1949</v>
      </c>
      <c r="D76" t="s">
        <v>139</v>
      </c>
      <c r="E76" t="s">
        <v>1950</v>
      </c>
      <c r="F76" t="s">
        <v>1951</v>
      </c>
      <c r="G76" t="s">
        <v>1952</v>
      </c>
      <c r="H76" t="s">
        <v>3653</v>
      </c>
      <c r="I76" t="s">
        <v>3654</v>
      </c>
    </row>
    <row r="77" spans="1:9" x14ac:dyDescent="0.35">
      <c r="A77">
        <f t="shared" si="1"/>
        <v>76</v>
      </c>
      <c r="B77">
        <v>76</v>
      </c>
      <c r="C77" t="s">
        <v>1954</v>
      </c>
      <c r="D77" t="s">
        <v>141</v>
      </c>
      <c r="E77" t="s">
        <v>1955</v>
      </c>
      <c r="F77" t="s">
        <v>1730</v>
      </c>
      <c r="G77" t="s">
        <v>1956</v>
      </c>
      <c r="H77" t="s">
        <v>1956</v>
      </c>
      <c r="I77" t="s">
        <v>1957</v>
      </c>
    </row>
    <row r="78" spans="1:9" x14ac:dyDescent="0.35">
      <c r="A78">
        <f t="shared" si="1"/>
        <v>77</v>
      </c>
      <c r="B78">
        <v>77</v>
      </c>
      <c r="C78" t="s">
        <v>1958</v>
      </c>
      <c r="D78" t="s">
        <v>143</v>
      </c>
      <c r="E78" t="s">
        <v>1959</v>
      </c>
      <c r="F78" t="s">
        <v>1893</v>
      </c>
      <c r="G78" t="s">
        <v>1960</v>
      </c>
      <c r="H78" t="s">
        <v>1960</v>
      </c>
      <c r="I78" t="s">
        <v>1961</v>
      </c>
    </row>
    <row r="79" spans="1:9" x14ac:dyDescent="0.35">
      <c r="A79">
        <f t="shared" si="1"/>
        <v>78</v>
      </c>
      <c r="B79">
        <v>78</v>
      </c>
      <c r="C79" t="s">
        <v>1962</v>
      </c>
      <c r="D79" t="s">
        <v>143</v>
      </c>
      <c r="E79" t="s">
        <v>1963</v>
      </c>
      <c r="F79" t="s">
        <v>1964</v>
      </c>
      <c r="G79" t="s">
        <v>1965</v>
      </c>
      <c r="H79" t="s">
        <v>1965</v>
      </c>
      <c r="I79" t="s">
        <v>1966</v>
      </c>
    </row>
    <row r="80" spans="1:9" x14ac:dyDescent="0.35">
      <c r="A80">
        <f t="shared" si="1"/>
        <v>79</v>
      </c>
      <c r="B80">
        <v>79</v>
      </c>
      <c r="C80" t="s">
        <v>1967</v>
      </c>
      <c r="D80" t="s">
        <v>143</v>
      </c>
      <c r="E80" t="s">
        <v>1968</v>
      </c>
      <c r="F80" t="s">
        <v>1893</v>
      </c>
      <c r="G80" t="s">
        <v>1969</v>
      </c>
      <c r="H80" t="s">
        <v>1969</v>
      </c>
      <c r="I80" t="s">
        <v>1970</v>
      </c>
    </row>
    <row r="81" spans="1:9" x14ac:dyDescent="0.35">
      <c r="A81">
        <f t="shared" si="1"/>
        <v>80</v>
      </c>
      <c r="B81">
        <v>80</v>
      </c>
      <c r="C81" t="s">
        <v>1967</v>
      </c>
      <c r="D81" t="s">
        <v>147</v>
      </c>
      <c r="E81" t="s">
        <v>1968</v>
      </c>
      <c r="F81" t="s">
        <v>1893</v>
      </c>
      <c r="G81" t="s">
        <v>1969</v>
      </c>
      <c r="H81" t="s">
        <v>1969</v>
      </c>
      <c r="I81" t="s">
        <v>1970</v>
      </c>
    </row>
    <row r="82" spans="1:9" x14ac:dyDescent="0.35">
      <c r="A82">
        <f t="shared" si="1"/>
        <v>81</v>
      </c>
      <c r="B82">
        <v>81</v>
      </c>
      <c r="C82" t="s">
        <v>1971</v>
      </c>
      <c r="D82" t="s">
        <v>149</v>
      </c>
      <c r="E82" t="s">
        <v>1972</v>
      </c>
      <c r="F82" t="s">
        <v>1973</v>
      </c>
      <c r="G82" t="s">
        <v>1974</v>
      </c>
      <c r="H82" t="s">
        <v>1974</v>
      </c>
      <c r="I82" t="s">
        <v>1975</v>
      </c>
    </row>
    <row r="83" spans="1:9" x14ac:dyDescent="0.35">
      <c r="A83">
        <f t="shared" si="1"/>
        <v>82</v>
      </c>
      <c r="B83">
        <v>82</v>
      </c>
      <c r="C83" t="s">
        <v>1976</v>
      </c>
      <c r="D83" t="s">
        <v>143</v>
      </c>
      <c r="E83" t="s">
        <v>1977</v>
      </c>
      <c r="F83" t="s">
        <v>1724</v>
      </c>
      <c r="G83" t="s">
        <v>1978</v>
      </c>
      <c r="H83" t="s">
        <v>1978</v>
      </c>
      <c r="I83" t="s">
        <v>1979</v>
      </c>
    </row>
    <row r="84" spans="1:9" x14ac:dyDescent="0.35">
      <c r="A84">
        <f t="shared" si="1"/>
        <v>83</v>
      </c>
      <c r="B84">
        <v>83</v>
      </c>
      <c r="C84" t="s">
        <v>1980</v>
      </c>
      <c r="D84" t="s">
        <v>143</v>
      </c>
      <c r="E84" t="s">
        <v>1981</v>
      </c>
      <c r="F84" t="s">
        <v>1692</v>
      </c>
      <c r="G84" t="s">
        <v>1982</v>
      </c>
      <c r="H84" t="s">
        <v>1982</v>
      </c>
      <c r="I84" t="s">
        <v>1983</v>
      </c>
    </row>
    <row r="85" spans="1:9" x14ac:dyDescent="0.35">
      <c r="A85">
        <f t="shared" si="1"/>
        <v>84</v>
      </c>
      <c r="B85">
        <v>84</v>
      </c>
      <c r="C85" t="s">
        <v>1984</v>
      </c>
      <c r="D85" t="s">
        <v>153</v>
      </c>
      <c r="E85" t="s">
        <v>1985</v>
      </c>
      <c r="F85" t="s">
        <v>1804</v>
      </c>
      <c r="G85" t="s">
        <v>1986</v>
      </c>
      <c r="H85" t="s">
        <v>1986</v>
      </c>
      <c r="I85" t="s">
        <v>1987</v>
      </c>
    </row>
    <row r="86" spans="1:9" x14ac:dyDescent="0.35">
      <c r="A86">
        <f t="shared" si="1"/>
        <v>85</v>
      </c>
      <c r="B86">
        <v>85</v>
      </c>
      <c r="C86" t="s">
        <v>1933</v>
      </c>
      <c r="D86" t="s">
        <v>155</v>
      </c>
      <c r="E86" t="s">
        <v>1934</v>
      </c>
      <c r="F86" t="s">
        <v>1596</v>
      </c>
      <c r="G86" t="s">
        <v>1935</v>
      </c>
      <c r="H86" t="s">
        <v>1935</v>
      </c>
      <c r="I86" t="s">
        <v>1936</v>
      </c>
    </row>
    <row r="87" spans="1:9" x14ac:dyDescent="0.35">
      <c r="A87">
        <f t="shared" si="1"/>
        <v>86</v>
      </c>
      <c r="B87">
        <v>86</v>
      </c>
      <c r="C87" t="s">
        <v>1988</v>
      </c>
      <c r="D87" t="s">
        <v>157</v>
      </c>
      <c r="E87" t="s">
        <v>1989</v>
      </c>
      <c r="F87" t="s">
        <v>1990</v>
      </c>
      <c r="G87" t="s">
        <v>1991</v>
      </c>
      <c r="H87" t="s">
        <v>1991</v>
      </c>
      <c r="I87" t="s">
        <v>1992</v>
      </c>
    </row>
    <row r="88" spans="1:9" x14ac:dyDescent="0.35">
      <c r="A88">
        <f t="shared" si="1"/>
        <v>87</v>
      </c>
      <c r="B88">
        <v>87</v>
      </c>
      <c r="C88" t="s">
        <v>1993</v>
      </c>
      <c r="D88" t="s">
        <v>159</v>
      </c>
      <c r="E88" t="s">
        <v>1994</v>
      </c>
      <c r="F88" t="s">
        <v>1735</v>
      </c>
      <c r="G88" t="s">
        <v>1995</v>
      </c>
      <c r="H88" t="s">
        <v>1995</v>
      </c>
      <c r="I88" t="s">
        <v>1996</v>
      </c>
    </row>
    <row r="89" spans="1:9" x14ac:dyDescent="0.35">
      <c r="A89">
        <f t="shared" si="1"/>
        <v>88</v>
      </c>
      <c r="B89">
        <v>88</v>
      </c>
      <c r="C89" t="s">
        <v>1997</v>
      </c>
      <c r="D89" t="s">
        <v>161</v>
      </c>
      <c r="E89" t="s">
        <v>1998</v>
      </c>
      <c r="F89" t="s">
        <v>1999</v>
      </c>
      <c r="G89" t="s">
        <v>2000</v>
      </c>
      <c r="H89" t="s">
        <v>2000</v>
      </c>
      <c r="I89" t="s">
        <v>2001</v>
      </c>
    </row>
    <row r="90" spans="1:9" x14ac:dyDescent="0.35">
      <c r="A90">
        <f t="shared" si="1"/>
        <v>89</v>
      </c>
      <c r="B90">
        <v>89</v>
      </c>
      <c r="C90" t="s">
        <v>2002</v>
      </c>
      <c r="D90" t="s">
        <v>102</v>
      </c>
      <c r="E90" t="s">
        <v>2003</v>
      </c>
      <c r="F90" t="s">
        <v>1613</v>
      </c>
      <c r="G90" t="s">
        <v>2004</v>
      </c>
      <c r="H90" t="s">
        <v>2004</v>
      </c>
      <c r="I90" t="s">
        <v>2005</v>
      </c>
    </row>
    <row r="91" spans="1:9" x14ac:dyDescent="0.35">
      <c r="A91">
        <f t="shared" si="1"/>
        <v>90</v>
      </c>
      <c r="B91">
        <v>90</v>
      </c>
      <c r="C91" t="s">
        <v>2006</v>
      </c>
      <c r="D91" t="s">
        <v>125</v>
      </c>
      <c r="E91" t="s">
        <v>2007</v>
      </c>
      <c r="F91" t="s">
        <v>2008</v>
      </c>
      <c r="G91" t="s">
        <v>2009</v>
      </c>
      <c r="H91" t="s">
        <v>3655</v>
      </c>
      <c r="I91" t="s">
        <v>3656</v>
      </c>
    </row>
    <row r="92" spans="1:9" x14ac:dyDescent="0.35">
      <c r="A92">
        <f t="shared" si="1"/>
        <v>91</v>
      </c>
      <c r="B92">
        <v>91</v>
      </c>
      <c r="C92" t="s">
        <v>2011</v>
      </c>
      <c r="D92" t="s">
        <v>137</v>
      </c>
      <c r="E92" t="s">
        <v>2012</v>
      </c>
      <c r="F92" t="s">
        <v>1613</v>
      </c>
      <c r="G92" t="s">
        <v>2013</v>
      </c>
      <c r="H92" t="s">
        <v>2014</v>
      </c>
      <c r="I92" t="s">
        <v>2015</v>
      </c>
    </row>
    <row r="93" spans="1:9" x14ac:dyDescent="0.35">
      <c r="A93">
        <f t="shared" si="1"/>
        <v>92</v>
      </c>
      <c r="B93">
        <v>92</v>
      </c>
      <c r="C93" t="s">
        <v>2016</v>
      </c>
      <c r="D93" t="s">
        <v>166</v>
      </c>
      <c r="E93" t="s">
        <v>2017</v>
      </c>
      <c r="F93" t="s">
        <v>1844</v>
      </c>
      <c r="G93" t="s">
        <v>2018</v>
      </c>
      <c r="H93" t="s">
        <v>2018</v>
      </c>
      <c r="I93" t="s">
        <v>2019</v>
      </c>
    </row>
    <row r="94" spans="1:9" x14ac:dyDescent="0.35">
      <c r="A94">
        <f t="shared" si="1"/>
        <v>93</v>
      </c>
      <c r="B94">
        <v>93</v>
      </c>
      <c r="C94" t="s">
        <v>2020</v>
      </c>
      <c r="D94" t="s">
        <v>168</v>
      </c>
      <c r="E94" t="s">
        <v>2021</v>
      </c>
      <c r="F94" t="s">
        <v>2022</v>
      </c>
      <c r="G94" t="s">
        <v>2023</v>
      </c>
      <c r="H94" t="s">
        <v>2024</v>
      </c>
      <c r="I94" t="s">
        <v>2025</v>
      </c>
    </row>
    <row r="95" spans="1:9" x14ac:dyDescent="0.35">
      <c r="A95">
        <f t="shared" si="1"/>
        <v>94</v>
      </c>
      <c r="B95">
        <v>94</v>
      </c>
      <c r="C95" t="s">
        <v>2026</v>
      </c>
      <c r="D95" t="s">
        <v>170</v>
      </c>
      <c r="E95" t="s">
        <v>2027</v>
      </c>
      <c r="F95" t="s">
        <v>1596</v>
      </c>
      <c r="G95" t="s">
        <v>2028</v>
      </c>
      <c r="H95" t="s">
        <v>2028</v>
      </c>
      <c r="I95" t="s">
        <v>2029</v>
      </c>
    </row>
    <row r="96" spans="1:9" x14ac:dyDescent="0.35">
      <c r="A96">
        <f t="shared" si="1"/>
        <v>95</v>
      </c>
      <c r="B96">
        <v>95</v>
      </c>
      <c r="C96" t="s">
        <v>2030</v>
      </c>
      <c r="D96" t="s">
        <v>172</v>
      </c>
      <c r="E96" t="s">
        <v>2031</v>
      </c>
      <c r="F96" t="s">
        <v>1652</v>
      </c>
      <c r="G96" t="s">
        <v>2032</v>
      </c>
      <c r="H96" t="s">
        <v>2032</v>
      </c>
      <c r="I96" t="s">
        <v>2033</v>
      </c>
    </row>
    <row r="97" spans="1:9" x14ac:dyDescent="0.35">
      <c r="A97">
        <f t="shared" si="1"/>
        <v>96</v>
      </c>
      <c r="B97">
        <v>96</v>
      </c>
      <c r="C97" t="s">
        <v>2034</v>
      </c>
      <c r="D97" t="s">
        <v>174</v>
      </c>
      <c r="E97" t="s">
        <v>2035</v>
      </c>
      <c r="F97" t="s">
        <v>2036</v>
      </c>
      <c r="G97" t="s">
        <v>2037</v>
      </c>
      <c r="H97" t="s">
        <v>2037</v>
      </c>
      <c r="I97" t="s">
        <v>2038</v>
      </c>
    </row>
    <row r="98" spans="1:9" x14ac:dyDescent="0.35">
      <c r="A98">
        <f t="shared" si="1"/>
        <v>97</v>
      </c>
      <c r="B98">
        <v>97</v>
      </c>
      <c r="C98" t="s">
        <v>2039</v>
      </c>
      <c r="D98" t="s">
        <v>176</v>
      </c>
      <c r="E98" t="s">
        <v>2040</v>
      </c>
      <c r="F98" t="s">
        <v>2041</v>
      </c>
      <c r="G98" t="s">
        <v>2042</v>
      </c>
      <c r="H98" t="s">
        <v>2043</v>
      </c>
      <c r="I98" t="s">
        <v>2044</v>
      </c>
    </row>
    <row r="99" spans="1:9" x14ac:dyDescent="0.35">
      <c r="A99">
        <f t="shared" si="1"/>
        <v>98</v>
      </c>
      <c r="B99">
        <v>98</v>
      </c>
      <c r="C99" t="s">
        <v>2045</v>
      </c>
      <c r="D99" t="s">
        <v>143</v>
      </c>
      <c r="E99" t="s">
        <v>2046</v>
      </c>
      <c r="F99" t="s">
        <v>1929</v>
      </c>
      <c r="G99" t="s">
        <v>2047</v>
      </c>
      <c r="H99" t="s">
        <v>2048</v>
      </c>
      <c r="I99" t="s">
        <v>2049</v>
      </c>
    </row>
    <row r="100" spans="1:9" x14ac:dyDescent="0.35">
      <c r="A100">
        <f t="shared" si="1"/>
        <v>99</v>
      </c>
      <c r="B100">
        <v>99</v>
      </c>
      <c r="C100" t="s">
        <v>2050</v>
      </c>
      <c r="D100" t="s">
        <v>137</v>
      </c>
      <c r="E100" t="s">
        <v>2051</v>
      </c>
      <c r="F100" t="s">
        <v>2052</v>
      </c>
      <c r="G100" t="s">
        <v>2053</v>
      </c>
      <c r="H100" t="s">
        <v>2053</v>
      </c>
      <c r="I100" t="s">
        <v>2054</v>
      </c>
    </row>
    <row r="101" spans="1:9" x14ac:dyDescent="0.35">
      <c r="A101">
        <f t="shared" si="1"/>
        <v>100</v>
      </c>
      <c r="B101">
        <v>100</v>
      </c>
      <c r="C101" t="s">
        <v>2055</v>
      </c>
      <c r="D101" t="s">
        <v>180</v>
      </c>
      <c r="E101" t="s">
        <v>2056</v>
      </c>
      <c r="F101" t="s">
        <v>2008</v>
      </c>
      <c r="G101" t="s">
        <v>2057</v>
      </c>
      <c r="H101" t="s">
        <v>2057</v>
      </c>
      <c r="I101" t="s">
        <v>2058</v>
      </c>
    </row>
    <row r="102" spans="1:9" x14ac:dyDescent="0.35">
      <c r="A102">
        <f t="shared" si="1"/>
        <v>101</v>
      </c>
      <c r="B102">
        <v>101</v>
      </c>
      <c r="C102" t="s">
        <v>2059</v>
      </c>
      <c r="D102" t="s">
        <v>182</v>
      </c>
      <c r="E102" t="s">
        <v>2060</v>
      </c>
      <c r="F102" t="s">
        <v>1692</v>
      </c>
      <c r="G102" t="s">
        <v>2061</v>
      </c>
      <c r="H102" t="s">
        <v>2061</v>
      </c>
      <c r="I102" t="s">
        <v>2062</v>
      </c>
    </row>
    <row r="103" spans="1:9" x14ac:dyDescent="0.35">
      <c r="A103">
        <f t="shared" si="1"/>
        <v>102</v>
      </c>
      <c r="B103">
        <v>102</v>
      </c>
      <c r="C103" t="s">
        <v>2063</v>
      </c>
      <c r="D103" t="s">
        <v>172</v>
      </c>
      <c r="E103" t="s">
        <v>2064</v>
      </c>
      <c r="F103" t="s">
        <v>1674</v>
      </c>
      <c r="G103" t="s">
        <v>2065</v>
      </c>
      <c r="H103" t="s">
        <v>2065</v>
      </c>
      <c r="I103" t="s">
        <v>2066</v>
      </c>
    </row>
    <row r="104" spans="1:9" x14ac:dyDescent="0.35">
      <c r="A104">
        <f t="shared" si="1"/>
        <v>103</v>
      </c>
      <c r="B104">
        <v>103</v>
      </c>
      <c r="C104" t="s">
        <v>2067</v>
      </c>
      <c r="D104" t="s">
        <v>185</v>
      </c>
      <c r="E104" t="s">
        <v>2068</v>
      </c>
      <c r="F104" t="s">
        <v>2069</v>
      </c>
      <c r="G104" t="s">
        <v>2070</v>
      </c>
      <c r="H104" t="s">
        <v>2070</v>
      </c>
      <c r="I104" t="s">
        <v>2071</v>
      </c>
    </row>
    <row r="105" spans="1:9" x14ac:dyDescent="0.35">
      <c r="A105">
        <f t="shared" si="1"/>
        <v>104</v>
      </c>
      <c r="B105">
        <v>104</v>
      </c>
      <c r="C105" t="s">
        <v>2072</v>
      </c>
      <c r="D105" t="s">
        <v>76</v>
      </c>
      <c r="E105" t="s">
        <v>2073</v>
      </c>
      <c r="F105" t="s">
        <v>2074</v>
      </c>
      <c r="G105" t="s">
        <v>2075</v>
      </c>
      <c r="H105" t="s">
        <v>2075</v>
      </c>
      <c r="I105" t="s">
        <v>2076</v>
      </c>
    </row>
    <row r="106" spans="1:9" x14ac:dyDescent="0.35">
      <c r="A106">
        <f t="shared" si="1"/>
        <v>105</v>
      </c>
      <c r="B106">
        <v>105</v>
      </c>
      <c r="C106" t="s">
        <v>2077</v>
      </c>
      <c r="D106" t="s">
        <v>182</v>
      </c>
      <c r="E106" t="s">
        <v>2078</v>
      </c>
      <c r="F106" t="s">
        <v>1809</v>
      </c>
      <c r="G106" t="s">
        <v>2078</v>
      </c>
      <c r="H106" t="s">
        <v>2078</v>
      </c>
      <c r="I106" t="s">
        <v>2079</v>
      </c>
    </row>
    <row r="107" spans="1:9" x14ac:dyDescent="0.35">
      <c r="A107">
        <f t="shared" si="1"/>
        <v>106</v>
      </c>
      <c r="B107">
        <v>106</v>
      </c>
      <c r="C107" t="s">
        <v>2080</v>
      </c>
      <c r="D107" t="s">
        <v>189</v>
      </c>
      <c r="E107" t="s">
        <v>2081</v>
      </c>
      <c r="F107" t="s">
        <v>2082</v>
      </c>
      <c r="G107" t="s">
        <v>2083</v>
      </c>
      <c r="H107" t="s">
        <v>2084</v>
      </c>
      <c r="I107" t="s">
        <v>2085</v>
      </c>
    </row>
    <row r="108" spans="1:9" x14ac:dyDescent="0.35">
      <c r="A108">
        <f t="shared" si="1"/>
        <v>107</v>
      </c>
      <c r="B108">
        <v>107</v>
      </c>
      <c r="C108" t="s">
        <v>2086</v>
      </c>
      <c r="D108" t="s">
        <v>93</v>
      </c>
      <c r="E108" t="s">
        <v>2087</v>
      </c>
      <c r="F108" t="s">
        <v>1596</v>
      </c>
      <c r="G108" t="s">
        <v>2088</v>
      </c>
      <c r="H108" t="s">
        <v>2088</v>
      </c>
      <c r="I108" t="s">
        <v>2089</v>
      </c>
    </row>
    <row r="109" spans="1:9" x14ac:dyDescent="0.35">
      <c r="A109">
        <f t="shared" si="1"/>
        <v>108</v>
      </c>
      <c r="B109">
        <v>108</v>
      </c>
      <c r="C109" t="s">
        <v>2090</v>
      </c>
      <c r="D109" t="s">
        <v>192</v>
      </c>
      <c r="E109" t="s">
        <v>2091</v>
      </c>
      <c r="F109" t="s">
        <v>2092</v>
      </c>
      <c r="G109" t="s">
        <v>2093</v>
      </c>
      <c r="H109" t="s">
        <v>2093</v>
      </c>
      <c r="I109" t="s">
        <v>2094</v>
      </c>
    </row>
    <row r="110" spans="1:9" x14ac:dyDescent="0.35">
      <c r="A110">
        <f t="shared" si="1"/>
        <v>109</v>
      </c>
      <c r="B110">
        <v>109</v>
      </c>
      <c r="C110" t="s">
        <v>2095</v>
      </c>
      <c r="D110" t="s">
        <v>93</v>
      </c>
      <c r="E110" t="s">
        <v>2096</v>
      </c>
      <c r="F110" t="s">
        <v>1730</v>
      </c>
      <c r="G110" t="s">
        <v>2097</v>
      </c>
      <c r="H110" t="s">
        <v>2097</v>
      </c>
      <c r="I110" t="s">
        <v>2098</v>
      </c>
    </row>
    <row r="111" spans="1:9" x14ac:dyDescent="0.35">
      <c r="A111">
        <f t="shared" si="1"/>
        <v>110</v>
      </c>
      <c r="B111">
        <v>110</v>
      </c>
      <c r="C111" t="s">
        <v>2099</v>
      </c>
      <c r="D111" t="s">
        <v>174</v>
      </c>
      <c r="E111" t="s">
        <v>2100</v>
      </c>
      <c r="F111" t="s">
        <v>1629</v>
      </c>
      <c r="G111" t="s">
        <v>2101</v>
      </c>
      <c r="H111" t="s">
        <v>2101</v>
      </c>
      <c r="I111" t="s">
        <v>2102</v>
      </c>
    </row>
    <row r="112" spans="1:9" x14ac:dyDescent="0.35">
      <c r="A112">
        <f t="shared" si="1"/>
        <v>111</v>
      </c>
      <c r="B112">
        <v>111</v>
      </c>
      <c r="C112" t="s">
        <v>2103</v>
      </c>
      <c r="D112" t="s">
        <v>196</v>
      </c>
      <c r="E112" t="s">
        <v>2104</v>
      </c>
      <c r="F112" t="s">
        <v>1735</v>
      </c>
      <c r="G112" t="s">
        <v>2105</v>
      </c>
      <c r="H112" t="s">
        <v>2105</v>
      </c>
      <c r="I112" t="s">
        <v>2106</v>
      </c>
    </row>
    <row r="113" spans="1:9" x14ac:dyDescent="0.35">
      <c r="A113">
        <f t="shared" si="1"/>
        <v>112</v>
      </c>
      <c r="B113">
        <v>112</v>
      </c>
      <c r="C113" t="s">
        <v>2107</v>
      </c>
      <c r="D113" t="s">
        <v>137</v>
      </c>
      <c r="E113" t="s">
        <v>2108</v>
      </c>
      <c r="F113" t="s">
        <v>2109</v>
      </c>
      <c r="G113" t="s">
        <v>2110</v>
      </c>
      <c r="H113" t="s">
        <v>2110</v>
      </c>
      <c r="I113" t="s">
        <v>2111</v>
      </c>
    </row>
    <row r="114" spans="1:9" x14ac:dyDescent="0.35">
      <c r="A114">
        <f t="shared" si="1"/>
        <v>113</v>
      </c>
      <c r="B114">
        <v>113</v>
      </c>
      <c r="C114" t="s">
        <v>2112</v>
      </c>
      <c r="D114" t="s">
        <v>137</v>
      </c>
      <c r="E114" t="s">
        <v>2113</v>
      </c>
      <c r="F114" t="s">
        <v>2114</v>
      </c>
      <c r="G114" t="s">
        <v>2115</v>
      </c>
      <c r="H114" t="s">
        <v>2115</v>
      </c>
      <c r="I114" t="s">
        <v>2116</v>
      </c>
    </row>
    <row r="115" spans="1:9" x14ac:dyDescent="0.35">
      <c r="A115">
        <f t="shared" si="1"/>
        <v>114</v>
      </c>
      <c r="B115">
        <v>114</v>
      </c>
      <c r="C115" t="s">
        <v>2117</v>
      </c>
      <c r="D115" t="s">
        <v>200</v>
      </c>
      <c r="E115" t="s">
        <v>2118</v>
      </c>
      <c r="F115" t="s">
        <v>1724</v>
      </c>
      <c r="G115" t="s">
        <v>2119</v>
      </c>
      <c r="H115" t="s">
        <v>3657</v>
      </c>
      <c r="I115" t="s">
        <v>3658</v>
      </c>
    </row>
    <row r="116" spans="1:9" x14ac:dyDescent="0.35">
      <c r="A116">
        <f t="shared" si="1"/>
        <v>115</v>
      </c>
      <c r="B116">
        <v>115</v>
      </c>
      <c r="C116" t="s">
        <v>2121</v>
      </c>
      <c r="D116" t="s">
        <v>202</v>
      </c>
      <c r="E116" t="s">
        <v>2122</v>
      </c>
      <c r="F116" t="s">
        <v>1596</v>
      </c>
      <c r="G116" t="s">
        <v>2123</v>
      </c>
      <c r="H116" t="s">
        <v>2123</v>
      </c>
      <c r="I116" t="s">
        <v>2124</v>
      </c>
    </row>
    <row r="117" spans="1:9" x14ac:dyDescent="0.35">
      <c r="A117">
        <f t="shared" si="1"/>
        <v>116</v>
      </c>
      <c r="B117">
        <v>116</v>
      </c>
      <c r="C117" t="s">
        <v>2125</v>
      </c>
      <c r="D117" t="s">
        <v>202</v>
      </c>
      <c r="E117" t="s">
        <v>2126</v>
      </c>
      <c r="F117" t="s">
        <v>1888</v>
      </c>
      <c r="G117" t="s">
        <v>2126</v>
      </c>
      <c r="H117" t="s">
        <v>2126</v>
      </c>
      <c r="I117" t="s">
        <v>2127</v>
      </c>
    </row>
    <row r="118" spans="1:9" x14ac:dyDescent="0.35">
      <c r="A118">
        <f t="shared" si="1"/>
        <v>117</v>
      </c>
      <c r="B118">
        <v>117</v>
      </c>
      <c r="C118" t="s">
        <v>2128</v>
      </c>
      <c r="D118" t="s">
        <v>205</v>
      </c>
      <c r="E118" t="s">
        <v>2129</v>
      </c>
      <c r="F118" t="s">
        <v>1730</v>
      </c>
      <c r="G118" t="s">
        <v>2130</v>
      </c>
      <c r="H118" t="s">
        <v>2130</v>
      </c>
      <c r="I118" t="s">
        <v>2131</v>
      </c>
    </row>
    <row r="119" spans="1:9" x14ac:dyDescent="0.35">
      <c r="A119">
        <f t="shared" si="1"/>
        <v>118</v>
      </c>
      <c r="B119">
        <v>118</v>
      </c>
      <c r="C119" t="s">
        <v>2132</v>
      </c>
      <c r="D119" t="s">
        <v>207</v>
      </c>
      <c r="E119" t="s">
        <v>2133</v>
      </c>
      <c r="F119" t="s">
        <v>2134</v>
      </c>
      <c r="G119" t="s">
        <v>2135</v>
      </c>
      <c r="H119" t="s">
        <v>2135</v>
      </c>
      <c r="I119" t="s">
        <v>2136</v>
      </c>
    </row>
    <row r="120" spans="1:9" x14ac:dyDescent="0.35">
      <c r="A120">
        <f t="shared" si="1"/>
        <v>119</v>
      </c>
      <c r="B120">
        <v>119</v>
      </c>
      <c r="C120" t="s">
        <v>2137</v>
      </c>
      <c r="D120" t="s">
        <v>209</v>
      </c>
      <c r="E120" t="s">
        <v>2138</v>
      </c>
      <c r="F120" t="s">
        <v>1844</v>
      </c>
      <c r="G120" t="s">
        <v>2139</v>
      </c>
      <c r="H120" t="s">
        <v>2139</v>
      </c>
      <c r="I120" t="s">
        <v>2140</v>
      </c>
    </row>
    <row r="121" spans="1:9" x14ac:dyDescent="0.35">
      <c r="A121">
        <f t="shared" si="1"/>
        <v>120</v>
      </c>
      <c r="B121">
        <v>120</v>
      </c>
      <c r="C121" t="s">
        <v>2141</v>
      </c>
      <c r="D121" t="s">
        <v>211</v>
      </c>
      <c r="E121" t="s">
        <v>2142</v>
      </c>
      <c r="F121" t="s">
        <v>2143</v>
      </c>
      <c r="G121" t="s">
        <v>2144</v>
      </c>
      <c r="H121" t="s">
        <v>2145</v>
      </c>
      <c r="I121" t="s">
        <v>2146</v>
      </c>
    </row>
    <row r="122" spans="1:9" x14ac:dyDescent="0.35">
      <c r="A122">
        <f t="shared" si="1"/>
        <v>121</v>
      </c>
      <c r="B122">
        <v>121</v>
      </c>
      <c r="C122" t="s">
        <v>2147</v>
      </c>
      <c r="D122" t="s">
        <v>213</v>
      </c>
      <c r="E122" t="s">
        <v>2148</v>
      </c>
      <c r="F122" t="s">
        <v>2149</v>
      </c>
      <c r="G122" t="s">
        <v>2150</v>
      </c>
      <c r="H122" t="s">
        <v>2150</v>
      </c>
      <c r="I122" t="s">
        <v>2151</v>
      </c>
    </row>
    <row r="123" spans="1:9" x14ac:dyDescent="0.35">
      <c r="A123">
        <f t="shared" si="1"/>
        <v>122</v>
      </c>
      <c r="B123">
        <v>122</v>
      </c>
      <c r="C123" t="s">
        <v>2152</v>
      </c>
      <c r="D123" t="s">
        <v>215</v>
      </c>
      <c r="E123" t="s">
        <v>2153</v>
      </c>
      <c r="F123" t="s">
        <v>2154</v>
      </c>
      <c r="G123" t="s">
        <v>2155</v>
      </c>
      <c r="H123" t="s">
        <v>2155</v>
      </c>
      <c r="I123" t="s">
        <v>2156</v>
      </c>
    </row>
    <row r="124" spans="1:9" x14ac:dyDescent="0.35">
      <c r="A124">
        <f t="shared" si="1"/>
        <v>123</v>
      </c>
      <c r="B124">
        <v>123</v>
      </c>
      <c r="C124" t="s">
        <v>2157</v>
      </c>
      <c r="D124" t="s">
        <v>217</v>
      </c>
      <c r="E124" t="s">
        <v>2158</v>
      </c>
      <c r="F124" t="s">
        <v>2159</v>
      </c>
      <c r="G124" t="s">
        <v>2160</v>
      </c>
      <c r="H124" t="s">
        <v>2160</v>
      </c>
      <c r="I124" t="s">
        <v>2161</v>
      </c>
    </row>
    <row r="125" spans="1:9" x14ac:dyDescent="0.35">
      <c r="A125">
        <f t="shared" si="1"/>
        <v>124</v>
      </c>
      <c r="B125">
        <v>124</v>
      </c>
      <c r="C125" t="s">
        <v>2162</v>
      </c>
      <c r="D125" t="s">
        <v>219</v>
      </c>
      <c r="E125" t="s">
        <v>2163</v>
      </c>
      <c r="F125" t="s">
        <v>2164</v>
      </c>
      <c r="G125" t="s">
        <v>2165</v>
      </c>
      <c r="H125" t="s">
        <v>2165</v>
      </c>
      <c r="I125" t="s">
        <v>2166</v>
      </c>
    </row>
    <row r="126" spans="1:9" x14ac:dyDescent="0.35">
      <c r="A126">
        <f t="shared" si="1"/>
        <v>125</v>
      </c>
      <c r="B126">
        <v>125</v>
      </c>
      <c r="C126" t="s">
        <v>2167</v>
      </c>
      <c r="D126" t="s">
        <v>221</v>
      </c>
      <c r="E126" t="s">
        <v>2168</v>
      </c>
      <c r="F126" t="s">
        <v>1804</v>
      </c>
      <c r="G126" t="s">
        <v>2169</v>
      </c>
      <c r="H126" t="s">
        <v>2169</v>
      </c>
      <c r="I126" t="s">
        <v>2170</v>
      </c>
    </row>
    <row r="127" spans="1:9" x14ac:dyDescent="0.35">
      <c r="A127">
        <f t="shared" si="1"/>
        <v>126</v>
      </c>
      <c r="B127">
        <v>126</v>
      </c>
      <c r="C127" t="s">
        <v>2171</v>
      </c>
      <c r="D127" t="s">
        <v>223</v>
      </c>
      <c r="E127" t="s">
        <v>2172</v>
      </c>
      <c r="F127" t="s">
        <v>2109</v>
      </c>
      <c r="G127" t="s">
        <v>2173</v>
      </c>
      <c r="H127" t="s">
        <v>2173</v>
      </c>
      <c r="I127" t="s">
        <v>2174</v>
      </c>
    </row>
    <row r="128" spans="1:9" x14ac:dyDescent="0.35">
      <c r="A128">
        <f t="shared" si="1"/>
        <v>127</v>
      </c>
      <c r="B128">
        <v>127</v>
      </c>
      <c r="C128" t="s">
        <v>2175</v>
      </c>
      <c r="D128" t="s">
        <v>225</v>
      </c>
      <c r="E128" t="s">
        <v>2176</v>
      </c>
      <c r="F128" t="s">
        <v>2177</v>
      </c>
      <c r="G128" t="s">
        <v>2178</v>
      </c>
      <c r="H128" t="s">
        <v>2178</v>
      </c>
      <c r="I128" t="s">
        <v>2179</v>
      </c>
    </row>
    <row r="129" spans="1:9" x14ac:dyDescent="0.35">
      <c r="A129">
        <f t="shared" si="1"/>
        <v>128</v>
      </c>
      <c r="B129">
        <v>128</v>
      </c>
      <c r="C129" t="s">
        <v>2180</v>
      </c>
      <c r="D129" t="s">
        <v>227</v>
      </c>
      <c r="E129" t="s">
        <v>2181</v>
      </c>
      <c r="F129" t="s">
        <v>1804</v>
      </c>
      <c r="G129" t="s">
        <v>2182</v>
      </c>
      <c r="H129" t="s">
        <v>2182</v>
      </c>
      <c r="I129" t="s">
        <v>2183</v>
      </c>
    </row>
    <row r="130" spans="1:9" x14ac:dyDescent="0.35">
      <c r="A130">
        <f t="shared" si="1"/>
        <v>129</v>
      </c>
      <c r="B130">
        <v>129</v>
      </c>
      <c r="C130" t="s">
        <v>2184</v>
      </c>
      <c r="D130" t="s">
        <v>229</v>
      </c>
      <c r="E130" t="s">
        <v>2185</v>
      </c>
      <c r="F130" t="s">
        <v>2186</v>
      </c>
      <c r="G130" t="s">
        <v>2187</v>
      </c>
      <c r="H130" t="s">
        <v>2187</v>
      </c>
      <c r="I130" t="s">
        <v>2188</v>
      </c>
    </row>
    <row r="131" spans="1:9" x14ac:dyDescent="0.35">
      <c r="A131">
        <f t="shared" si="1"/>
        <v>130</v>
      </c>
      <c r="B131">
        <v>130</v>
      </c>
      <c r="C131" t="s">
        <v>2189</v>
      </c>
      <c r="D131" t="s">
        <v>231</v>
      </c>
      <c r="E131" t="s">
        <v>2190</v>
      </c>
      <c r="F131" t="s">
        <v>2191</v>
      </c>
      <c r="G131" t="s">
        <v>2192</v>
      </c>
      <c r="H131" t="s">
        <v>2192</v>
      </c>
      <c r="I131" t="s">
        <v>2193</v>
      </c>
    </row>
    <row r="132" spans="1:9" x14ac:dyDescent="0.35">
      <c r="A132">
        <f t="shared" ref="A132:A195" si="2">SUM(A131+1)</f>
        <v>131</v>
      </c>
      <c r="B132">
        <v>131</v>
      </c>
      <c r="C132" t="s">
        <v>2194</v>
      </c>
      <c r="D132" t="s">
        <v>233</v>
      </c>
      <c r="E132" t="s">
        <v>2195</v>
      </c>
      <c r="F132" t="s">
        <v>2196</v>
      </c>
      <c r="G132" t="s">
        <v>2197</v>
      </c>
      <c r="H132" t="s">
        <v>2197</v>
      </c>
      <c r="I132" t="s">
        <v>2198</v>
      </c>
    </row>
    <row r="133" spans="1:9" x14ac:dyDescent="0.35">
      <c r="A133">
        <f t="shared" si="2"/>
        <v>132</v>
      </c>
      <c r="B133">
        <v>132</v>
      </c>
      <c r="C133" t="s">
        <v>2199</v>
      </c>
      <c r="D133" t="s">
        <v>235</v>
      </c>
      <c r="E133" t="s">
        <v>2200</v>
      </c>
      <c r="F133" t="s">
        <v>1692</v>
      </c>
      <c r="G133" t="s">
        <v>2201</v>
      </c>
      <c r="H133" t="s">
        <v>2201</v>
      </c>
      <c r="I133" t="s">
        <v>2202</v>
      </c>
    </row>
    <row r="134" spans="1:9" x14ac:dyDescent="0.35">
      <c r="A134">
        <f t="shared" si="2"/>
        <v>133</v>
      </c>
      <c r="B134">
        <v>133</v>
      </c>
      <c r="C134" t="s">
        <v>2203</v>
      </c>
      <c r="D134" t="s">
        <v>237</v>
      </c>
      <c r="E134" t="s">
        <v>2204</v>
      </c>
      <c r="F134" t="s">
        <v>2205</v>
      </c>
      <c r="G134" t="s">
        <v>2206</v>
      </c>
      <c r="H134" t="s">
        <v>2206</v>
      </c>
      <c r="I134" t="s">
        <v>2207</v>
      </c>
    </row>
    <row r="135" spans="1:9" x14ac:dyDescent="0.35">
      <c r="A135">
        <f t="shared" si="2"/>
        <v>134</v>
      </c>
      <c r="B135">
        <v>134</v>
      </c>
      <c r="C135" t="s">
        <v>2208</v>
      </c>
      <c r="D135" t="s">
        <v>4</v>
      </c>
      <c r="E135" t="s">
        <v>2209</v>
      </c>
      <c r="F135" t="s">
        <v>2210</v>
      </c>
      <c r="G135" t="s">
        <v>2211</v>
      </c>
      <c r="H135" t="s">
        <v>2211</v>
      </c>
      <c r="I135" t="s">
        <v>2212</v>
      </c>
    </row>
    <row r="136" spans="1:9" x14ac:dyDescent="0.35">
      <c r="A136">
        <f t="shared" si="2"/>
        <v>135</v>
      </c>
      <c r="B136">
        <v>135</v>
      </c>
      <c r="C136" t="s">
        <v>2213</v>
      </c>
      <c r="D136" t="s">
        <v>242</v>
      </c>
      <c r="E136" t="s">
        <v>2214</v>
      </c>
      <c r="F136" t="s">
        <v>2215</v>
      </c>
      <c r="G136" t="s">
        <v>2216</v>
      </c>
      <c r="H136" t="s">
        <v>2216</v>
      </c>
      <c r="I136" t="s">
        <v>2217</v>
      </c>
    </row>
    <row r="137" spans="1:9" x14ac:dyDescent="0.35">
      <c r="A137">
        <f t="shared" si="2"/>
        <v>136</v>
      </c>
      <c r="B137">
        <v>136</v>
      </c>
      <c r="C137" t="s">
        <v>2218</v>
      </c>
      <c r="D137" t="s">
        <v>244</v>
      </c>
      <c r="E137" t="s">
        <v>2219</v>
      </c>
      <c r="F137" t="s">
        <v>1624</v>
      </c>
      <c r="G137" t="s">
        <v>2220</v>
      </c>
      <c r="H137" t="s">
        <v>2220</v>
      </c>
      <c r="I137" t="s">
        <v>2221</v>
      </c>
    </row>
    <row r="138" spans="1:9" x14ac:dyDescent="0.35">
      <c r="A138">
        <f t="shared" si="2"/>
        <v>137</v>
      </c>
      <c r="B138">
        <v>137</v>
      </c>
      <c r="C138" t="s">
        <v>2222</v>
      </c>
      <c r="D138" t="s">
        <v>246</v>
      </c>
      <c r="E138" t="s">
        <v>2223</v>
      </c>
      <c r="F138" t="s">
        <v>2154</v>
      </c>
      <c r="G138" t="s">
        <v>2224</v>
      </c>
      <c r="H138" t="s">
        <v>2225</v>
      </c>
      <c r="I138" t="s">
        <v>2226</v>
      </c>
    </row>
    <row r="139" spans="1:9" x14ac:dyDescent="0.35">
      <c r="A139">
        <f t="shared" si="2"/>
        <v>138</v>
      </c>
      <c r="B139">
        <v>138</v>
      </c>
      <c r="C139" t="s">
        <v>2227</v>
      </c>
      <c r="D139" t="s">
        <v>137</v>
      </c>
      <c r="E139" t="s">
        <v>2228</v>
      </c>
      <c r="F139" t="s">
        <v>2229</v>
      </c>
      <c r="G139" t="s">
        <v>2230</v>
      </c>
      <c r="H139" t="s">
        <v>2230</v>
      </c>
      <c r="I139" t="s">
        <v>2231</v>
      </c>
    </row>
    <row r="140" spans="1:9" x14ac:dyDescent="0.35">
      <c r="A140">
        <f t="shared" si="2"/>
        <v>139</v>
      </c>
      <c r="B140">
        <v>139</v>
      </c>
      <c r="C140" t="s">
        <v>2232</v>
      </c>
      <c r="D140" t="s">
        <v>249</v>
      </c>
      <c r="E140" t="s">
        <v>2233</v>
      </c>
      <c r="F140" t="s">
        <v>2234</v>
      </c>
      <c r="G140" t="s">
        <v>2235</v>
      </c>
      <c r="H140" t="s">
        <v>2235</v>
      </c>
      <c r="I140" t="s">
        <v>2236</v>
      </c>
    </row>
    <row r="141" spans="1:9" x14ac:dyDescent="0.35">
      <c r="A141">
        <f t="shared" si="2"/>
        <v>140</v>
      </c>
      <c r="B141">
        <v>140</v>
      </c>
      <c r="C141" t="s">
        <v>2237</v>
      </c>
      <c r="D141" t="s">
        <v>251</v>
      </c>
      <c r="E141" t="s">
        <v>2238</v>
      </c>
      <c r="F141" t="s">
        <v>2082</v>
      </c>
      <c r="G141" t="s">
        <v>2239</v>
      </c>
      <c r="H141" t="s">
        <v>2240</v>
      </c>
      <c r="I141" t="s">
        <v>2241</v>
      </c>
    </row>
    <row r="142" spans="1:9" x14ac:dyDescent="0.35">
      <c r="A142">
        <f t="shared" si="2"/>
        <v>141</v>
      </c>
      <c r="B142">
        <v>141</v>
      </c>
      <c r="C142" t="s">
        <v>2242</v>
      </c>
      <c r="D142" t="s">
        <v>253</v>
      </c>
      <c r="E142" t="s">
        <v>2243</v>
      </c>
      <c r="F142" t="s">
        <v>2229</v>
      </c>
      <c r="G142" t="s">
        <v>2244</v>
      </c>
      <c r="H142" t="s">
        <v>2244</v>
      </c>
      <c r="I142" t="s">
        <v>2245</v>
      </c>
    </row>
    <row r="143" spans="1:9" x14ac:dyDescent="0.35">
      <c r="A143">
        <f t="shared" si="2"/>
        <v>142</v>
      </c>
      <c r="B143">
        <v>142</v>
      </c>
      <c r="C143" t="s">
        <v>2246</v>
      </c>
      <c r="D143" t="s">
        <v>255</v>
      </c>
      <c r="E143" t="s">
        <v>2247</v>
      </c>
      <c r="F143" t="s">
        <v>2248</v>
      </c>
      <c r="G143" t="s">
        <v>2249</v>
      </c>
      <c r="H143" t="s">
        <v>2249</v>
      </c>
      <c r="I143" t="s">
        <v>2250</v>
      </c>
    </row>
    <row r="144" spans="1:9" x14ac:dyDescent="0.35">
      <c r="A144">
        <f t="shared" si="2"/>
        <v>143</v>
      </c>
      <c r="B144">
        <v>143</v>
      </c>
      <c r="C144" t="s">
        <v>2251</v>
      </c>
      <c r="D144" t="s">
        <v>213</v>
      </c>
      <c r="E144" t="s">
        <v>2252</v>
      </c>
      <c r="F144" t="s">
        <v>2253</v>
      </c>
      <c r="G144" t="s">
        <v>2254</v>
      </c>
      <c r="H144" t="s">
        <v>2254</v>
      </c>
      <c r="I144" t="s">
        <v>2255</v>
      </c>
    </row>
    <row r="145" spans="1:9" x14ac:dyDescent="0.35">
      <c r="A145">
        <f t="shared" si="2"/>
        <v>144</v>
      </c>
      <c r="B145">
        <v>144</v>
      </c>
      <c r="C145" t="s">
        <v>2256</v>
      </c>
      <c r="D145" t="s">
        <v>213</v>
      </c>
      <c r="E145" t="s">
        <v>2257</v>
      </c>
      <c r="F145" t="s">
        <v>2258</v>
      </c>
      <c r="G145" t="s">
        <v>2259</v>
      </c>
      <c r="H145" t="s">
        <v>2259</v>
      </c>
      <c r="I145" t="s">
        <v>2260</v>
      </c>
    </row>
    <row r="146" spans="1:9" x14ac:dyDescent="0.35">
      <c r="A146">
        <f t="shared" si="2"/>
        <v>145</v>
      </c>
      <c r="B146">
        <v>145</v>
      </c>
      <c r="C146" t="s">
        <v>2261</v>
      </c>
      <c r="D146" t="s">
        <v>259</v>
      </c>
      <c r="E146" t="s">
        <v>2262</v>
      </c>
      <c r="F146" t="s">
        <v>2069</v>
      </c>
      <c r="G146" t="s">
        <v>2263</v>
      </c>
      <c r="H146" t="s">
        <v>2263</v>
      </c>
      <c r="I146" t="s">
        <v>2264</v>
      </c>
    </row>
    <row r="147" spans="1:9" x14ac:dyDescent="0.35">
      <c r="A147">
        <f t="shared" si="2"/>
        <v>146</v>
      </c>
      <c r="B147">
        <v>146</v>
      </c>
      <c r="C147" t="s">
        <v>2265</v>
      </c>
      <c r="D147" t="s">
        <v>261</v>
      </c>
      <c r="E147" t="s">
        <v>2266</v>
      </c>
      <c r="F147" t="s">
        <v>2267</v>
      </c>
      <c r="G147" t="s">
        <v>2268</v>
      </c>
      <c r="H147" t="s">
        <v>2268</v>
      </c>
      <c r="I147" t="s">
        <v>2269</v>
      </c>
    </row>
    <row r="148" spans="1:9" x14ac:dyDescent="0.35">
      <c r="A148">
        <f t="shared" si="2"/>
        <v>147</v>
      </c>
      <c r="B148">
        <v>147</v>
      </c>
      <c r="C148" t="s">
        <v>2270</v>
      </c>
      <c r="D148" t="s">
        <v>263</v>
      </c>
      <c r="E148" t="s">
        <v>2271</v>
      </c>
      <c r="F148" t="s">
        <v>2272</v>
      </c>
      <c r="G148" t="s">
        <v>2273</v>
      </c>
      <c r="H148" t="s">
        <v>2273</v>
      </c>
      <c r="I148" t="s">
        <v>2274</v>
      </c>
    </row>
    <row r="149" spans="1:9" x14ac:dyDescent="0.35">
      <c r="A149">
        <f t="shared" si="2"/>
        <v>148</v>
      </c>
      <c r="B149">
        <v>148</v>
      </c>
      <c r="C149" t="s">
        <v>2275</v>
      </c>
      <c r="D149" t="s">
        <v>265</v>
      </c>
      <c r="E149" t="s">
        <v>2276</v>
      </c>
      <c r="F149" t="s">
        <v>1596</v>
      </c>
      <c r="G149" t="s">
        <v>2277</v>
      </c>
      <c r="H149" t="s">
        <v>2277</v>
      </c>
      <c r="I149" t="s">
        <v>2278</v>
      </c>
    </row>
    <row r="150" spans="1:9" x14ac:dyDescent="0.35">
      <c r="A150">
        <f t="shared" si="2"/>
        <v>149</v>
      </c>
      <c r="B150">
        <v>149</v>
      </c>
      <c r="C150" t="s">
        <v>2279</v>
      </c>
      <c r="D150" t="s">
        <v>267</v>
      </c>
      <c r="E150" t="s">
        <v>2280</v>
      </c>
      <c r="F150" t="s">
        <v>1657</v>
      </c>
      <c r="G150" t="s">
        <v>2281</v>
      </c>
      <c r="H150" t="s">
        <v>2281</v>
      </c>
      <c r="I150" t="s">
        <v>2282</v>
      </c>
    </row>
    <row r="151" spans="1:9" x14ac:dyDescent="0.35">
      <c r="A151">
        <f t="shared" si="2"/>
        <v>150</v>
      </c>
      <c r="B151">
        <v>150</v>
      </c>
      <c r="C151" t="s">
        <v>2283</v>
      </c>
      <c r="D151" t="s">
        <v>269</v>
      </c>
      <c r="E151" t="s">
        <v>2284</v>
      </c>
      <c r="F151" t="s">
        <v>2285</v>
      </c>
      <c r="G151" t="s">
        <v>2286</v>
      </c>
      <c r="H151" t="s">
        <v>3659</v>
      </c>
      <c r="I151" t="s">
        <v>3660</v>
      </c>
    </row>
    <row r="152" spans="1:9" x14ac:dyDescent="0.35">
      <c r="A152">
        <f t="shared" si="2"/>
        <v>151</v>
      </c>
      <c r="B152">
        <v>151</v>
      </c>
      <c r="C152" t="s">
        <v>2288</v>
      </c>
      <c r="D152" t="s">
        <v>249</v>
      </c>
      <c r="E152" t="s">
        <v>2289</v>
      </c>
      <c r="F152" t="s">
        <v>2290</v>
      </c>
      <c r="G152" t="s">
        <v>2291</v>
      </c>
      <c r="H152" t="s">
        <v>2291</v>
      </c>
      <c r="I152" t="s">
        <v>2292</v>
      </c>
    </row>
    <row r="153" spans="1:9" x14ac:dyDescent="0.35">
      <c r="A153">
        <f t="shared" si="2"/>
        <v>152</v>
      </c>
      <c r="B153">
        <v>152</v>
      </c>
      <c r="C153" t="s">
        <v>2293</v>
      </c>
      <c r="D153" t="s">
        <v>272</v>
      </c>
      <c r="E153" t="s">
        <v>2294</v>
      </c>
      <c r="F153" t="s">
        <v>1596</v>
      </c>
      <c r="G153" t="s">
        <v>2295</v>
      </c>
      <c r="H153" t="s">
        <v>2295</v>
      </c>
      <c r="I153" t="s">
        <v>2296</v>
      </c>
    </row>
    <row r="154" spans="1:9" x14ac:dyDescent="0.35">
      <c r="A154">
        <f t="shared" si="2"/>
        <v>153</v>
      </c>
      <c r="B154">
        <v>153</v>
      </c>
      <c r="C154" t="s">
        <v>2297</v>
      </c>
      <c r="D154" t="s">
        <v>274</v>
      </c>
      <c r="E154" t="s">
        <v>2298</v>
      </c>
      <c r="F154" t="s">
        <v>2299</v>
      </c>
      <c r="G154" t="s">
        <v>2300</v>
      </c>
      <c r="H154" t="s">
        <v>2300</v>
      </c>
      <c r="I154" t="s">
        <v>2301</v>
      </c>
    </row>
    <row r="155" spans="1:9" x14ac:dyDescent="0.35">
      <c r="A155">
        <f t="shared" si="2"/>
        <v>154</v>
      </c>
      <c r="B155">
        <v>154</v>
      </c>
      <c r="C155" t="s">
        <v>2302</v>
      </c>
      <c r="D155" t="s">
        <v>276</v>
      </c>
      <c r="E155" t="s">
        <v>2303</v>
      </c>
      <c r="F155" t="s">
        <v>1624</v>
      </c>
      <c r="G155" t="s">
        <v>2304</v>
      </c>
      <c r="H155" t="s">
        <v>2304</v>
      </c>
      <c r="I155" t="s">
        <v>2305</v>
      </c>
    </row>
    <row r="156" spans="1:9" x14ac:dyDescent="0.35">
      <c r="A156">
        <f t="shared" si="2"/>
        <v>155</v>
      </c>
      <c r="B156">
        <v>155</v>
      </c>
      <c r="C156" t="s">
        <v>2306</v>
      </c>
      <c r="D156" t="s">
        <v>143</v>
      </c>
      <c r="E156" t="s">
        <v>2307</v>
      </c>
      <c r="F156" t="s">
        <v>1735</v>
      </c>
      <c r="G156" t="s">
        <v>2308</v>
      </c>
      <c r="H156" t="s">
        <v>2308</v>
      </c>
      <c r="I156" t="s">
        <v>2309</v>
      </c>
    </row>
    <row r="157" spans="1:9" x14ac:dyDescent="0.35">
      <c r="A157">
        <f t="shared" si="2"/>
        <v>156</v>
      </c>
      <c r="B157">
        <v>156</v>
      </c>
      <c r="C157" t="s">
        <v>2310</v>
      </c>
      <c r="D157" t="s">
        <v>174</v>
      </c>
      <c r="E157" t="s">
        <v>2311</v>
      </c>
      <c r="F157" t="s">
        <v>2312</v>
      </c>
      <c r="G157" t="s">
        <v>2313</v>
      </c>
      <c r="H157" t="s">
        <v>2313</v>
      </c>
      <c r="I157" t="s">
        <v>2314</v>
      </c>
    </row>
    <row r="158" spans="1:9" x14ac:dyDescent="0.35">
      <c r="A158">
        <f t="shared" si="2"/>
        <v>157</v>
      </c>
      <c r="B158">
        <v>157</v>
      </c>
      <c r="C158" t="s">
        <v>2315</v>
      </c>
      <c r="D158" t="s">
        <v>280</v>
      </c>
      <c r="E158" t="s">
        <v>2316</v>
      </c>
      <c r="F158" t="s">
        <v>1893</v>
      </c>
      <c r="G158" t="s">
        <v>2317</v>
      </c>
      <c r="H158" t="s">
        <v>2317</v>
      </c>
      <c r="I158" t="s">
        <v>2318</v>
      </c>
    </row>
    <row r="159" spans="1:9" x14ac:dyDescent="0.35">
      <c r="A159">
        <f t="shared" si="2"/>
        <v>158</v>
      </c>
      <c r="B159">
        <v>158</v>
      </c>
      <c r="C159" t="s">
        <v>2319</v>
      </c>
      <c r="D159" t="s">
        <v>282</v>
      </c>
      <c r="E159" t="s">
        <v>2320</v>
      </c>
      <c r="F159" t="s">
        <v>1799</v>
      </c>
      <c r="G159" t="s">
        <v>2321</v>
      </c>
      <c r="H159" t="s">
        <v>2321</v>
      </c>
      <c r="I159" t="s">
        <v>2322</v>
      </c>
    </row>
    <row r="160" spans="1:9" x14ac:dyDescent="0.35">
      <c r="A160">
        <f t="shared" si="2"/>
        <v>159</v>
      </c>
      <c r="B160">
        <v>159</v>
      </c>
      <c r="C160" t="s">
        <v>2323</v>
      </c>
      <c r="D160" t="s">
        <v>143</v>
      </c>
      <c r="E160" t="s">
        <v>2324</v>
      </c>
      <c r="F160" t="s">
        <v>2325</v>
      </c>
      <c r="G160" t="s">
        <v>2326</v>
      </c>
      <c r="H160" t="s">
        <v>2326</v>
      </c>
      <c r="I160" t="s">
        <v>2327</v>
      </c>
    </row>
    <row r="161" spans="1:9" x14ac:dyDescent="0.35">
      <c r="A161">
        <f t="shared" si="2"/>
        <v>160</v>
      </c>
      <c r="B161">
        <v>160</v>
      </c>
      <c r="C161" t="s">
        <v>2328</v>
      </c>
      <c r="D161" t="s">
        <v>285</v>
      </c>
      <c r="E161" t="s">
        <v>2329</v>
      </c>
      <c r="F161" t="s">
        <v>1990</v>
      </c>
      <c r="G161" t="s">
        <v>2330</v>
      </c>
      <c r="H161" t="s">
        <v>2331</v>
      </c>
      <c r="I161" t="s">
        <v>2332</v>
      </c>
    </row>
    <row r="162" spans="1:9" x14ac:dyDescent="0.35">
      <c r="A162">
        <f t="shared" si="2"/>
        <v>161</v>
      </c>
      <c r="B162">
        <v>161</v>
      </c>
      <c r="C162" t="s">
        <v>2333</v>
      </c>
      <c r="D162" t="s">
        <v>223</v>
      </c>
      <c r="E162" t="s">
        <v>2334</v>
      </c>
      <c r="F162" t="s">
        <v>2335</v>
      </c>
      <c r="G162" t="s">
        <v>2336</v>
      </c>
      <c r="H162" t="s">
        <v>2336</v>
      </c>
      <c r="I162" t="s">
        <v>2337</v>
      </c>
    </row>
    <row r="163" spans="1:9" x14ac:dyDescent="0.35">
      <c r="A163">
        <f t="shared" si="2"/>
        <v>162</v>
      </c>
      <c r="B163">
        <v>162</v>
      </c>
      <c r="C163" t="s">
        <v>2338</v>
      </c>
      <c r="D163" t="s">
        <v>217</v>
      </c>
      <c r="E163" t="s">
        <v>2339</v>
      </c>
      <c r="F163" t="s">
        <v>1990</v>
      </c>
      <c r="G163" t="s">
        <v>2340</v>
      </c>
      <c r="H163" t="s">
        <v>2340</v>
      </c>
      <c r="I163" t="s">
        <v>2341</v>
      </c>
    </row>
    <row r="164" spans="1:9" x14ac:dyDescent="0.35">
      <c r="A164">
        <f t="shared" si="2"/>
        <v>163</v>
      </c>
      <c r="B164">
        <v>163</v>
      </c>
      <c r="C164" t="s">
        <v>2342</v>
      </c>
      <c r="D164" t="s">
        <v>289</v>
      </c>
      <c r="E164" t="s">
        <v>2343</v>
      </c>
      <c r="F164" t="s">
        <v>1893</v>
      </c>
      <c r="G164" t="s">
        <v>2344</v>
      </c>
      <c r="H164" t="s">
        <v>2344</v>
      </c>
      <c r="I164" t="s">
        <v>2345</v>
      </c>
    </row>
    <row r="165" spans="1:9" x14ac:dyDescent="0.35">
      <c r="A165">
        <f t="shared" si="2"/>
        <v>164</v>
      </c>
      <c r="B165">
        <v>164</v>
      </c>
      <c r="C165" t="s">
        <v>2346</v>
      </c>
      <c r="D165" t="s">
        <v>291</v>
      </c>
      <c r="E165" t="s">
        <v>2347</v>
      </c>
      <c r="F165" t="s">
        <v>2348</v>
      </c>
      <c r="G165" t="s">
        <v>2349</v>
      </c>
      <c r="H165" t="s">
        <v>2349</v>
      </c>
      <c r="I165" t="s">
        <v>2350</v>
      </c>
    </row>
    <row r="166" spans="1:9" x14ac:dyDescent="0.35">
      <c r="A166">
        <f t="shared" si="2"/>
        <v>165</v>
      </c>
      <c r="B166">
        <v>165</v>
      </c>
      <c r="C166" t="s">
        <v>2351</v>
      </c>
      <c r="D166" t="s">
        <v>276</v>
      </c>
      <c r="E166" t="s">
        <v>2352</v>
      </c>
      <c r="F166" t="s">
        <v>1624</v>
      </c>
      <c r="G166" t="s">
        <v>2353</v>
      </c>
      <c r="H166" t="s">
        <v>3661</v>
      </c>
      <c r="I166" t="s">
        <v>3662</v>
      </c>
    </row>
    <row r="167" spans="1:9" x14ac:dyDescent="0.35">
      <c r="A167">
        <f t="shared" si="2"/>
        <v>166</v>
      </c>
      <c r="B167">
        <v>166</v>
      </c>
      <c r="C167" t="s">
        <v>2355</v>
      </c>
      <c r="D167" t="s">
        <v>294</v>
      </c>
      <c r="E167" t="s">
        <v>2356</v>
      </c>
      <c r="F167" t="s">
        <v>2357</v>
      </c>
      <c r="G167" t="s">
        <v>2358</v>
      </c>
      <c r="H167" t="s">
        <v>2359</v>
      </c>
      <c r="I167" t="s">
        <v>2360</v>
      </c>
    </row>
    <row r="168" spans="1:9" x14ac:dyDescent="0.35">
      <c r="A168">
        <f t="shared" si="2"/>
        <v>167</v>
      </c>
      <c r="B168">
        <v>167</v>
      </c>
      <c r="C168" t="s">
        <v>2361</v>
      </c>
      <c r="D168" t="s">
        <v>296</v>
      </c>
      <c r="E168" t="s">
        <v>2362</v>
      </c>
      <c r="F168" t="s">
        <v>1730</v>
      </c>
      <c r="G168" t="s">
        <v>2363</v>
      </c>
      <c r="H168" t="s">
        <v>2363</v>
      </c>
      <c r="I168" t="s">
        <v>2364</v>
      </c>
    </row>
    <row r="169" spans="1:9" x14ac:dyDescent="0.35">
      <c r="A169">
        <f t="shared" si="2"/>
        <v>168</v>
      </c>
      <c r="B169">
        <v>168</v>
      </c>
      <c r="C169" t="s">
        <v>2365</v>
      </c>
      <c r="D169" t="s">
        <v>280</v>
      </c>
      <c r="E169" t="s">
        <v>2366</v>
      </c>
      <c r="F169" t="s">
        <v>1999</v>
      </c>
      <c r="G169" t="s">
        <v>2367</v>
      </c>
      <c r="H169" t="s">
        <v>2367</v>
      </c>
      <c r="I169" t="s">
        <v>2368</v>
      </c>
    </row>
    <row r="170" spans="1:9" x14ac:dyDescent="0.35">
      <c r="A170">
        <f t="shared" si="2"/>
        <v>169</v>
      </c>
      <c r="B170">
        <v>169</v>
      </c>
      <c r="C170" t="s">
        <v>2369</v>
      </c>
      <c r="D170" t="s">
        <v>76</v>
      </c>
      <c r="E170" t="s">
        <v>2370</v>
      </c>
      <c r="F170" t="s">
        <v>2154</v>
      </c>
      <c r="G170" t="s">
        <v>2371</v>
      </c>
      <c r="H170" t="s">
        <v>2371</v>
      </c>
      <c r="I170" t="s">
        <v>2372</v>
      </c>
    </row>
    <row r="171" spans="1:9" x14ac:dyDescent="0.35">
      <c r="A171">
        <f t="shared" si="2"/>
        <v>170</v>
      </c>
      <c r="B171">
        <v>170</v>
      </c>
      <c r="C171" t="s">
        <v>2373</v>
      </c>
      <c r="D171" t="s">
        <v>213</v>
      </c>
      <c r="E171" t="s">
        <v>2374</v>
      </c>
      <c r="F171" t="s">
        <v>2272</v>
      </c>
      <c r="G171" t="s">
        <v>2375</v>
      </c>
      <c r="H171" t="s">
        <v>2375</v>
      </c>
      <c r="I171" t="s">
        <v>2376</v>
      </c>
    </row>
    <row r="172" spans="1:9" x14ac:dyDescent="0.35">
      <c r="A172">
        <f t="shared" si="2"/>
        <v>171</v>
      </c>
      <c r="B172">
        <v>171</v>
      </c>
      <c r="C172" t="s">
        <v>2377</v>
      </c>
      <c r="D172" t="s">
        <v>213</v>
      </c>
      <c r="E172" t="s">
        <v>2378</v>
      </c>
      <c r="F172" t="s">
        <v>1624</v>
      </c>
      <c r="G172" t="s">
        <v>2379</v>
      </c>
      <c r="H172" t="s">
        <v>2379</v>
      </c>
      <c r="I172" t="s">
        <v>2380</v>
      </c>
    </row>
    <row r="173" spans="1:9" x14ac:dyDescent="0.35">
      <c r="A173">
        <f t="shared" si="2"/>
        <v>172</v>
      </c>
      <c r="B173">
        <v>172</v>
      </c>
      <c r="C173" t="s">
        <v>2381</v>
      </c>
      <c r="D173" t="s">
        <v>280</v>
      </c>
      <c r="E173" t="s">
        <v>2382</v>
      </c>
      <c r="F173" t="s">
        <v>1893</v>
      </c>
      <c r="G173" t="s">
        <v>2383</v>
      </c>
      <c r="H173" t="s">
        <v>2383</v>
      </c>
      <c r="I173" t="s">
        <v>2384</v>
      </c>
    </row>
    <row r="174" spans="1:9" x14ac:dyDescent="0.35">
      <c r="A174">
        <f t="shared" si="2"/>
        <v>173</v>
      </c>
      <c r="B174">
        <v>173</v>
      </c>
      <c r="C174" t="s">
        <v>2385</v>
      </c>
      <c r="D174" t="s">
        <v>253</v>
      </c>
      <c r="E174" t="s">
        <v>2386</v>
      </c>
      <c r="F174" t="s">
        <v>2387</v>
      </c>
      <c r="G174" t="s">
        <v>2388</v>
      </c>
      <c r="H174" t="s">
        <v>2388</v>
      </c>
      <c r="I174" t="s">
        <v>2389</v>
      </c>
    </row>
    <row r="175" spans="1:9" x14ac:dyDescent="0.35">
      <c r="A175">
        <f t="shared" si="2"/>
        <v>174</v>
      </c>
      <c r="B175">
        <v>174</v>
      </c>
      <c r="C175" t="s">
        <v>2390</v>
      </c>
      <c r="D175" t="s">
        <v>304</v>
      </c>
      <c r="E175" t="s">
        <v>2391</v>
      </c>
      <c r="F175" t="s">
        <v>2149</v>
      </c>
      <c r="G175" t="s">
        <v>2392</v>
      </c>
      <c r="H175" t="s">
        <v>2392</v>
      </c>
      <c r="I175" t="s">
        <v>2393</v>
      </c>
    </row>
    <row r="176" spans="1:9" x14ac:dyDescent="0.35">
      <c r="A176">
        <f t="shared" si="2"/>
        <v>175</v>
      </c>
      <c r="B176">
        <v>175</v>
      </c>
      <c r="C176" t="s">
        <v>2394</v>
      </c>
      <c r="D176" t="s">
        <v>304</v>
      </c>
      <c r="E176" t="s">
        <v>2395</v>
      </c>
      <c r="F176" t="s">
        <v>2164</v>
      </c>
      <c r="G176" t="s">
        <v>2396</v>
      </c>
      <c r="H176" t="s">
        <v>2396</v>
      </c>
      <c r="I176" t="s">
        <v>2397</v>
      </c>
    </row>
    <row r="177" spans="1:9" x14ac:dyDescent="0.35">
      <c r="A177">
        <f t="shared" si="2"/>
        <v>176</v>
      </c>
      <c r="B177">
        <v>176</v>
      </c>
      <c r="C177" t="s">
        <v>2398</v>
      </c>
      <c r="D177" t="s">
        <v>143</v>
      </c>
      <c r="E177" t="s">
        <v>2399</v>
      </c>
      <c r="F177" t="s">
        <v>1990</v>
      </c>
      <c r="G177" t="s">
        <v>2400</v>
      </c>
      <c r="H177" t="s">
        <v>2400</v>
      </c>
      <c r="I177" t="s">
        <v>2401</v>
      </c>
    </row>
    <row r="178" spans="1:9" x14ac:dyDescent="0.35">
      <c r="A178">
        <f t="shared" si="2"/>
        <v>177</v>
      </c>
      <c r="B178">
        <v>177</v>
      </c>
      <c r="C178" t="s">
        <v>2402</v>
      </c>
      <c r="D178" t="s">
        <v>308</v>
      </c>
      <c r="E178" t="s">
        <v>2403</v>
      </c>
      <c r="F178" t="s">
        <v>2229</v>
      </c>
      <c r="G178" t="s">
        <v>2404</v>
      </c>
      <c r="H178" t="s">
        <v>2404</v>
      </c>
      <c r="I178" t="s">
        <v>2405</v>
      </c>
    </row>
    <row r="179" spans="1:9" x14ac:dyDescent="0.35">
      <c r="A179">
        <f t="shared" si="2"/>
        <v>178</v>
      </c>
      <c r="B179">
        <v>178</v>
      </c>
      <c r="C179" t="s">
        <v>2406</v>
      </c>
      <c r="D179" t="s">
        <v>310</v>
      </c>
      <c r="E179" t="s">
        <v>2407</v>
      </c>
      <c r="F179" t="s">
        <v>1823</v>
      </c>
      <c r="G179" t="s">
        <v>2408</v>
      </c>
      <c r="H179" t="s">
        <v>2408</v>
      </c>
      <c r="I179" t="s">
        <v>2409</v>
      </c>
    </row>
    <row r="180" spans="1:9" x14ac:dyDescent="0.35">
      <c r="A180">
        <f t="shared" si="2"/>
        <v>179</v>
      </c>
      <c r="B180">
        <v>179</v>
      </c>
      <c r="C180" t="s">
        <v>2410</v>
      </c>
      <c r="D180" t="s">
        <v>312</v>
      </c>
      <c r="E180" t="s">
        <v>2411</v>
      </c>
      <c r="F180" t="s">
        <v>2205</v>
      </c>
      <c r="G180" t="s">
        <v>2412</v>
      </c>
      <c r="H180" t="s">
        <v>2412</v>
      </c>
      <c r="I180" t="s">
        <v>2413</v>
      </c>
    </row>
    <row r="181" spans="1:9" x14ac:dyDescent="0.35">
      <c r="A181">
        <f t="shared" si="2"/>
        <v>180</v>
      </c>
      <c r="B181">
        <v>180</v>
      </c>
      <c r="C181" t="s">
        <v>2414</v>
      </c>
      <c r="D181" t="s">
        <v>314</v>
      </c>
      <c r="E181" t="s">
        <v>2415</v>
      </c>
      <c r="F181" t="s">
        <v>1893</v>
      </c>
      <c r="G181" t="s">
        <v>2416</v>
      </c>
      <c r="H181" t="s">
        <v>2417</v>
      </c>
      <c r="I181" t="s">
        <v>2418</v>
      </c>
    </row>
    <row r="182" spans="1:9" x14ac:dyDescent="0.35">
      <c r="A182">
        <f t="shared" si="2"/>
        <v>181</v>
      </c>
      <c r="B182">
        <v>181</v>
      </c>
      <c r="C182" t="s">
        <v>2419</v>
      </c>
      <c r="D182" t="s">
        <v>316</v>
      </c>
      <c r="E182" t="s">
        <v>2420</v>
      </c>
      <c r="F182" t="s">
        <v>2229</v>
      </c>
      <c r="G182" t="s">
        <v>2421</v>
      </c>
      <c r="H182" t="s">
        <v>3663</v>
      </c>
      <c r="I182" t="s">
        <v>3664</v>
      </c>
    </row>
    <row r="183" spans="1:9" x14ac:dyDescent="0.35">
      <c r="A183">
        <f t="shared" si="2"/>
        <v>182</v>
      </c>
      <c r="B183">
        <v>182</v>
      </c>
      <c r="C183" t="s">
        <v>2424</v>
      </c>
      <c r="D183" t="s">
        <v>316</v>
      </c>
      <c r="E183" t="s">
        <v>2425</v>
      </c>
      <c r="F183" t="s">
        <v>1799</v>
      </c>
      <c r="G183" t="s">
        <v>2426</v>
      </c>
      <c r="H183" t="s">
        <v>2426</v>
      </c>
      <c r="I183" t="s">
        <v>2427</v>
      </c>
    </row>
    <row r="184" spans="1:9" x14ac:dyDescent="0.35">
      <c r="A184">
        <f t="shared" si="2"/>
        <v>183</v>
      </c>
      <c r="B184">
        <v>183</v>
      </c>
      <c r="C184" t="s">
        <v>2428</v>
      </c>
      <c r="D184" t="s">
        <v>76</v>
      </c>
      <c r="E184" t="s">
        <v>2429</v>
      </c>
      <c r="F184" t="s">
        <v>1799</v>
      </c>
      <c r="G184" t="s">
        <v>2430</v>
      </c>
      <c r="H184" t="s">
        <v>2430</v>
      </c>
      <c r="I184" t="s">
        <v>2431</v>
      </c>
    </row>
    <row r="185" spans="1:9" x14ac:dyDescent="0.35">
      <c r="A185">
        <f t="shared" si="2"/>
        <v>184</v>
      </c>
      <c r="B185">
        <v>184</v>
      </c>
      <c r="C185" t="s">
        <v>2432</v>
      </c>
      <c r="D185" t="s">
        <v>324</v>
      </c>
      <c r="E185" t="s">
        <v>2433</v>
      </c>
      <c r="F185" t="s">
        <v>1839</v>
      </c>
      <c r="G185" t="s">
        <v>2434</v>
      </c>
      <c r="H185" t="s">
        <v>2434</v>
      </c>
      <c r="I185" t="s">
        <v>2435</v>
      </c>
    </row>
    <row r="186" spans="1:9" x14ac:dyDescent="0.35">
      <c r="A186">
        <f t="shared" si="2"/>
        <v>185</v>
      </c>
      <c r="B186">
        <v>185</v>
      </c>
      <c r="C186" t="s">
        <v>2436</v>
      </c>
      <c r="D186" t="s">
        <v>326</v>
      </c>
      <c r="E186" t="s">
        <v>2437</v>
      </c>
      <c r="F186" t="s">
        <v>1613</v>
      </c>
      <c r="G186" t="s">
        <v>2438</v>
      </c>
      <c r="H186" t="s">
        <v>2438</v>
      </c>
      <c r="I186" t="s">
        <v>2439</v>
      </c>
    </row>
    <row r="187" spans="1:9" x14ac:dyDescent="0.35">
      <c r="A187">
        <f t="shared" si="2"/>
        <v>186</v>
      </c>
      <c r="B187">
        <v>186</v>
      </c>
      <c r="C187" t="s">
        <v>2440</v>
      </c>
      <c r="D187" t="s">
        <v>242</v>
      </c>
      <c r="E187" t="s">
        <v>2441</v>
      </c>
      <c r="F187" t="s">
        <v>2442</v>
      </c>
      <c r="G187" t="s">
        <v>2443</v>
      </c>
      <c r="H187" t="s">
        <v>2443</v>
      </c>
      <c r="I187" t="s">
        <v>2444</v>
      </c>
    </row>
    <row r="188" spans="1:9" x14ac:dyDescent="0.35">
      <c r="A188">
        <f t="shared" si="2"/>
        <v>187</v>
      </c>
      <c r="B188">
        <v>187</v>
      </c>
      <c r="C188" t="s">
        <v>2445</v>
      </c>
      <c r="D188" t="s">
        <v>213</v>
      </c>
      <c r="E188" t="s">
        <v>2446</v>
      </c>
      <c r="F188" t="s">
        <v>2253</v>
      </c>
      <c r="G188" t="s">
        <v>2447</v>
      </c>
      <c r="H188" t="s">
        <v>2447</v>
      </c>
      <c r="I188" t="s">
        <v>2448</v>
      </c>
    </row>
    <row r="189" spans="1:9" x14ac:dyDescent="0.35">
      <c r="A189">
        <f t="shared" si="2"/>
        <v>188</v>
      </c>
      <c r="B189">
        <v>188</v>
      </c>
      <c r="C189" t="s">
        <v>2449</v>
      </c>
      <c r="D189" t="s">
        <v>330</v>
      </c>
      <c r="E189" t="s">
        <v>2450</v>
      </c>
      <c r="F189" t="s">
        <v>2114</v>
      </c>
      <c r="G189" t="s">
        <v>2451</v>
      </c>
      <c r="H189" t="s">
        <v>2451</v>
      </c>
      <c r="I189" t="s">
        <v>2452</v>
      </c>
    </row>
    <row r="190" spans="1:9" x14ac:dyDescent="0.35">
      <c r="A190">
        <f t="shared" si="2"/>
        <v>189</v>
      </c>
      <c r="B190">
        <v>189</v>
      </c>
      <c r="C190" t="s">
        <v>2453</v>
      </c>
      <c r="D190" t="s">
        <v>332</v>
      </c>
      <c r="E190" t="s">
        <v>2454</v>
      </c>
      <c r="F190" t="s">
        <v>2041</v>
      </c>
      <c r="G190" t="s">
        <v>2455</v>
      </c>
      <c r="H190" t="s">
        <v>2455</v>
      </c>
      <c r="I190" t="s">
        <v>2456</v>
      </c>
    </row>
    <row r="191" spans="1:9" x14ac:dyDescent="0.35">
      <c r="A191">
        <f t="shared" si="2"/>
        <v>190</v>
      </c>
      <c r="B191">
        <v>190</v>
      </c>
      <c r="C191" t="s">
        <v>2457</v>
      </c>
      <c r="D191" t="s">
        <v>330</v>
      </c>
      <c r="E191" t="s">
        <v>2458</v>
      </c>
      <c r="F191" t="s">
        <v>2143</v>
      </c>
      <c r="G191" t="s">
        <v>2459</v>
      </c>
      <c r="H191" t="s">
        <v>2460</v>
      </c>
      <c r="I191" t="s">
        <v>2461</v>
      </c>
    </row>
    <row r="192" spans="1:9" x14ac:dyDescent="0.35">
      <c r="A192">
        <f t="shared" si="2"/>
        <v>191</v>
      </c>
      <c r="B192">
        <v>191</v>
      </c>
      <c r="C192" t="s">
        <v>2462</v>
      </c>
      <c r="D192" t="s">
        <v>335</v>
      </c>
      <c r="E192" t="s">
        <v>2463</v>
      </c>
      <c r="F192" t="s">
        <v>1839</v>
      </c>
      <c r="G192" t="s">
        <v>2464</v>
      </c>
      <c r="H192" t="s">
        <v>2464</v>
      </c>
      <c r="I192" t="s">
        <v>2465</v>
      </c>
    </row>
    <row r="193" spans="1:9" x14ac:dyDescent="0.35">
      <c r="A193">
        <f t="shared" si="2"/>
        <v>192</v>
      </c>
      <c r="B193">
        <v>192</v>
      </c>
      <c r="C193" t="s">
        <v>2466</v>
      </c>
      <c r="D193" t="s">
        <v>337</v>
      </c>
      <c r="E193" t="s">
        <v>2467</v>
      </c>
      <c r="F193" t="s">
        <v>1629</v>
      </c>
      <c r="G193" t="s">
        <v>2468</v>
      </c>
      <c r="H193" t="s">
        <v>3665</v>
      </c>
      <c r="I193" t="s">
        <v>3666</v>
      </c>
    </row>
    <row r="194" spans="1:9" x14ac:dyDescent="0.35">
      <c r="A194">
        <f t="shared" si="2"/>
        <v>193</v>
      </c>
      <c r="B194">
        <v>193</v>
      </c>
      <c r="C194" t="s">
        <v>2471</v>
      </c>
      <c r="D194" t="s">
        <v>339</v>
      </c>
      <c r="E194" t="s">
        <v>2472</v>
      </c>
      <c r="F194" t="s">
        <v>1663</v>
      </c>
      <c r="G194" t="s">
        <v>2473</v>
      </c>
      <c r="H194" t="s">
        <v>2473</v>
      </c>
      <c r="I194" t="s">
        <v>2474</v>
      </c>
    </row>
    <row r="195" spans="1:9" x14ac:dyDescent="0.35">
      <c r="A195">
        <f t="shared" si="2"/>
        <v>194</v>
      </c>
      <c r="B195">
        <v>194</v>
      </c>
      <c r="C195" t="s">
        <v>2475</v>
      </c>
      <c r="D195" t="s">
        <v>341</v>
      </c>
      <c r="E195" t="s">
        <v>2476</v>
      </c>
      <c r="F195" t="s">
        <v>2109</v>
      </c>
      <c r="G195" t="s">
        <v>2477</v>
      </c>
      <c r="H195" t="s">
        <v>2477</v>
      </c>
      <c r="I195" t="s">
        <v>2478</v>
      </c>
    </row>
    <row r="196" spans="1:9" x14ac:dyDescent="0.35">
      <c r="A196">
        <f t="shared" ref="A196:A259" si="3">SUM(A195+1)</f>
        <v>195</v>
      </c>
      <c r="B196">
        <v>195</v>
      </c>
      <c r="C196" t="s">
        <v>2479</v>
      </c>
      <c r="D196" t="s">
        <v>343</v>
      </c>
      <c r="E196" t="s">
        <v>2480</v>
      </c>
      <c r="F196" t="s">
        <v>1990</v>
      </c>
      <c r="G196" t="s">
        <v>2481</v>
      </c>
      <c r="H196" t="s">
        <v>2481</v>
      </c>
      <c r="I196" t="s">
        <v>2482</v>
      </c>
    </row>
    <row r="197" spans="1:9" x14ac:dyDescent="0.35">
      <c r="A197">
        <f t="shared" si="3"/>
        <v>196</v>
      </c>
      <c r="B197">
        <v>196</v>
      </c>
      <c r="C197" t="s">
        <v>2483</v>
      </c>
      <c r="D197" t="s">
        <v>345</v>
      </c>
      <c r="E197" t="s">
        <v>2484</v>
      </c>
      <c r="F197" t="s">
        <v>1785</v>
      </c>
      <c r="G197" t="s">
        <v>2485</v>
      </c>
      <c r="H197" t="s">
        <v>2485</v>
      </c>
      <c r="I197" t="s">
        <v>2486</v>
      </c>
    </row>
    <row r="198" spans="1:9" x14ac:dyDescent="0.35">
      <c r="A198">
        <f t="shared" si="3"/>
        <v>197</v>
      </c>
      <c r="B198">
        <v>197</v>
      </c>
      <c r="C198" t="s">
        <v>2487</v>
      </c>
      <c r="D198" t="s">
        <v>347</v>
      </c>
      <c r="E198" t="s">
        <v>2488</v>
      </c>
      <c r="F198" t="s">
        <v>1844</v>
      </c>
      <c r="G198" t="s">
        <v>2489</v>
      </c>
      <c r="H198" t="s">
        <v>3667</v>
      </c>
      <c r="I198" t="s">
        <v>3668</v>
      </c>
    </row>
    <row r="199" spans="1:9" x14ac:dyDescent="0.35">
      <c r="A199">
        <f t="shared" si="3"/>
        <v>198</v>
      </c>
      <c r="B199">
        <v>198</v>
      </c>
      <c r="C199" t="s">
        <v>2491</v>
      </c>
      <c r="D199" t="s">
        <v>349</v>
      </c>
      <c r="E199" t="s">
        <v>2492</v>
      </c>
      <c r="F199" t="s">
        <v>1596</v>
      </c>
      <c r="G199" t="s">
        <v>2493</v>
      </c>
      <c r="H199" t="s">
        <v>2493</v>
      </c>
      <c r="I199" t="s">
        <v>2494</v>
      </c>
    </row>
    <row r="200" spans="1:9" x14ac:dyDescent="0.35">
      <c r="A200">
        <f t="shared" si="3"/>
        <v>199</v>
      </c>
      <c r="B200">
        <v>199</v>
      </c>
      <c r="C200" t="s">
        <v>2495</v>
      </c>
      <c r="D200" t="s">
        <v>76</v>
      </c>
      <c r="E200" t="s">
        <v>2496</v>
      </c>
      <c r="F200" t="s">
        <v>1794</v>
      </c>
      <c r="G200" t="s">
        <v>2497</v>
      </c>
      <c r="H200" t="s">
        <v>2497</v>
      </c>
      <c r="I200" t="s">
        <v>2498</v>
      </c>
    </row>
    <row r="201" spans="1:9" x14ac:dyDescent="0.35">
      <c r="A201">
        <f t="shared" si="3"/>
        <v>200</v>
      </c>
      <c r="B201">
        <v>200</v>
      </c>
      <c r="C201" t="s">
        <v>2499</v>
      </c>
      <c r="D201" t="s">
        <v>352</v>
      </c>
      <c r="E201" t="s">
        <v>2500</v>
      </c>
      <c r="F201" t="s">
        <v>2312</v>
      </c>
      <c r="G201" t="s">
        <v>2501</v>
      </c>
      <c r="H201" t="s">
        <v>2501</v>
      </c>
      <c r="I201" t="s">
        <v>2502</v>
      </c>
    </row>
    <row r="202" spans="1:9" x14ac:dyDescent="0.35">
      <c r="A202">
        <f t="shared" si="3"/>
        <v>201</v>
      </c>
      <c r="B202">
        <v>201</v>
      </c>
      <c r="C202" t="s">
        <v>2503</v>
      </c>
      <c r="D202" t="s">
        <v>354</v>
      </c>
      <c r="E202" t="s">
        <v>2504</v>
      </c>
      <c r="F202" t="s">
        <v>2505</v>
      </c>
      <c r="G202" t="s">
        <v>2506</v>
      </c>
      <c r="H202" t="s">
        <v>2506</v>
      </c>
      <c r="I202" t="s">
        <v>2507</v>
      </c>
    </row>
    <row r="203" spans="1:9" x14ac:dyDescent="0.35">
      <c r="A203">
        <f t="shared" si="3"/>
        <v>202</v>
      </c>
      <c r="B203">
        <v>202</v>
      </c>
      <c r="C203" t="s">
        <v>2508</v>
      </c>
      <c r="D203" t="s">
        <v>76</v>
      </c>
      <c r="E203" t="s">
        <v>2509</v>
      </c>
      <c r="F203" t="s">
        <v>2510</v>
      </c>
      <c r="G203" t="s">
        <v>2511</v>
      </c>
      <c r="H203" t="s">
        <v>2511</v>
      </c>
      <c r="I203" t="s">
        <v>2512</v>
      </c>
    </row>
    <row r="204" spans="1:9" x14ac:dyDescent="0.35">
      <c r="A204">
        <f t="shared" si="3"/>
        <v>203</v>
      </c>
      <c r="B204">
        <v>203</v>
      </c>
      <c r="C204" t="s">
        <v>2513</v>
      </c>
      <c r="D204" t="s">
        <v>242</v>
      </c>
      <c r="E204" t="s">
        <v>2514</v>
      </c>
      <c r="F204" t="s">
        <v>2515</v>
      </c>
      <c r="G204" t="s">
        <v>2516</v>
      </c>
      <c r="H204" t="s">
        <v>2516</v>
      </c>
      <c r="I204" t="s">
        <v>2517</v>
      </c>
    </row>
    <row r="205" spans="1:9" x14ac:dyDescent="0.35">
      <c r="A205">
        <f t="shared" si="3"/>
        <v>204</v>
      </c>
      <c r="B205">
        <v>204</v>
      </c>
      <c r="C205" t="s">
        <v>2518</v>
      </c>
      <c r="D205" t="s">
        <v>242</v>
      </c>
      <c r="E205" t="s">
        <v>2519</v>
      </c>
      <c r="F205" t="s">
        <v>1680</v>
      </c>
      <c r="G205" t="s">
        <v>2520</v>
      </c>
      <c r="H205" t="s">
        <v>2520</v>
      </c>
      <c r="I205" t="s">
        <v>2521</v>
      </c>
    </row>
    <row r="206" spans="1:9" x14ac:dyDescent="0.35">
      <c r="A206">
        <f t="shared" si="3"/>
        <v>205</v>
      </c>
      <c r="B206">
        <v>205</v>
      </c>
      <c r="C206" t="s">
        <v>2522</v>
      </c>
      <c r="D206" t="s">
        <v>242</v>
      </c>
      <c r="E206" t="s">
        <v>2523</v>
      </c>
      <c r="F206" t="s">
        <v>2177</v>
      </c>
      <c r="G206" t="s">
        <v>2524</v>
      </c>
      <c r="H206" t="s">
        <v>2524</v>
      </c>
      <c r="I206" t="s">
        <v>2525</v>
      </c>
    </row>
    <row r="207" spans="1:9" x14ac:dyDescent="0.35">
      <c r="A207">
        <f t="shared" si="3"/>
        <v>206</v>
      </c>
      <c r="B207">
        <v>206</v>
      </c>
      <c r="C207" t="s">
        <v>2526</v>
      </c>
      <c r="D207" t="s">
        <v>213</v>
      </c>
      <c r="E207" t="s">
        <v>2527</v>
      </c>
      <c r="F207" t="s">
        <v>2143</v>
      </c>
      <c r="G207" t="s">
        <v>2528</v>
      </c>
      <c r="H207" t="s">
        <v>2528</v>
      </c>
      <c r="I207" t="s">
        <v>2529</v>
      </c>
    </row>
    <row r="208" spans="1:9" x14ac:dyDescent="0.35">
      <c r="A208">
        <f t="shared" si="3"/>
        <v>207</v>
      </c>
      <c r="B208">
        <v>207</v>
      </c>
      <c r="C208" t="s">
        <v>2530</v>
      </c>
      <c r="D208" t="s">
        <v>280</v>
      </c>
      <c r="E208" t="s">
        <v>2531</v>
      </c>
      <c r="F208" t="s">
        <v>1990</v>
      </c>
      <c r="G208" t="s">
        <v>2532</v>
      </c>
      <c r="H208" t="s">
        <v>2532</v>
      </c>
      <c r="I208" t="s">
        <v>2533</v>
      </c>
    </row>
    <row r="209" spans="1:9" x14ac:dyDescent="0.35">
      <c r="A209">
        <f t="shared" si="3"/>
        <v>208</v>
      </c>
      <c r="B209">
        <v>208</v>
      </c>
      <c r="C209" t="s">
        <v>2534</v>
      </c>
      <c r="D209" t="s">
        <v>304</v>
      </c>
      <c r="E209" t="s">
        <v>2535</v>
      </c>
      <c r="F209" t="s">
        <v>2387</v>
      </c>
      <c r="G209" t="s">
        <v>2536</v>
      </c>
      <c r="H209" t="s">
        <v>2536</v>
      </c>
      <c r="I209" t="s">
        <v>2537</v>
      </c>
    </row>
    <row r="210" spans="1:9" x14ac:dyDescent="0.35">
      <c r="A210">
        <f t="shared" si="3"/>
        <v>209</v>
      </c>
      <c r="B210">
        <v>209</v>
      </c>
      <c r="C210" t="s">
        <v>2538</v>
      </c>
      <c r="D210" t="s">
        <v>253</v>
      </c>
      <c r="E210" t="s">
        <v>2539</v>
      </c>
      <c r="F210" t="s">
        <v>2109</v>
      </c>
      <c r="G210" t="s">
        <v>2540</v>
      </c>
      <c r="H210" t="s">
        <v>2540</v>
      </c>
      <c r="I210" t="s">
        <v>2541</v>
      </c>
    </row>
    <row r="211" spans="1:9" x14ac:dyDescent="0.35">
      <c r="A211">
        <f t="shared" si="3"/>
        <v>210</v>
      </c>
      <c r="B211">
        <v>210</v>
      </c>
      <c r="C211" t="s">
        <v>2542</v>
      </c>
      <c r="D211" t="s">
        <v>274</v>
      </c>
      <c r="E211" t="s">
        <v>2543</v>
      </c>
      <c r="F211" t="s">
        <v>2510</v>
      </c>
      <c r="G211" t="s">
        <v>2544</v>
      </c>
      <c r="H211" t="s">
        <v>2545</v>
      </c>
      <c r="I211" t="s">
        <v>2546</v>
      </c>
    </row>
    <row r="212" spans="1:9" x14ac:dyDescent="0.35">
      <c r="A212">
        <f t="shared" si="3"/>
        <v>211</v>
      </c>
      <c r="B212">
        <v>211</v>
      </c>
      <c r="C212" t="s">
        <v>2547</v>
      </c>
      <c r="D212" t="s">
        <v>365</v>
      </c>
      <c r="E212" t="s">
        <v>2548</v>
      </c>
      <c r="F212" t="s">
        <v>1692</v>
      </c>
      <c r="G212" t="s">
        <v>2549</v>
      </c>
      <c r="H212" t="s">
        <v>2549</v>
      </c>
      <c r="I212" t="s">
        <v>2550</v>
      </c>
    </row>
    <row r="213" spans="1:9" x14ac:dyDescent="0.35">
      <c r="A213">
        <f t="shared" si="3"/>
        <v>212</v>
      </c>
      <c r="B213">
        <v>212</v>
      </c>
      <c r="C213" t="s">
        <v>2551</v>
      </c>
      <c r="D213" t="s">
        <v>367</v>
      </c>
      <c r="E213" t="s">
        <v>2552</v>
      </c>
      <c r="F213" t="s">
        <v>2553</v>
      </c>
      <c r="G213" t="s">
        <v>2554</v>
      </c>
      <c r="H213" t="s">
        <v>3669</v>
      </c>
      <c r="I213" t="s">
        <v>3670</v>
      </c>
    </row>
    <row r="214" spans="1:9" x14ac:dyDescent="0.35">
      <c r="A214">
        <f t="shared" si="3"/>
        <v>213</v>
      </c>
      <c r="B214">
        <v>213</v>
      </c>
      <c r="C214" t="s">
        <v>2556</v>
      </c>
      <c r="D214" t="s">
        <v>369</v>
      </c>
      <c r="E214" t="s">
        <v>2557</v>
      </c>
      <c r="F214" t="s">
        <v>2558</v>
      </c>
      <c r="G214" t="s">
        <v>2559</v>
      </c>
      <c r="H214" t="s">
        <v>2559</v>
      </c>
      <c r="I214" t="s">
        <v>2560</v>
      </c>
    </row>
    <row r="215" spans="1:9" x14ac:dyDescent="0.35">
      <c r="A215">
        <f t="shared" si="3"/>
        <v>214</v>
      </c>
      <c r="B215">
        <v>214</v>
      </c>
      <c r="C215" t="s">
        <v>2561</v>
      </c>
      <c r="D215" t="s">
        <v>371</v>
      </c>
      <c r="E215" t="s">
        <v>2562</v>
      </c>
      <c r="F215" t="s">
        <v>1596</v>
      </c>
      <c r="G215" t="s">
        <v>2563</v>
      </c>
      <c r="H215" t="s">
        <v>2563</v>
      </c>
      <c r="I215" t="s">
        <v>2564</v>
      </c>
    </row>
    <row r="216" spans="1:9" x14ac:dyDescent="0.35">
      <c r="A216">
        <f t="shared" si="3"/>
        <v>215</v>
      </c>
      <c r="B216">
        <v>215</v>
      </c>
      <c r="C216" t="s">
        <v>2565</v>
      </c>
      <c r="D216" t="s">
        <v>373</v>
      </c>
      <c r="E216" t="s">
        <v>2566</v>
      </c>
      <c r="F216" t="s">
        <v>1775</v>
      </c>
      <c r="G216" t="s">
        <v>2567</v>
      </c>
      <c r="H216" t="s">
        <v>3671</v>
      </c>
      <c r="I216" t="s">
        <v>3672</v>
      </c>
    </row>
    <row r="217" spans="1:9" x14ac:dyDescent="0.35">
      <c r="A217">
        <f t="shared" si="3"/>
        <v>216</v>
      </c>
      <c r="B217">
        <v>216</v>
      </c>
      <c r="C217" t="s">
        <v>2569</v>
      </c>
      <c r="D217" t="s">
        <v>375</v>
      </c>
      <c r="E217" t="s">
        <v>2570</v>
      </c>
      <c r="F217" t="s">
        <v>1663</v>
      </c>
      <c r="G217" t="s">
        <v>2571</v>
      </c>
      <c r="H217" t="s">
        <v>2571</v>
      </c>
      <c r="I217" t="s">
        <v>2572</v>
      </c>
    </row>
    <row r="218" spans="1:9" x14ac:dyDescent="0.35">
      <c r="A218">
        <f t="shared" si="3"/>
        <v>217</v>
      </c>
      <c r="B218">
        <v>217</v>
      </c>
      <c r="C218" t="s">
        <v>2573</v>
      </c>
      <c r="D218" t="s">
        <v>377</v>
      </c>
      <c r="E218" t="s">
        <v>2574</v>
      </c>
      <c r="F218" t="s">
        <v>1764</v>
      </c>
      <c r="G218" t="s">
        <v>2575</v>
      </c>
      <c r="H218" t="s">
        <v>2575</v>
      </c>
      <c r="I218" t="s">
        <v>2576</v>
      </c>
    </row>
    <row r="219" spans="1:9" x14ac:dyDescent="0.35">
      <c r="A219">
        <f t="shared" si="3"/>
        <v>218</v>
      </c>
      <c r="B219">
        <v>218</v>
      </c>
      <c r="C219" t="s">
        <v>2577</v>
      </c>
      <c r="D219" t="s">
        <v>379</v>
      </c>
      <c r="E219" t="s">
        <v>2578</v>
      </c>
      <c r="F219" t="s">
        <v>2134</v>
      </c>
      <c r="G219" t="s">
        <v>2579</v>
      </c>
      <c r="H219" t="s">
        <v>2579</v>
      </c>
      <c r="I219" t="s">
        <v>2580</v>
      </c>
    </row>
    <row r="220" spans="1:9" x14ac:dyDescent="0.35">
      <c r="A220">
        <f t="shared" si="3"/>
        <v>219</v>
      </c>
      <c r="B220">
        <v>219</v>
      </c>
      <c r="C220" t="s">
        <v>2581</v>
      </c>
      <c r="D220" t="s">
        <v>76</v>
      </c>
      <c r="E220" t="s">
        <v>2582</v>
      </c>
      <c r="F220" t="s">
        <v>2114</v>
      </c>
      <c r="G220" t="s">
        <v>2583</v>
      </c>
      <c r="H220" t="s">
        <v>2583</v>
      </c>
      <c r="I220" t="s">
        <v>2584</v>
      </c>
    </row>
    <row r="221" spans="1:9" x14ac:dyDescent="0.35">
      <c r="A221">
        <f t="shared" si="3"/>
        <v>220</v>
      </c>
      <c r="B221">
        <v>220</v>
      </c>
      <c r="C221" t="s">
        <v>2585</v>
      </c>
      <c r="D221" t="s">
        <v>382</v>
      </c>
      <c r="E221" t="s">
        <v>2586</v>
      </c>
      <c r="F221" t="s">
        <v>2114</v>
      </c>
      <c r="G221" t="s">
        <v>2587</v>
      </c>
      <c r="H221" t="s">
        <v>2587</v>
      </c>
      <c r="I221" t="s">
        <v>2588</v>
      </c>
    </row>
    <row r="222" spans="1:9" x14ac:dyDescent="0.35">
      <c r="A222">
        <f t="shared" si="3"/>
        <v>221</v>
      </c>
      <c r="B222">
        <v>221</v>
      </c>
      <c r="C222" t="s">
        <v>2589</v>
      </c>
      <c r="D222" t="s">
        <v>326</v>
      </c>
      <c r="E222" t="s">
        <v>2590</v>
      </c>
      <c r="F222" t="s">
        <v>1999</v>
      </c>
      <c r="G222" t="s">
        <v>2591</v>
      </c>
      <c r="H222" t="s">
        <v>2591</v>
      </c>
      <c r="I222" t="s">
        <v>2592</v>
      </c>
    </row>
    <row r="223" spans="1:9" x14ac:dyDescent="0.35">
      <c r="A223">
        <f t="shared" si="3"/>
        <v>222</v>
      </c>
      <c r="B223">
        <v>222</v>
      </c>
      <c r="C223" t="s">
        <v>2593</v>
      </c>
      <c r="D223" t="s">
        <v>4</v>
      </c>
      <c r="E223" t="s">
        <v>2594</v>
      </c>
      <c r="F223" t="s">
        <v>1601</v>
      </c>
      <c r="G223" t="s">
        <v>2595</v>
      </c>
      <c r="H223" t="s">
        <v>2595</v>
      </c>
      <c r="I223" t="s">
        <v>2596</v>
      </c>
    </row>
    <row r="224" spans="1:9" x14ac:dyDescent="0.35">
      <c r="A224">
        <f t="shared" si="3"/>
        <v>223</v>
      </c>
      <c r="B224">
        <v>223</v>
      </c>
      <c r="C224" t="s">
        <v>2593</v>
      </c>
      <c r="D224" t="s">
        <v>4</v>
      </c>
      <c r="E224" t="s">
        <v>2594</v>
      </c>
      <c r="F224" t="s">
        <v>1601</v>
      </c>
      <c r="G224" t="s">
        <v>2595</v>
      </c>
      <c r="H224" t="s">
        <v>2595</v>
      </c>
      <c r="I224" t="s">
        <v>2596</v>
      </c>
    </row>
    <row r="225" spans="1:9" x14ac:dyDescent="0.35">
      <c r="A225">
        <f t="shared" si="3"/>
        <v>224</v>
      </c>
      <c r="B225">
        <v>224</v>
      </c>
      <c r="C225" t="s">
        <v>2593</v>
      </c>
      <c r="D225" t="s">
        <v>4</v>
      </c>
      <c r="E225" t="s">
        <v>2594</v>
      </c>
      <c r="F225" t="s">
        <v>1601</v>
      </c>
      <c r="G225" t="s">
        <v>2595</v>
      </c>
      <c r="H225" t="s">
        <v>2595</v>
      </c>
      <c r="I225" t="s">
        <v>2596</v>
      </c>
    </row>
    <row r="226" spans="1:9" x14ac:dyDescent="0.35">
      <c r="A226">
        <f t="shared" si="3"/>
        <v>225</v>
      </c>
      <c r="B226">
        <v>225</v>
      </c>
      <c r="C226" t="s">
        <v>2593</v>
      </c>
      <c r="D226" t="s">
        <v>4</v>
      </c>
      <c r="E226" t="s">
        <v>2594</v>
      </c>
      <c r="F226" t="s">
        <v>1601</v>
      </c>
      <c r="G226" t="s">
        <v>2595</v>
      </c>
      <c r="H226" t="s">
        <v>2595</v>
      </c>
      <c r="I226" t="s">
        <v>2596</v>
      </c>
    </row>
    <row r="227" spans="1:9" x14ac:dyDescent="0.35">
      <c r="A227">
        <f t="shared" si="3"/>
        <v>226</v>
      </c>
      <c r="B227">
        <v>226</v>
      </c>
      <c r="C227" t="s">
        <v>2597</v>
      </c>
      <c r="D227" t="s">
        <v>242</v>
      </c>
      <c r="E227" t="s">
        <v>2598</v>
      </c>
      <c r="F227" t="s">
        <v>2599</v>
      </c>
      <c r="G227" t="s">
        <v>2600</v>
      </c>
      <c r="H227" t="s">
        <v>2600</v>
      </c>
      <c r="I227" t="s">
        <v>2601</v>
      </c>
    </row>
    <row r="228" spans="1:9" x14ac:dyDescent="0.35">
      <c r="A228">
        <f t="shared" si="3"/>
        <v>227</v>
      </c>
      <c r="B228">
        <v>227</v>
      </c>
      <c r="C228" t="s">
        <v>2602</v>
      </c>
      <c r="D228" t="s">
        <v>280</v>
      </c>
      <c r="E228" t="s">
        <v>2603</v>
      </c>
      <c r="F228" t="s">
        <v>2604</v>
      </c>
      <c r="G228" t="s">
        <v>2605</v>
      </c>
      <c r="H228" t="s">
        <v>2605</v>
      </c>
      <c r="I228" t="s">
        <v>2606</v>
      </c>
    </row>
    <row r="229" spans="1:9" x14ac:dyDescent="0.35">
      <c r="A229">
        <f t="shared" si="3"/>
        <v>228</v>
      </c>
      <c r="B229">
        <v>228</v>
      </c>
      <c r="C229" t="s">
        <v>2607</v>
      </c>
      <c r="D229" t="s">
        <v>391</v>
      </c>
      <c r="E229" t="s">
        <v>2608</v>
      </c>
      <c r="F229" t="s">
        <v>2609</v>
      </c>
      <c r="G229" t="s">
        <v>2610</v>
      </c>
      <c r="H229" t="s">
        <v>3673</v>
      </c>
      <c r="I229" t="s">
        <v>3674</v>
      </c>
    </row>
    <row r="230" spans="1:9" x14ac:dyDescent="0.35">
      <c r="A230">
        <f t="shared" si="3"/>
        <v>229</v>
      </c>
      <c r="B230">
        <v>229</v>
      </c>
      <c r="C230" t="s">
        <v>2612</v>
      </c>
      <c r="D230" t="s">
        <v>393</v>
      </c>
      <c r="E230" t="s">
        <v>2613</v>
      </c>
      <c r="F230" t="s">
        <v>2272</v>
      </c>
      <c r="G230" t="s">
        <v>2614</v>
      </c>
      <c r="H230" t="s">
        <v>3675</v>
      </c>
      <c r="I230" t="s">
        <v>3676</v>
      </c>
    </row>
    <row r="231" spans="1:9" x14ac:dyDescent="0.35">
      <c r="A231">
        <f t="shared" si="3"/>
        <v>230</v>
      </c>
      <c r="B231">
        <v>230</v>
      </c>
      <c r="C231" t="s">
        <v>2616</v>
      </c>
      <c r="D231" t="s">
        <v>263</v>
      </c>
      <c r="E231" t="s">
        <v>2617</v>
      </c>
      <c r="F231" t="s">
        <v>2618</v>
      </c>
      <c r="G231" t="s">
        <v>2619</v>
      </c>
      <c r="H231" t="s">
        <v>3677</v>
      </c>
      <c r="I231" t="s">
        <v>3678</v>
      </c>
    </row>
    <row r="232" spans="1:9" x14ac:dyDescent="0.35">
      <c r="A232">
        <f t="shared" si="3"/>
        <v>231</v>
      </c>
      <c r="B232">
        <v>231</v>
      </c>
      <c r="C232" t="s">
        <v>2621</v>
      </c>
      <c r="D232" t="s">
        <v>396</v>
      </c>
      <c r="E232" t="s">
        <v>2622</v>
      </c>
      <c r="F232" t="s">
        <v>2008</v>
      </c>
      <c r="G232" t="s">
        <v>2623</v>
      </c>
      <c r="H232" t="s">
        <v>3679</v>
      </c>
      <c r="I232" t="s">
        <v>3680</v>
      </c>
    </row>
    <row r="233" spans="1:9" x14ac:dyDescent="0.35">
      <c r="A233">
        <f t="shared" si="3"/>
        <v>232</v>
      </c>
      <c r="B233">
        <v>232</v>
      </c>
      <c r="C233" t="s">
        <v>2625</v>
      </c>
      <c r="D233" t="s">
        <v>304</v>
      </c>
      <c r="E233" t="s">
        <v>2626</v>
      </c>
      <c r="F233" t="s">
        <v>2627</v>
      </c>
      <c r="G233" t="s">
        <v>2628</v>
      </c>
      <c r="H233" t="s">
        <v>2628</v>
      </c>
      <c r="I233" t="s">
        <v>2629</v>
      </c>
    </row>
    <row r="234" spans="1:9" x14ac:dyDescent="0.35">
      <c r="A234">
        <f t="shared" si="3"/>
        <v>233</v>
      </c>
      <c r="B234">
        <v>233</v>
      </c>
      <c r="C234" t="s">
        <v>2630</v>
      </c>
      <c r="D234" t="s">
        <v>213</v>
      </c>
      <c r="E234" t="s">
        <v>2631</v>
      </c>
      <c r="F234" t="s">
        <v>1785</v>
      </c>
      <c r="G234" t="s">
        <v>2632</v>
      </c>
      <c r="H234" t="s">
        <v>3681</v>
      </c>
      <c r="I234" t="s">
        <v>3682</v>
      </c>
    </row>
    <row r="235" spans="1:9" x14ac:dyDescent="0.35">
      <c r="A235">
        <f t="shared" si="3"/>
        <v>234</v>
      </c>
      <c r="B235">
        <v>234</v>
      </c>
      <c r="C235" t="s">
        <v>2634</v>
      </c>
      <c r="D235" t="s">
        <v>259</v>
      </c>
      <c r="E235" t="s">
        <v>2635</v>
      </c>
      <c r="F235" t="s">
        <v>2186</v>
      </c>
      <c r="G235" t="s">
        <v>2636</v>
      </c>
      <c r="H235" t="s">
        <v>3683</v>
      </c>
      <c r="I235" t="s">
        <v>3684</v>
      </c>
    </row>
    <row r="236" spans="1:9" x14ac:dyDescent="0.35">
      <c r="A236">
        <f t="shared" si="3"/>
        <v>235</v>
      </c>
      <c r="B236">
        <v>235</v>
      </c>
      <c r="C236" t="s">
        <v>2638</v>
      </c>
      <c r="D236" t="s">
        <v>401</v>
      </c>
      <c r="E236" t="s">
        <v>2639</v>
      </c>
      <c r="F236" t="s">
        <v>2640</v>
      </c>
      <c r="G236" t="s">
        <v>2641</v>
      </c>
      <c r="H236" t="s">
        <v>2642</v>
      </c>
      <c r="I236" t="s">
        <v>2643</v>
      </c>
    </row>
    <row r="237" spans="1:9" x14ac:dyDescent="0.35">
      <c r="A237">
        <f t="shared" si="3"/>
        <v>236</v>
      </c>
      <c r="B237">
        <v>236</v>
      </c>
      <c r="C237" t="s">
        <v>2644</v>
      </c>
      <c r="D237" t="s">
        <v>403</v>
      </c>
      <c r="E237" t="s">
        <v>2645</v>
      </c>
      <c r="F237" t="s">
        <v>2092</v>
      </c>
      <c r="G237" t="s">
        <v>2646</v>
      </c>
      <c r="H237" t="s">
        <v>2646</v>
      </c>
      <c r="I237" t="s">
        <v>2647</v>
      </c>
    </row>
    <row r="238" spans="1:9" x14ac:dyDescent="0.35">
      <c r="A238">
        <f t="shared" si="3"/>
        <v>237</v>
      </c>
      <c r="B238">
        <v>237</v>
      </c>
      <c r="C238" t="s">
        <v>2648</v>
      </c>
      <c r="D238" t="s">
        <v>405</v>
      </c>
      <c r="E238" t="s">
        <v>2649</v>
      </c>
      <c r="F238" t="s">
        <v>2558</v>
      </c>
      <c r="G238" t="s">
        <v>2650</v>
      </c>
      <c r="H238" t="s">
        <v>2650</v>
      </c>
      <c r="I238" t="s">
        <v>2651</v>
      </c>
    </row>
    <row r="239" spans="1:9" x14ac:dyDescent="0.35">
      <c r="A239">
        <f t="shared" si="3"/>
        <v>238</v>
      </c>
      <c r="B239">
        <v>238</v>
      </c>
      <c r="C239" t="s">
        <v>2652</v>
      </c>
      <c r="D239" t="s">
        <v>407</v>
      </c>
      <c r="E239" t="s">
        <v>2653</v>
      </c>
      <c r="F239" t="s">
        <v>1686</v>
      </c>
      <c r="G239" t="s">
        <v>2654</v>
      </c>
      <c r="H239" t="s">
        <v>2654</v>
      </c>
      <c r="I239" t="s">
        <v>2655</v>
      </c>
    </row>
    <row r="240" spans="1:9" x14ac:dyDescent="0.35">
      <c r="A240">
        <f t="shared" si="3"/>
        <v>239</v>
      </c>
      <c r="B240">
        <v>239</v>
      </c>
      <c r="C240" t="s">
        <v>2656</v>
      </c>
      <c r="D240" t="s">
        <v>409</v>
      </c>
      <c r="E240" t="s">
        <v>2657</v>
      </c>
      <c r="F240" t="s">
        <v>2627</v>
      </c>
      <c r="G240" t="s">
        <v>2658</v>
      </c>
      <c r="H240" t="s">
        <v>2658</v>
      </c>
      <c r="I240" t="s">
        <v>2659</v>
      </c>
    </row>
    <row r="241" spans="1:9" x14ac:dyDescent="0.35">
      <c r="A241">
        <f t="shared" si="3"/>
        <v>240</v>
      </c>
      <c r="B241">
        <v>240</v>
      </c>
      <c r="C241" t="s">
        <v>2660</v>
      </c>
      <c r="D241" t="s">
        <v>411</v>
      </c>
      <c r="E241" t="s">
        <v>2661</v>
      </c>
      <c r="F241" t="s">
        <v>1799</v>
      </c>
      <c r="G241" t="s">
        <v>2662</v>
      </c>
      <c r="H241" t="s">
        <v>2663</v>
      </c>
      <c r="I241" t="s">
        <v>2664</v>
      </c>
    </row>
    <row r="242" spans="1:9" x14ac:dyDescent="0.35">
      <c r="A242">
        <f t="shared" si="3"/>
        <v>241</v>
      </c>
      <c r="B242">
        <v>241</v>
      </c>
      <c r="C242" t="s">
        <v>2665</v>
      </c>
      <c r="D242" t="s">
        <v>413</v>
      </c>
      <c r="E242" t="s">
        <v>2666</v>
      </c>
      <c r="F242" t="s">
        <v>1730</v>
      </c>
      <c r="G242" t="s">
        <v>2667</v>
      </c>
      <c r="H242" t="s">
        <v>2667</v>
      </c>
      <c r="I242" t="s">
        <v>2668</v>
      </c>
    </row>
    <row r="243" spans="1:9" x14ac:dyDescent="0.35">
      <c r="A243">
        <f t="shared" si="3"/>
        <v>242</v>
      </c>
      <c r="B243">
        <v>242</v>
      </c>
      <c r="C243" t="s">
        <v>2669</v>
      </c>
      <c r="D243" t="s">
        <v>133</v>
      </c>
      <c r="E243" t="s">
        <v>2670</v>
      </c>
      <c r="F243" t="s">
        <v>2092</v>
      </c>
      <c r="G243" t="s">
        <v>2671</v>
      </c>
      <c r="H243" t="s">
        <v>2671</v>
      </c>
      <c r="I243" t="s">
        <v>2672</v>
      </c>
    </row>
    <row r="244" spans="1:9" x14ac:dyDescent="0.35">
      <c r="A244">
        <f t="shared" si="3"/>
        <v>243</v>
      </c>
      <c r="B244">
        <v>243</v>
      </c>
      <c r="C244" t="s">
        <v>2673</v>
      </c>
      <c r="D244" t="s">
        <v>382</v>
      </c>
      <c r="E244" t="s">
        <v>2674</v>
      </c>
      <c r="F244" t="s">
        <v>1607</v>
      </c>
      <c r="G244" t="s">
        <v>2675</v>
      </c>
      <c r="H244" t="s">
        <v>2675</v>
      </c>
      <c r="I244" t="s">
        <v>2676</v>
      </c>
    </row>
    <row r="245" spans="1:9" x14ac:dyDescent="0.35">
      <c r="A245">
        <f t="shared" si="3"/>
        <v>244</v>
      </c>
      <c r="B245">
        <v>244</v>
      </c>
      <c r="C245" t="s">
        <v>2677</v>
      </c>
      <c r="D245" t="s">
        <v>417</v>
      </c>
      <c r="E245" t="s">
        <v>2678</v>
      </c>
      <c r="F245" t="s">
        <v>2679</v>
      </c>
      <c r="G245" t="s">
        <v>2680</v>
      </c>
      <c r="H245" t="s">
        <v>2680</v>
      </c>
      <c r="I245" t="s">
        <v>2681</v>
      </c>
    </row>
    <row r="246" spans="1:9" x14ac:dyDescent="0.35">
      <c r="A246">
        <f t="shared" si="3"/>
        <v>245</v>
      </c>
      <c r="B246">
        <v>245</v>
      </c>
      <c r="C246" t="s">
        <v>2682</v>
      </c>
      <c r="D246" t="s">
        <v>419</v>
      </c>
      <c r="E246" t="s">
        <v>2683</v>
      </c>
      <c r="F246" t="s">
        <v>2684</v>
      </c>
      <c r="G246" t="s">
        <v>2685</v>
      </c>
      <c r="H246" t="s">
        <v>2686</v>
      </c>
      <c r="I246" t="s">
        <v>2687</v>
      </c>
    </row>
    <row r="247" spans="1:9" x14ac:dyDescent="0.35">
      <c r="A247">
        <f t="shared" si="3"/>
        <v>246</v>
      </c>
      <c r="B247">
        <v>246</v>
      </c>
      <c r="C247" t="s">
        <v>2688</v>
      </c>
      <c r="D247" t="s">
        <v>421</v>
      </c>
      <c r="E247" t="s">
        <v>2689</v>
      </c>
      <c r="F247" t="s">
        <v>2690</v>
      </c>
      <c r="G247" t="s">
        <v>2691</v>
      </c>
      <c r="H247" t="s">
        <v>2691</v>
      </c>
      <c r="I247" t="s">
        <v>2692</v>
      </c>
    </row>
    <row r="248" spans="1:9" x14ac:dyDescent="0.35">
      <c r="A248">
        <f t="shared" si="3"/>
        <v>247</v>
      </c>
      <c r="B248">
        <v>247</v>
      </c>
      <c r="C248" t="s">
        <v>2693</v>
      </c>
      <c r="D248" t="s">
        <v>379</v>
      </c>
      <c r="E248" t="s">
        <v>2694</v>
      </c>
      <c r="F248" t="s">
        <v>2082</v>
      </c>
      <c r="G248" t="s">
        <v>2695</v>
      </c>
      <c r="H248" t="s">
        <v>2695</v>
      </c>
      <c r="I248" t="s">
        <v>2696</v>
      </c>
    </row>
    <row r="249" spans="1:9" x14ac:dyDescent="0.35">
      <c r="A249">
        <f t="shared" si="3"/>
        <v>248</v>
      </c>
      <c r="B249">
        <v>248</v>
      </c>
      <c r="C249" t="s">
        <v>2697</v>
      </c>
      <c r="D249" t="s">
        <v>411</v>
      </c>
      <c r="E249" t="s">
        <v>2698</v>
      </c>
      <c r="F249" t="s">
        <v>1613</v>
      </c>
      <c r="G249" t="s">
        <v>2699</v>
      </c>
      <c r="H249" t="s">
        <v>2700</v>
      </c>
      <c r="I249" t="s">
        <v>2701</v>
      </c>
    </row>
    <row r="250" spans="1:9" x14ac:dyDescent="0.35">
      <c r="A250">
        <f t="shared" si="3"/>
        <v>249</v>
      </c>
      <c r="B250">
        <v>249</v>
      </c>
      <c r="C250" t="s">
        <v>2702</v>
      </c>
      <c r="D250" t="s">
        <v>133</v>
      </c>
      <c r="E250" t="s">
        <v>2703</v>
      </c>
      <c r="F250" t="s">
        <v>2335</v>
      </c>
      <c r="G250" t="s">
        <v>2704</v>
      </c>
      <c r="H250" t="s">
        <v>2704</v>
      </c>
      <c r="I250" t="s">
        <v>2705</v>
      </c>
    </row>
    <row r="251" spans="1:9" x14ac:dyDescent="0.35">
      <c r="A251">
        <f t="shared" si="3"/>
        <v>250</v>
      </c>
      <c r="B251">
        <v>250</v>
      </c>
      <c r="C251" t="s">
        <v>2706</v>
      </c>
      <c r="D251" t="s">
        <v>426</v>
      </c>
      <c r="E251" t="s">
        <v>2707</v>
      </c>
      <c r="F251" t="s">
        <v>1809</v>
      </c>
      <c r="G251" t="s">
        <v>2707</v>
      </c>
      <c r="H251" t="s">
        <v>2707</v>
      </c>
      <c r="I251" t="s">
        <v>2708</v>
      </c>
    </row>
    <row r="252" spans="1:9" x14ac:dyDescent="0.35">
      <c r="A252">
        <f t="shared" si="3"/>
        <v>251</v>
      </c>
      <c r="B252">
        <v>251</v>
      </c>
      <c r="C252" t="s">
        <v>2709</v>
      </c>
      <c r="D252" t="s">
        <v>428</v>
      </c>
      <c r="E252" t="s">
        <v>2710</v>
      </c>
      <c r="F252" t="s">
        <v>2092</v>
      </c>
      <c r="G252" t="s">
        <v>2711</v>
      </c>
      <c r="H252" t="s">
        <v>2711</v>
      </c>
      <c r="I252" t="s">
        <v>2712</v>
      </c>
    </row>
    <row r="253" spans="1:9" x14ac:dyDescent="0.35">
      <c r="A253">
        <f t="shared" si="3"/>
        <v>252</v>
      </c>
      <c r="B253">
        <v>252</v>
      </c>
      <c r="C253" t="s">
        <v>2713</v>
      </c>
      <c r="D253" t="s">
        <v>137</v>
      </c>
      <c r="E253" t="s">
        <v>2714</v>
      </c>
      <c r="F253" t="s">
        <v>1999</v>
      </c>
      <c r="G253" t="s">
        <v>2715</v>
      </c>
      <c r="H253" t="s">
        <v>2715</v>
      </c>
      <c r="I253" t="s">
        <v>2716</v>
      </c>
    </row>
    <row r="254" spans="1:9" x14ac:dyDescent="0.35">
      <c r="A254">
        <f t="shared" si="3"/>
        <v>253</v>
      </c>
      <c r="B254">
        <v>253</v>
      </c>
      <c r="C254" t="s">
        <v>2717</v>
      </c>
      <c r="D254" t="s">
        <v>431</v>
      </c>
      <c r="E254" t="s">
        <v>2718</v>
      </c>
      <c r="F254" t="s">
        <v>1799</v>
      </c>
      <c r="G254" t="s">
        <v>2719</v>
      </c>
      <c r="H254" t="s">
        <v>2719</v>
      </c>
      <c r="I254" t="s">
        <v>2720</v>
      </c>
    </row>
    <row r="255" spans="1:9" x14ac:dyDescent="0.35">
      <c r="A255">
        <f t="shared" si="3"/>
        <v>254</v>
      </c>
      <c r="B255">
        <v>254</v>
      </c>
      <c r="C255" t="s">
        <v>2721</v>
      </c>
      <c r="D255" t="s">
        <v>433</v>
      </c>
      <c r="E255" t="s">
        <v>2722</v>
      </c>
      <c r="F255" t="s">
        <v>2177</v>
      </c>
      <c r="G255" t="s">
        <v>2723</v>
      </c>
      <c r="H255" t="s">
        <v>2723</v>
      </c>
      <c r="I255" t="s">
        <v>2724</v>
      </c>
    </row>
    <row r="256" spans="1:9" x14ac:dyDescent="0.35">
      <c r="A256">
        <f t="shared" si="3"/>
        <v>255</v>
      </c>
      <c r="B256">
        <v>255</v>
      </c>
      <c r="C256" t="s">
        <v>2725</v>
      </c>
      <c r="D256" t="s">
        <v>435</v>
      </c>
      <c r="E256" t="s">
        <v>2726</v>
      </c>
      <c r="F256" t="s">
        <v>1758</v>
      </c>
      <c r="G256" t="s">
        <v>2727</v>
      </c>
      <c r="H256" t="s">
        <v>2727</v>
      </c>
      <c r="I256" t="s">
        <v>2728</v>
      </c>
    </row>
    <row r="257" spans="1:9" x14ac:dyDescent="0.35">
      <c r="A257">
        <f t="shared" si="3"/>
        <v>256</v>
      </c>
      <c r="B257">
        <v>256</v>
      </c>
      <c r="C257" t="s">
        <v>2729</v>
      </c>
      <c r="D257" t="s">
        <v>437</v>
      </c>
      <c r="E257" t="s">
        <v>2730</v>
      </c>
      <c r="F257" t="s">
        <v>1629</v>
      </c>
      <c r="G257" t="s">
        <v>2731</v>
      </c>
      <c r="H257" t="s">
        <v>2731</v>
      </c>
      <c r="I257" t="s">
        <v>2732</v>
      </c>
    </row>
    <row r="258" spans="1:9" x14ac:dyDescent="0.35">
      <c r="A258">
        <f t="shared" si="3"/>
        <v>257</v>
      </c>
      <c r="B258">
        <v>257</v>
      </c>
      <c r="C258" t="s">
        <v>2733</v>
      </c>
      <c r="D258" t="s">
        <v>91</v>
      </c>
      <c r="E258" t="s">
        <v>2734</v>
      </c>
      <c r="F258" t="s">
        <v>2335</v>
      </c>
      <c r="G258" t="s">
        <v>2735</v>
      </c>
      <c r="H258" t="s">
        <v>2735</v>
      </c>
      <c r="I258" t="s">
        <v>2736</v>
      </c>
    </row>
    <row r="259" spans="1:9" x14ac:dyDescent="0.35">
      <c r="A259">
        <f t="shared" si="3"/>
        <v>258</v>
      </c>
      <c r="B259">
        <v>258</v>
      </c>
      <c r="C259" t="s">
        <v>2737</v>
      </c>
      <c r="D259" t="s">
        <v>440</v>
      </c>
      <c r="E259" t="s">
        <v>2738</v>
      </c>
      <c r="F259" t="s">
        <v>1674</v>
      </c>
      <c r="G259" t="s">
        <v>2739</v>
      </c>
      <c r="H259" t="s">
        <v>2739</v>
      </c>
      <c r="I259" t="s">
        <v>2740</v>
      </c>
    </row>
    <row r="260" spans="1:9" x14ac:dyDescent="0.35">
      <c r="A260">
        <f t="shared" ref="A260:A323" si="4">SUM(A259+1)</f>
        <v>259</v>
      </c>
      <c r="B260">
        <v>259</v>
      </c>
      <c r="C260" t="s">
        <v>2741</v>
      </c>
      <c r="D260" t="s">
        <v>442</v>
      </c>
      <c r="E260" t="s">
        <v>2742</v>
      </c>
      <c r="F260" t="s">
        <v>2743</v>
      </c>
      <c r="G260" t="s">
        <v>2744</v>
      </c>
      <c r="H260" t="s">
        <v>2744</v>
      </c>
      <c r="I260" t="s">
        <v>2745</v>
      </c>
    </row>
    <row r="261" spans="1:9" x14ac:dyDescent="0.35">
      <c r="A261">
        <f t="shared" si="4"/>
        <v>260</v>
      </c>
      <c r="B261">
        <v>260</v>
      </c>
      <c r="C261" t="s">
        <v>2746</v>
      </c>
      <c r="D261" t="s">
        <v>442</v>
      </c>
      <c r="E261" t="s">
        <v>2747</v>
      </c>
      <c r="F261" t="s">
        <v>2748</v>
      </c>
      <c r="G261" t="s">
        <v>2749</v>
      </c>
      <c r="H261" t="s">
        <v>2749</v>
      </c>
      <c r="I261" t="s">
        <v>2750</v>
      </c>
    </row>
    <row r="262" spans="1:9" x14ac:dyDescent="0.35">
      <c r="A262">
        <f t="shared" si="4"/>
        <v>261</v>
      </c>
      <c r="B262">
        <v>261</v>
      </c>
      <c r="C262" t="s">
        <v>2751</v>
      </c>
      <c r="D262" t="s">
        <v>445</v>
      </c>
      <c r="E262" t="s">
        <v>2752</v>
      </c>
      <c r="F262" t="s">
        <v>1680</v>
      </c>
      <c r="G262" t="s">
        <v>2753</v>
      </c>
      <c r="H262" t="s">
        <v>2754</v>
      </c>
      <c r="I262" t="s">
        <v>2755</v>
      </c>
    </row>
    <row r="263" spans="1:9" x14ac:dyDescent="0.35">
      <c r="A263">
        <f t="shared" si="4"/>
        <v>262</v>
      </c>
      <c r="B263">
        <v>262</v>
      </c>
      <c r="C263" t="s">
        <v>2756</v>
      </c>
      <c r="D263" t="s">
        <v>447</v>
      </c>
      <c r="E263" t="s">
        <v>2757</v>
      </c>
      <c r="F263" t="s">
        <v>2609</v>
      </c>
      <c r="G263" t="s">
        <v>2758</v>
      </c>
      <c r="H263" t="s">
        <v>2758</v>
      </c>
      <c r="I263" t="s">
        <v>2759</v>
      </c>
    </row>
    <row r="264" spans="1:9" x14ac:dyDescent="0.35">
      <c r="A264">
        <f t="shared" si="4"/>
        <v>263</v>
      </c>
      <c r="B264">
        <v>263</v>
      </c>
      <c r="C264" t="s">
        <v>2760</v>
      </c>
      <c r="D264" t="s">
        <v>449</v>
      </c>
      <c r="E264" t="s">
        <v>2761</v>
      </c>
      <c r="F264" t="s">
        <v>2553</v>
      </c>
      <c r="G264" t="s">
        <v>2762</v>
      </c>
      <c r="H264" t="s">
        <v>2762</v>
      </c>
      <c r="I264" t="s">
        <v>2763</v>
      </c>
    </row>
    <row r="265" spans="1:9" x14ac:dyDescent="0.35">
      <c r="A265">
        <f t="shared" si="4"/>
        <v>264</v>
      </c>
      <c r="B265">
        <v>264</v>
      </c>
      <c r="C265" t="s">
        <v>2764</v>
      </c>
      <c r="D265" t="s">
        <v>451</v>
      </c>
      <c r="E265" t="s">
        <v>2765</v>
      </c>
      <c r="F265" t="s">
        <v>2069</v>
      </c>
      <c r="G265" t="s">
        <v>2766</v>
      </c>
      <c r="H265" t="s">
        <v>2766</v>
      </c>
      <c r="I265" t="s">
        <v>2767</v>
      </c>
    </row>
    <row r="266" spans="1:9" x14ac:dyDescent="0.35">
      <c r="A266">
        <f t="shared" si="4"/>
        <v>265</v>
      </c>
      <c r="B266">
        <v>265</v>
      </c>
      <c r="C266" t="s">
        <v>2768</v>
      </c>
      <c r="D266" t="s">
        <v>102</v>
      </c>
      <c r="E266" t="s">
        <v>2769</v>
      </c>
      <c r="F266" t="s">
        <v>2558</v>
      </c>
      <c r="G266" t="s">
        <v>2770</v>
      </c>
      <c r="H266" t="s">
        <v>3685</v>
      </c>
      <c r="I266" t="s">
        <v>3686</v>
      </c>
    </row>
    <row r="267" spans="1:9" x14ac:dyDescent="0.35">
      <c r="A267">
        <f t="shared" si="4"/>
        <v>266</v>
      </c>
      <c r="B267">
        <v>266</v>
      </c>
      <c r="C267" t="s">
        <v>2772</v>
      </c>
      <c r="D267" t="s">
        <v>454</v>
      </c>
      <c r="E267" t="s">
        <v>2773</v>
      </c>
      <c r="F267" t="s">
        <v>2558</v>
      </c>
      <c r="G267" t="s">
        <v>2774</v>
      </c>
      <c r="H267" t="s">
        <v>2774</v>
      </c>
      <c r="I267" t="s">
        <v>2775</v>
      </c>
    </row>
    <row r="268" spans="1:9" x14ac:dyDescent="0.35">
      <c r="A268">
        <f t="shared" si="4"/>
        <v>267</v>
      </c>
      <c r="B268">
        <v>267</v>
      </c>
      <c r="C268" t="s">
        <v>2776</v>
      </c>
      <c r="D268" t="s">
        <v>456</v>
      </c>
      <c r="E268" t="s">
        <v>2777</v>
      </c>
      <c r="F268" t="s">
        <v>2074</v>
      </c>
      <c r="G268" t="s">
        <v>2778</v>
      </c>
      <c r="H268" t="s">
        <v>2778</v>
      </c>
      <c r="I268" t="s">
        <v>2779</v>
      </c>
    </row>
    <row r="269" spans="1:9" x14ac:dyDescent="0.35">
      <c r="A269">
        <f t="shared" si="4"/>
        <v>268</v>
      </c>
      <c r="B269">
        <v>268</v>
      </c>
      <c r="C269" t="s">
        <v>2780</v>
      </c>
      <c r="D269" t="s">
        <v>458</v>
      </c>
      <c r="E269" t="s">
        <v>2781</v>
      </c>
      <c r="F269" t="s">
        <v>2782</v>
      </c>
      <c r="G269" t="s">
        <v>2783</v>
      </c>
      <c r="H269" t="s">
        <v>2784</v>
      </c>
      <c r="I269" t="s">
        <v>2785</v>
      </c>
    </row>
    <row r="270" spans="1:9" x14ac:dyDescent="0.35">
      <c r="A270">
        <f t="shared" si="4"/>
        <v>269</v>
      </c>
      <c r="B270">
        <v>269</v>
      </c>
      <c r="C270" t="s">
        <v>2786</v>
      </c>
      <c r="D270" t="s">
        <v>460</v>
      </c>
      <c r="E270" t="s">
        <v>2787</v>
      </c>
      <c r="F270" t="s">
        <v>1692</v>
      </c>
      <c r="G270" t="s">
        <v>2788</v>
      </c>
      <c r="H270" t="s">
        <v>2788</v>
      </c>
      <c r="I270" t="s">
        <v>2789</v>
      </c>
    </row>
    <row r="271" spans="1:9" x14ac:dyDescent="0.35">
      <c r="A271">
        <f t="shared" si="4"/>
        <v>270</v>
      </c>
      <c r="B271">
        <v>270</v>
      </c>
      <c r="C271" t="s">
        <v>2790</v>
      </c>
      <c r="D271" t="s">
        <v>442</v>
      </c>
      <c r="E271" t="s">
        <v>2791</v>
      </c>
      <c r="F271" t="s">
        <v>2782</v>
      </c>
      <c r="G271" t="s">
        <v>2792</v>
      </c>
      <c r="H271" t="s">
        <v>2792</v>
      </c>
      <c r="I271" t="s">
        <v>2793</v>
      </c>
    </row>
    <row r="272" spans="1:9" x14ac:dyDescent="0.35">
      <c r="A272">
        <f t="shared" si="4"/>
        <v>271</v>
      </c>
      <c r="B272">
        <v>271</v>
      </c>
      <c r="C272" t="s">
        <v>2794</v>
      </c>
      <c r="D272" t="s">
        <v>463</v>
      </c>
      <c r="E272" t="s">
        <v>2795</v>
      </c>
      <c r="F272" t="s">
        <v>2796</v>
      </c>
      <c r="G272" t="s">
        <v>2797</v>
      </c>
      <c r="H272" t="s">
        <v>2797</v>
      </c>
      <c r="I272" t="s">
        <v>2798</v>
      </c>
    </row>
    <row r="273" spans="1:9" x14ac:dyDescent="0.35">
      <c r="A273">
        <f t="shared" si="4"/>
        <v>272</v>
      </c>
      <c r="B273">
        <v>272</v>
      </c>
      <c r="C273" t="s">
        <v>2799</v>
      </c>
      <c r="D273" t="s">
        <v>463</v>
      </c>
      <c r="E273" t="s">
        <v>2800</v>
      </c>
      <c r="F273" t="s">
        <v>2558</v>
      </c>
      <c r="G273" t="s">
        <v>2801</v>
      </c>
      <c r="H273" t="s">
        <v>2802</v>
      </c>
      <c r="I273" t="s">
        <v>2803</v>
      </c>
    </row>
    <row r="274" spans="1:9" x14ac:dyDescent="0.35">
      <c r="A274">
        <f t="shared" si="4"/>
        <v>273</v>
      </c>
      <c r="B274">
        <v>273</v>
      </c>
      <c r="C274" t="s">
        <v>2804</v>
      </c>
      <c r="D274" t="s">
        <v>379</v>
      </c>
      <c r="E274" t="s">
        <v>2805</v>
      </c>
      <c r="F274" t="s">
        <v>2806</v>
      </c>
      <c r="G274" t="s">
        <v>2807</v>
      </c>
      <c r="H274" t="s">
        <v>2807</v>
      </c>
      <c r="I274" t="s">
        <v>2808</v>
      </c>
    </row>
    <row r="275" spans="1:9" x14ac:dyDescent="0.35">
      <c r="A275">
        <f t="shared" si="4"/>
        <v>274</v>
      </c>
      <c r="B275">
        <v>274</v>
      </c>
      <c r="C275" t="s">
        <v>2809</v>
      </c>
      <c r="D275" t="s">
        <v>467</v>
      </c>
      <c r="E275" t="s">
        <v>2810</v>
      </c>
      <c r="F275" t="s">
        <v>1893</v>
      </c>
      <c r="G275" t="s">
        <v>2811</v>
      </c>
      <c r="H275" t="s">
        <v>2812</v>
      </c>
      <c r="I275" t="s">
        <v>2813</v>
      </c>
    </row>
    <row r="276" spans="1:9" x14ac:dyDescent="0.35">
      <c r="A276">
        <f t="shared" si="4"/>
        <v>275</v>
      </c>
      <c r="B276">
        <v>275</v>
      </c>
      <c r="C276" t="s">
        <v>2814</v>
      </c>
      <c r="D276" t="s">
        <v>467</v>
      </c>
      <c r="E276" t="s">
        <v>2815</v>
      </c>
      <c r="F276" t="s">
        <v>1884</v>
      </c>
      <c r="G276" t="s">
        <v>2816</v>
      </c>
      <c r="H276" t="s">
        <v>2817</v>
      </c>
      <c r="I276" t="s">
        <v>2818</v>
      </c>
    </row>
    <row r="277" spans="1:9" x14ac:dyDescent="0.35">
      <c r="A277">
        <f t="shared" si="4"/>
        <v>276</v>
      </c>
      <c r="B277">
        <v>276</v>
      </c>
      <c r="C277" t="s">
        <v>2819</v>
      </c>
      <c r="D277" t="s">
        <v>470</v>
      </c>
      <c r="E277" t="s">
        <v>2820</v>
      </c>
      <c r="F277" t="s">
        <v>2609</v>
      </c>
      <c r="G277" t="s">
        <v>2821</v>
      </c>
      <c r="H277" t="s">
        <v>3687</v>
      </c>
      <c r="I277" t="s">
        <v>3688</v>
      </c>
    </row>
    <row r="278" spans="1:9" x14ac:dyDescent="0.35">
      <c r="A278">
        <f t="shared" si="4"/>
        <v>277</v>
      </c>
      <c r="B278">
        <v>277</v>
      </c>
      <c r="C278" t="s">
        <v>2824</v>
      </c>
      <c r="D278" t="s">
        <v>472</v>
      </c>
      <c r="E278" t="s">
        <v>2825</v>
      </c>
      <c r="F278" t="s">
        <v>2253</v>
      </c>
      <c r="G278" t="s">
        <v>2826</v>
      </c>
      <c r="H278" t="s">
        <v>2826</v>
      </c>
      <c r="I278" t="s">
        <v>2827</v>
      </c>
    </row>
    <row r="279" spans="1:9" x14ac:dyDescent="0.35">
      <c r="A279">
        <f t="shared" si="4"/>
        <v>278</v>
      </c>
      <c r="B279">
        <v>278</v>
      </c>
      <c r="C279" t="s">
        <v>2828</v>
      </c>
      <c r="D279" t="s">
        <v>442</v>
      </c>
      <c r="E279" t="s">
        <v>2829</v>
      </c>
      <c r="F279" t="s">
        <v>2599</v>
      </c>
      <c r="G279" t="s">
        <v>2830</v>
      </c>
      <c r="H279" t="s">
        <v>2830</v>
      </c>
      <c r="I279" t="s">
        <v>2831</v>
      </c>
    </row>
    <row r="280" spans="1:9" x14ac:dyDescent="0.35">
      <c r="A280">
        <f t="shared" si="4"/>
        <v>279</v>
      </c>
      <c r="B280">
        <v>279</v>
      </c>
      <c r="C280" t="s">
        <v>2832</v>
      </c>
      <c r="D280" t="s">
        <v>475</v>
      </c>
      <c r="E280" t="s">
        <v>2833</v>
      </c>
      <c r="F280" t="s">
        <v>2229</v>
      </c>
      <c r="G280" t="s">
        <v>2834</v>
      </c>
      <c r="H280" t="s">
        <v>2834</v>
      </c>
      <c r="I280" t="s">
        <v>2835</v>
      </c>
    </row>
    <row r="281" spans="1:9" x14ac:dyDescent="0.35">
      <c r="A281">
        <f t="shared" si="4"/>
        <v>280</v>
      </c>
      <c r="B281">
        <v>280</v>
      </c>
      <c r="C281" t="s">
        <v>2836</v>
      </c>
      <c r="D281" t="s">
        <v>477</v>
      </c>
      <c r="E281" t="s">
        <v>2837</v>
      </c>
      <c r="F281" t="s">
        <v>2164</v>
      </c>
      <c r="G281" t="s">
        <v>2838</v>
      </c>
      <c r="H281" t="s">
        <v>2838</v>
      </c>
      <c r="I281" t="s">
        <v>2839</v>
      </c>
    </row>
    <row r="282" spans="1:9" x14ac:dyDescent="0.35">
      <c r="A282">
        <f t="shared" si="4"/>
        <v>281</v>
      </c>
      <c r="B282">
        <v>281</v>
      </c>
      <c r="C282" t="s">
        <v>2840</v>
      </c>
      <c r="D282" t="s">
        <v>445</v>
      </c>
      <c r="E282" t="s">
        <v>2841</v>
      </c>
      <c r="F282" t="s">
        <v>2052</v>
      </c>
      <c r="G282" t="s">
        <v>2842</v>
      </c>
      <c r="H282" t="s">
        <v>2842</v>
      </c>
      <c r="I282" t="s">
        <v>2843</v>
      </c>
    </row>
    <row r="283" spans="1:9" x14ac:dyDescent="0.35">
      <c r="A283">
        <f t="shared" si="4"/>
        <v>282</v>
      </c>
      <c r="B283">
        <v>282</v>
      </c>
      <c r="C283" t="s">
        <v>2844</v>
      </c>
      <c r="D283" t="s">
        <v>480</v>
      </c>
      <c r="E283" t="s">
        <v>2845</v>
      </c>
      <c r="F283" t="s">
        <v>1596</v>
      </c>
      <c r="G283" t="s">
        <v>2845</v>
      </c>
      <c r="H283" t="s">
        <v>2845</v>
      </c>
      <c r="I283" t="s">
        <v>2846</v>
      </c>
    </row>
    <row r="284" spans="1:9" x14ac:dyDescent="0.35">
      <c r="A284">
        <f t="shared" si="4"/>
        <v>283</v>
      </c>
      <c r="B284">
        <v>283</v>
      </c>
      <c r="C284" t="s">
        <v>2847</v>
      </c>
      <c r="D284" t="s">
        <v>482</v>
      </c>
      <c r="E284" t="s">
        <v>2848</v>
      </c>
      <c r="F284" t="s">
        <v>2599</v>
      </c>
      <c r="G284" t="s">
        <v>2849</v>
      </c>
      <c r="H284" t="s">
        <v>2850</v>
      </c>
      <c r="I284" t="s">
        <v>2851</v>
      </c>
    </row>
    <row r="285" spans="1:9" x14ac:dyDescent="0.35">
      <c r="A285">
        <f t="shared" si="4"/>
        <v>284</v>
      </c>
      <c r="B285">
        <v>284</v>
      </c>
      <c r="C285" t="s">
        <v>2852</v>
      </c>
      <c r="D285" t="s">
        <v>484</v>
      </c>
      <c r="E285" t="s">
        <v>2853</v>
      </c>
      <c r="F285" t="s">
        <v>2348</v>
      </c>
      <c r="G285" t="s">
        <v>2854</v>
      </c>
      <c r="H285" t="s">
        <v>2854</v>
      </c>
      <c r="I285" t="s">
        <v>2855</v>
      </c>
    </row>
    <row r="286" spans="1:9" x14ac:dyDescent="0.35">
      <c r="A286">
        <f t="shared" si="4"/>
        <v>285</v>
      </c>
      <c r="B286">
        <v>285</v>
      </c>
      <c r="C286" t="s">
        <v>2856</v>
      </c>
      <c r="D286" t="s">
        <v>486</v>
      </c>
      <c r="E286" t="s">
        <v>2857</v>
      </c>
      <c r="F286" t="s">
        <v>1888</v>
      </c>
      <c r="G286" t="s">
        <v>2858</v>
      </c>
      <c r="H286" t="s">
        <v>2858</v>
      </c>
      <c r="I286" t="s">
        <v>2859</v>
      </c>
    </row>
    <row r="287" spans="1:9" x14ac:dyDescent="0.35">
      <c r="A287">
        <f t="shared" si="4"/>
        <v>286</v>
      </c>
      <c r="B287">
        <v>286</v>
      </c>
      <c r="C287" t="s">
        <v>2860</v>
      </c>
      <c r="D287" t="s">
        <v>488</v>
      </c>
      <c r="E287" t="s">
        <v>2861</v>
      </c>
      <c r="F287" t="s">
        <v>2862</v>
      </c>
      <c r="G287" t="s">
        <v>2863</v>
      </c>
      <c r="H287" t="s">
        <v>2863</v>
      </c>
      <c r="I287" t="s">
        <v>2864</v>
      </c>
    </row>
    <row r="288" spans="1:9" x14ac:dyDescent="0.35">
      <c r="A288">
        <f t="shared" si="4"/>
        <v>287</v>
      </c>
      <c r="B288">
        <v>287</v>
      </c>
      <c r="C288" t="s">
        <v>2865</v>
      </c>
      <c r="D288" t="s">
        <v>490</v>
      </c>
      <c r="E288" t="s">
        <v>2866</v>
      </c>
      <c r="F288" t="s">
        <v>2867</v>
      </c>
      <c r="G288" t="s">
        <v>2868</v>
      </c>
      <c r="H288" t="s">
        <v>3689</v>
      </c>
      <c r="I288" t="s">
        <v>3690</v>
      </c>
    </row>
    <row r="289" spans="1:9" x14ac:dyDescent="0.35">
      <c r="A289">
        <f t="shared" si="4"/>
        <v>288</v>
      </c>
      <c r="B289">
        <v>288</v>
      </c>
      <c r="C289" t="s">
        <v>2871</v>
      </c>
      <c r="D289" t="s">
        <v>492</v>
      </c>
      <c r="E289" t="s">
        <v>2872</v>
      </c>
      <c r="F289" t="s">
        <v>1669</v>
      </c>
      <c r="G289" t="s">
        <v>2873</v>
      </c>
      <c r="H289" t="s">
        <v>2874</v>
      </c>
      <c r="I289" t="s">
        <v>2875</v>
      </c>
    </row>
    <row r="290" spans="1:9" x14ac:dyDescent="0.35">
      <c r="A290">
        <f t="shared" si="4"/>
        <v>289</v>
      </c>
      <c r="B290">
        <v>289</v>
      </c>
      <c r="C290" t="s">
        <v>2876</v>
      </c>
      <c r="D290" t="s">
        <v>494</v>
      </c>
      <c r="E290" t="s">
        <v>2877</v>
      </c>
      <c r="F290" t="s">
        <v>2878</v>
      </c>
      <c r="G290" t="s">
        <v>2879</v>
      </c>
      <c r="H290" t="s">
        <v>2880</v>
      </c>
      <c r="I290" t="s">
        <v>2881</v>
      </c>
    </row>
    <row r="291" spans="1:9" x14ac:dyDescent="0.35">
      <c r="A291">
        <f t="shared" si="4"/>
        <v>290</v>
      </c>
      <c r="B291">
        <v>290</v>
      </c>
      <c r="C291" t="s">
        <v>2882</v>
      </c>
      <c r="D291" t="s">
        <v>496</v>
      </c>
      <c r="E291" t="s">
        <v>2883</v>
      </c>
      <c r="F291" t="s">
        <v>1799</v>
      </c>
      <c r="G291" t="s">
        <v>2884</v>
      </c>
      <c r="H291" t="s">
        <v>2884</v>
      </c>
      <c r="I291" t="s">
        <v>2885</v>
      </c>
    </row>
    <row r="292" spans="1:9" x14ac:dyDescent="0.35">
      <c r="A292">
        <f t="shared" si="4"/>
        <v>291</v>
      </c>
      <c r="B292">
        <v>291</v>
      </c>
      <c r="C292" t="s">
        <v>2886</v>
      </c>
      <c r="D292" t="s">
        <v>498</v>
      </c>
      <c r="E292" t="s">
        <v>2887</v>
      </c>
      <c r="F292" t="s">
        <v>1596</v>
      </c>
      <c r="G292" t="s">
        <v>2888</v>
      </c>
      <c r="H292" t="s">
        <v>2888</v>
      </c>
      <c r="I292" t="s">
        <v>2888</v>
      </c>
    </row>
    <row r="293" spans="1:9" x14ac:dyDescent="0.35">
      <c r="A293">
        <f t="shared" si="4"/>
        <v>292</v>
      </c>
      <c r="B293">
        <v>292</v>
      </c>
      <c r="C293" t="s">
        <v>2889</v>
      </c>
      <c r="D293" t="s">
        <v>442</v>
      </c>
      <c r="E293" t="s">
        <v>2890</v>
      </c>
      <c r="F293" t="s">
        <v>2609</v>
      </c>
      <c r="G293" t="s">
        <v>2891</v>
      </c>
      <c r="H293" t="s">
        <v>2891</v>
      </c>
      <c r="I293" t="s">
        <v>2892</v>
      </c>
    </row>
    <row r="294" spans="1:9" x14ac:dyDescent="0.35">
      <c r="A294">
        <f t="shared" si="4"/>
        <v>293</v>
      </c>
      <c r="B294">
        <v>293</v>
      </c>
      <c r="C294" t="s">
        <v>2893</v>
      </c>
      <c r="D294" t="s">
        <v>501</v>
      </c>
      <c r="E294" t="s">
        <v>2894</v>
      </c>
      <c r="F294" t="s">
        <v>2878</v>
      </c>
      <c r="G294" t="s">
        <v>2895</v>
      </c>
      <c r="H294" t="s">
        <v>2895</v>
      </c>
      <c r="I294" t="s">
        <v>2896</v>
      </c>
    </row>
    <row r="295" spans="1:9" x14ac:dyDescent="0.35">
      <c r="A295">
        <f t="shared" si="4"/>
        <v>294</v>
      </c>
      <c r="B295">
        <v>294</v>
      </c>
      <c r="C295" t="s">
        <v>2897</v>
      </c>
      <c r="D295" t="s">
        <v>503</v>
      </c>
      <c r="E295" t="s">
        <v>2898</v>
      </c>
      <c r="F295" t="s">
        <v>2899</v>
      </c>
      <c r="G295" t="s">
        <v>2900</v>
      </c>
      <c r="H295" t="s">
        <v>2900</v>
      </c>
      <c r="I295" t="s">
        <v>2901</v>
      </c>
    </row>
    <row r="296" spans="1:9" x14ac:dyDescent="0.35">
      <c r="A296">
        <f t="shared" si="4"/>
        <v>295</v>
      </c>
      <c r="B296">
        <v>295</v>
      </c>
      <c r="C296" t="s">
        <v>2902</v>
      </c>
      <c r="D296" t="s">
        <v>76</v>
      </c>
      <c r="E296" t="s">
        <v>2903</v>
      </c>
      <c r="F296" t="s">
        <v>2904</v>
      </c>
      <c r="G296" t="s">
        <v>2905</v>
      </c>
      <c r="H296" t="s">
        <v>2905</v>
      </c>
      <c r="I296" t="s">
        <v>2906</v>
      </c>
    </row>
    <row r="297" spans="1:9" x14ac:dyDescent="0.35">
      <c r="A297">
        <f t="shared" si="4"/>
        <v>296</v>
      </c>
      <c r="B297">
        <v>296</v>
      </c>
      <c r="C297" t="s">
        <v>2907</v>
      </c>
      <c r="D297" t="s">
        <v>506</v>
      </c>
      <c r="E297" t="s">
        <v>2908</v>
      </c>
      <c r="F297" t="s">
        <v>1730</v>
      </c>
      <c r="G297" t="s">
        <v>2909</v>
      </c>
      <c r="H297" t="s">
        <v>2909</v>
      </c>
      <c r="I297" t="s">
        <v>2910</v>
      </c>
    </row>
    <row r="298" spans="1:9" x14ac:dyDescent="0.35">
      <c r="A298">
        <f t="shared" si="4"/>
        <v>297</v>
      </c>
      <c r="B298">
        <v>297</v>
      </c>
      <c r="C298" t="s">
        <v>2911</v>
      </c>
      <c r="D298" t="s">
        <v>508</v>
      </c>
      <c r="E298" t="s">
        <v>2912</v>
      </c>
      <c r="F298" t="s">
        <v>1669</v>
      </c>
      <c r="G298" t="s">
        <v>2913</v>
      </c>
      <c r="H298" t="s">
        <v>2913</v>
      </c>
      <c r="I298" t="s">
        <v>2914</v>
      </c>
    </row>
    <row r="299" spans="1:9" x14ac:dyDescent="0.35">
      <c r="A299">
        <f t="shared" si="4"/>
        <v>298</v>
      </c>
      <c r="B299">
        <v>298</v>
      </c>
      <c r="C299" t="s">
        <v>2915</v>
      </c>
      <c r="D299" t="s">
        <v>510</v>
      </c>
      <c r="E299" t="s">
        <v>2916</v>
      </c>
      <c r="F299" t="s">
        <v>1906</v>
      </c>
      <c r="G299" t="s">
        <v>2917</v>
      </c>
      <c r="H299" t="s">
        <v>2917</v>
      </c>
      <c r="I299" t="s">
        <v>2918</v>
      </c>
    </row>
    <row r="300" spans="1:9" x14ac:dyDescent="0.35">
      <c r="A300">
        <f t="shared" si="4"/>
        <v>299</v>
      </c>
      <c r="B300">
        <v>299</v>
      </c>
      <c r="C300" t="s">
        <v>2919</v>
      </c>
      <c r="D300" t="s">
        <v>512</v>
      </c>
      <c r="E300" t="s">
        <v>2920</v>
      </c>
      <c r="F300" t="s">
        <v>2921</v>
      </c>
      <c r="G300" t="s">
        <v>2922</v>
      </c>
      <c r="H300" t="s">
        <v>2922</v>
      </c>
      <c r="I300" t="s">
        <v>2923</v>
      </c>
    </row>
    <row r="301" spans="1:9" x14ac:dyDescent="0.35">
      <c r="A301">
        <f t="shared" si="4"/>
        <v>300</v>
      </c>
      <c r="B301">
        <v>300</v>
      </c>
      <c r="C301" t="s">
        <v>2924</v>
      </c>
      <c r="D301" t="s">
        <v>447</v>
      </c>
      <c r="E301" t="s">
        <v>2925</v>
      </c>
      <c r="F301" t="s">
        <v>2599</v>
      </c>
      <c r="G301" t="s">
        <v>2926</v>
      </c>
      <c r="H301" t="s">
        <v>2926</v>
      </c>
      <c r="I301" t="s">
        <v>2927</v>
      </c>
    </row>
    <row r="302" spans="1:9" x14ac:dyDescent="0.35">
      <c r="A302">
        <f t="shared" si="4"/>
        <v>301</v>
      </c>
      <c r="B302">
        <v>301</v>
      </c>
      <c r="C302" t="s">
        <v>2928</v>
      </c>
      <c r="D302" t="s">
        <v>515</v>
      </c>
      <c r="E302" t="s">
        <v>2929</v>
      </c>
      <c r="F302" t="s">
        <v>1735</v>
      </c>
      <c r="G302" t="s">
        <v>2930</v>
      </c>
      <c r="H302" t="s">
        <v>2930</v>
      </c>
      <c r="I302" t="s">
        <v>2931</v>
      </c>
    </row>
    <row r="303" spans="1:9" x14ac:dyDescent="0.35">
      <c r="A303">
        <f t="shared" si="4"/>
        <v>302</v>
      </c>
      <c r="B303">
        <v>302</v>
      </c>
      <c r="C303" t="s">
        <v>2932</v>
      </c>
      <c r="D303" t="s">
        <v>517</v>
      </c>
      <c r="E303" t="s">
        <v>2933</v>
      </c>
      <c r="F303" t="s">
        <v>2934</v>
      </c>
      <c r="G303" t="s">
        <v>2935</v>
      </c>
      <c r="H303" t="s">
        <v>2935</v>
      </c>
      <c r="I303" t="s">
        <v>2936</v>
      </c>
    </row>
    <row r="304" spans="1:9" x14ac:dyDescent="0.35">
      <c r="A304">
        <f t="shared" si="4"/>
        <v>303</v>
      </c>
      <c r="B304">
        <v>303</v>
      </c>
      <c r="C304" t="s">
        <v>2937</v>
      </c>
      <c r="D304" t="s">
        <v>519</v>
      </c>
      <c r="E304" t="s">
        <v>2938</v>
      </c>
      <c r="F304" t="s">
        <v>1692</v>
      </c>
      <c r="G304" t="s">
        <v>2939</v>
      </c>
      <c r="H304" t="s">
        <v>2939</v>
      </c>
      <c r="I304" t="s">
        <v>2940</v>
      </c>
    </row>
    <row r="305" spans="1:9" x14ac:dyDescent="0.35">
      <c r="A305">
        <f t="shared" si="4"/>
        <v>304</v>
      </c>
      <c r="B305">
        <v>304</v>
      </c>
      <c r="C305" t="s">
        <v>2941</v>
      </c>
      <c r="D305" t="s">
        <v>519</v>
      </c>
      <c r="E305" t="s">
        <v>2942</v>
      </c>
      <c r="F305" t="s">
        <v>1735</v>
      </c>
      <c r="G305" t="s">
        <v>2943</v>
      </c>
      <c r="H305" t="s">
        <v>2943</v>
      </c>
      <c r="I305" t="s">
        <v>2944</v>
      </c>
    </row>
    <row r="306" spans="1:9" x14ac:dyDescent="0.35">
      <c r="A306">
        <f t="shared" si="4"/>
        <v>305</v>
      </c>
      <c r="B306">
        <v>305</v>
      </c>
      <c r="C306" t="s">
        <v>2945</v>
      </c>
      <c r="D306" t="s">
        <v>522</v>
      </c>
      <c r="E306" t="s">
        <v>2946</v>
      </c>
      <c r="F306" t="s">
        <v>2008</v>
      </c>
      <c r="G306" t="s">
        <v>2947</v>
      </c>
      <c r="H306" t="s">
        <v>2948</v>
      </c>
      <c r="I306" t="s">
        <v>2949</v>
      </c>
    </row>
    <row r="307" spans="1:9" x14ac:dyDescent="0.35">
      <c r="A307">
        <f t="shared" si="4"/>
        <v>306</v>
      </c>
      <c r="B307">
        <v>306</v>
      </c>
      <c r="C307" t="s">
        <v>2950</v>
      </c>
      <c r="D307" t="s">
        <v>447</v>
      </c>
      <c r="E307" t="s">
        <v>2951</v>
      </c>
      <c r="F307" t="s">
        <v>1775</v>
      </c>
      <c r="G307" t="s">
        <v>2952</v>
      </c>
      <c r="H307" t="s">
        <v>2952</v>
      </c>
      <c r="I307" t="s">
        <v>2953</v>
      </c>
    </row>
    <row r="308" spans="1:9" x14ac:dyDescent="0.35">
      <c r="A308">
        <f t="shared" si="4"/>
        <v>307</v>
      </c>
      <c r="B308">
        <v>307</v>
      </c>
      <c r="C308" t="s">
        <v>2954</v>
      </c>
      <c r="D308" t="s">
        <v>525</v>
      </c>
      <c r="E308" t="s">
        <v>2955</v>
      </c>
      <c r="F308" t="s">
        <v>1764</v>
      </c>
      <c r="G308" t="s">
        <v>2956</v>
      </c>
      <c r="H308" t="s">
        <v>2956</v>
      </c>
      <c r="I308" t="s">
        <v>2957</v>
      </c>
    </row>
    <row r="309" spans="1:9" x14ac:dyDescent="0.35">
      <c r="A309">
        <f t="shared" si="4"/>
        <v>308</v>
      </c>
      <c r="B309">
        <v>308</v>
      </c>
      <c r="C309" t="s">
        <v>2958</v>
      </c>
      <c r="D309" t="s">
        <v>447</v>
      </c>
      <c r="E309" t="s">
        <v>2959</v>
      </c>
      <c r="F309" t="s">
        <v>2442</v>
      </c>
      <c r="G309" t="s">
        <v>2960</v>
      </c>
      <c r="H309" t="s">
        <v>2960</v>
      </c>
      <c r="I309" t="s">
        <v>2961</v>
      </c>
    </row>
    <row r="310" spans="1:9" x14ac:dyDescent="0.35">
      <c r="A310">
        <f t="shared" si="4"/>
        <v>309</v>
      </c>
      <c r="B310">
        <v>309</v>
      </c>
      <c r="C310" t="s">
        <v>2962</v>
      </c>
      <c r="D310" t="s">
        <v>528</v>
      </c>
      <c r="E310" t="s">
        <v>2963</v>
      </c>
      <c r="F310" t="s">
        <v>1596</v>
      </c>
      <c r="G310" t="s">
        <v>2964</v>
      </c>
      <c r="H310" t="s">
        <v>2965</v>
      </c>
      <c r="I310" t="s">
        <v>2966</v>
      </c>
    </row>
    <row r="311" spans="1:9" x14ac:dyDescent="0.35">
      <c r="A311">
        <f t="shared" si="4"/>
        <v>310</v>
      </c>
      <c r="B311">
        <v>310</v>
      </c>
      <c r="C311" t="s">
        <v>2967</v>
      </c>
      <c r="D311" t="s">
        <v>442</v>
      </c>
      <c r="E311" t="s">
        <v>2968</v>
      </c>
      <c r="F311" t="s">
        <v>2609</v>
      </c>
      <c r="G311" t="s">
        <v>2969</v>
      </c>
      <c r="H311" t="s">
        <v>2969</v>
      </c>
      <c r="I311" t="s">
        <v>2970</v>
      </c>
    </row>
    <row r="312" spans="1:9" x14ac:dyDescent="0.35">
      <c r="A312">
        <f t="shared" si="4"/>
        <v>311</v>
      </c>
      <c r="B312">
        <v>311</v>
      </c>
      <c r="C312" t="s">
        <v>2971</v>
      </c>
      <c r="D312" t="s">
        <v>531</v>
      </c>
      <c r="E312" t="s">
        <v>2972</v>
      </c>
      <c r="F312" t="s">
        <v>2782</v>
      </c>
      <c r="G312" t="s">
        <v>2973</v>
      </c>
      <c r="H312" t="s">
        <v>2973</v>
      </c>
      <c r="I312" t="s">
        <v>2974</v>
      </c>
    </row>
    <row r="313" spans="1:9" x14ac:dyDescent="0.35">
      <c r="A313">
        <f t="shared" si="4"/>
        <v>312</v>
      </c>
      <c r="B313">
        <v>312</v>
      </c>
      <c r="C313" t="s">
        <v>2975</v>
      </c>
      <c r="D313" t="s">
        <v>533</v>
      </c>
      <c r="E313" t="s">
        <v>2976</v>
      </c>
      <c r="F313" t="s">
        <v>2977</v>
      </c>
      <c r="G313" t="s">
        <v>2978</v>
      </c>
      <c r="H313" t="s">
        <v>2979</v>
      </c>
      <c r="I313" t="s">
        <v>2980</v>
      </c>
    </row>
    <row r="314" spans="1:9" x14ac:dyDescent="0.35">
      <c r="A314">
        <f t="shared" si="4"/>
        <v>313</v>
      </c>
      <c r="B314">
        <v>313</v>
      </c>
      <c r="C314" t="s">
        <v>2981</v>
      </c>
      <c r="D314" t="s">
        <v>535</v>
      </c>
      <c r="E314" t="s">
        <v>2982</v>
      </c>
      <c r="F314" t="s">
        <v>2977</v>
      </c>
      <c r="G314" t="s">
        <v>2983</v>
      </c>
      <c r="H314" t="s">
        <v>3691</v>
      </c>
      <c r="I314" t="s">
        <v>3692</v>
      </c>
    </row>
    <row r="315" spans="1:9" x14ac:dyDescent="0.35">
      <c r="A315">
        <f t="shared" si="4"/>
        <v>314</v>
      </c>
      <c r="B315">
        <v>314</v>
      </c>
      <c r="C315" t="s">
        <v>2986</v>
      </c>
      <c r="D315" t="s">
        <v>537</v>
      </c>
      <c r="E315" t="s">
        <v>2987</v>
      </c>
      <c r="F315" t="s">
        <v>2258</v>
      </c>
      <c r="G315" t="s">
        <v>2988</v>
      </c>
      <c r="H315" t="s">
        <v>2988</v>
      </c>
      <c r="I315" t="s">
        <v>2989</v>
      </c>
    </row>
    <row r="316" spans="1:9" x14ac:dyDescent="0.35">
      <c r="A316">
        <f t="shared" si="4"/>
        <v>315</v>
      </c>
      <c r="B316">
        <v>315</v>
      </c>
      <c r="C316" t="s">
        <v>2990</v>
      </c>
      <c r="D316" t="s">
        <v>539</v>
      </c>
      <c r="E316" t="s">
        <v>2991</v>
      </c>
      <c r="F316" t="s">
        <v>2164</v>
      </c>
      <c r="G316" t="s">
        <v>2992</v>
      </c>
      <c r="H316" t="s">
        <v>2993</v>
      </c>
      <c r="I316" t="s">
        <v>2994</v>
      </c>
    </row>
    <row r="317" spans="1:9" x14ac:dyDescent="0.35">
      <c r="A317">
        <f t="shared" si="4"/>
        <v>316</v>
      </c>
      <c r="B317">
        <v>316</v>
      </c>
      <c r="C317" t="s">
        <v>2995</v>
      </c>
      <c r="D317" t="s">
        <v>541</v>
      </c>
      <c r="E317" t="s">
        <v>2996</v>
      </c>
      <c r="F317" t="s">
        <v>1804</v>
      </c>
      <c r="G317" t="s">
        <v>2996</v>
      </c>
      <c r="H317" t="s">
        <v>2996</v>
      </c>
      <c r="I317" t="s">
        <v>2997</v>
      </c>
    </row>
    <row r="318" spans="1:9" x14ac:dyDescent="0.35">
      <c r="A318">
        <f t="shared" si="4"/>
        <v>317</v>
      </c>
      <c r="B318">
        <v>317</v>
      </c>
      <c r="C318" t="s">
        <v>2998</v>
      </c>
      <c r="D318" t="s">
        <v>543</v>
      </c>
      <c r="E318" t="s">
        <v>2999</v>
      </c>
      <c r="F318" t="s">
        <v>2609</v>
      </c>
      <c r="G318" t="s">
        <v>3000</v>
      </c>
      <c r="H318" t="s">
        <v>3000</v>
      </c>
      <c r="I318" t="s">
        <v>3001</v>
      </c>
    </row>
    <row r="319" spans="1:9" x14ac:dyDescent="0.35">
      <c r="A319">
        <f t="shared" si="4"/>
        <v>318</v>
      </c>
      <c r="B319">
        <v>318</v>
      </c>
      <c r="C319" t="s">
        <v>3002</v>
      </c>
      <c r="D319" t="s">
        <v>545</v>
      </c>
      <c r="E319" t="s">
        <v>3003</v>
      </c>
      <c r="F319" t="s">
        <v>2082</v>
      </c>
      <c r="G319" t="s">
        <v>3004</v>
      </c>
      <c r="H319" t="s">
        <v>3004</v>
      </c>
      <c r="I319" t="s">
        <v>3005</v>
      </c>
    </row>
    <row r="320" spans="1:9" x14ac:dyDescent="0.35">
      <c r="A320">
        <f t="shared" si="4"/>
        <v>319</v>
      </c>
      <c r="B320">
        <v>319</v>
      </c>
      <c r="C320" t="s">
        <v>3006</v>
      </c>
      <c r="D320" t="s">
        <v>547</v>
      </c>
      <c r="E320" t="s">
        <v>3007</v>
      </c>
      <c r="F320" t="s">
        <v>1719</v>
      </c>
      <c r="G320" t="s">
        <v>3008</v>
      </c>
      <c r="H320" t="s">
        <v>3008</v>
      </c>
      <c r="I320" t="s">
        <v>3009</v>
      </c>
    </row>
    <row r="321" spans="1:9" x14ac:dyDescent="0.35">
      <c r="A321">
        <f t="shared" si="4"/>
        <v>320</v>
      </c>
      <c r="B321">
        <v>320</v>
      </c>
      <c r="C321" t="s">
        <v>3010</v>
      </c>
      <c r="D321" t="s">
        <v>549</v>
      </c>
      <c r="E321" t="s">
        <v>3011</v>
      </c>
      <c r="F321" t="s">
        <v>3012</v>
      </c>
      <c r="G321" t="s">
        <v>3013</v>
      </c>
      <c r="H321" t="s">
        <v>3013</v>
      </c>
      <c r="I321" t="s">
        <v>3014</v>
      </c>
    </row>
    <row r="322" spans="1:9" x14ac:dyDescent="0.35">
      <c r="A322">
        <f t="shared" si="4"/>
        <v>321</v>
      </c>
      <c r="B322">
        <v>321</v>
      </c>
      <c r="C322" t="s">
        <v>3015</v>
      </c>
      <c r="D322" t="s">
        <v>551</v>
      </c>
      <c r="E322" t="s">
        <v>3016</v>
      </c>
      <c r="F322" t="s">
        <v>1844</v>
      </c>
      <c r="G322" t="s">
        <v>3017</v>
      </c>
      <c r="H322" t="s">
        <v>3017</v>
      </c>
      <c r="I322" t="s">
        <v>3018</v>
      </c>
    </row>
    <row r="323" spans="1:9" x14ac:dyDescent="0.35">
      <c r="A323">
        <f t="shared" si="4"/>
        <v>322</v>
      </c>
      <c r="B323">
        <v>322</v>
      </c>
      <c r="C323" t="s">
        <v>3019</v>
      </c>
      <c r="D323" t="s">
        <v>555</v>
      </c>
      <c r="E323" t="s">
        <v>3020</v>
      </c>
      <c r="F323" t="s">
        <v>3021</v>
      </c>
      <c r="G323" t="s">
        <v>3022</v>
      </c>
      <c r="H323" t="s">
        <v>3023</v>
      </c>
      <c r="I323" t="s">
        <v>3024</v>
      </c>
    </row>
    <row r="324" spans="1:9" x14ac:dyDescent="0.35">
      <c r="A324">
        <f t="shared" ref="A324:A387" si="5">SUM(A323+1)</f>
        <v>323</v>
      </c>
      <c r="B324">
        <v>323</v>
      </c>
      <c r="C324" t="s">
        <v>3025</v>
      </c>
      <c r="D324" t="s">
        <v>557</v>
      </c>
      <c r="E324" t="s">
        <v>3026</v>
      </c>
      <c r="F324" t="s">
        <v>2092</v>
      </c>
      <c r="G324" t="s">
        <v>3027</v>
      </c>
      <c r="H324" t="s">
        <v>3028</v>
      </c>
      <c r="I324" t="s">
        <v>3029</v>
      </c>
    </row>
    <row r="325" spans="1:9" x14ac:dyDescent="0.35">
      <c r="A325">
        <f t="shared" si="5"/>
        <v>324</v>
      </c>
      <c r="B325">
        <v>324</v>
      </c>
      <c r="C325" t="s">
        <v>3030</v>
      </c>
      <c r="D325" t="s">
        <v>559</v>
      </c>
      <c r="E325" t="s">
        <v>3031</v>
      </c>
      <c r="F325" t="s">
        <v>2348</v>
      </c>
      <c r="G325" t="s">
        <v>3032</v>
      </c>
      <c r="H325" t="s">
        <v>3032</v>
      </c>
      <c r="I325" t="s">
        <v>3033</v>
      </c>
    </row>
    <row r="326" spans="1:9" x14ac:dyDescent="0.35">
      <c r="A326">
        <f t="shared" si="5"/>
        <v>325</v>
      </c>
      <c r="B326">
        <v>325</v>
      </c>
      <c r="C326" t="s">
        <v>3034</v>
      </c>
      <c r="D326" t="s">
        <v>561</v>
      </c>
      <c r="E326" t="s">
        <v>3035</v>
      </c>
      <c r="F326" t="s">
        <v>3036</v>
      </c>
      <c r="G326" t="s">
        <v>3037</v>
      </c>
      <c r="H326" t="s">
        <v>3037</v>
      </c>
      <c r="I326" t="s">
        <v>3038</v>
      </c>
    </row>
    <row r="327" spans="1:9" x14ac:dyDescent="0.35">
      <c r="A327">
        <f t="shared" si="5"/>
        <v>326</v>
      </c>
      <c r="B327">
        <v>326</v>
      </c>
      <c r="C327" t="s">
        <v>3039</v>
      </c>
      <c r="D327" t="s">
        <v>563</v>
      </c>
      <c r="E327" t="s">
        <v>3040</v>
      </c>
      <c r="F327" t="s">
        <v>3041</v>
      </c>
      <c r="G327" t="s">
        <v>3042</v>
      </c>
      <c r="H327" t="s">
        <v>3042</v>
      </c>
      <c r="I327" t="s">
        <v>3043</v>
      </c>
    </row>
    <row r="328" spans="1:9" x14ac:dyDescent="0.35">
      <c r="A328">
        <f t="shared" si="5"/>
        <v>327</v>
      </c>
      <c r="B328">
        <v>327</v>
      </c>
      <c r="C328" t="s">
        <v>3044</v>
      </c>
      <c r="D328" t="s">
        <v>565</v>
      </c>
      <c r="E328" t="s">
        <v>3045</v>
      </c>
      <c r="F328" t="s">
        <v>2159</v>
      </c>
      <c r="G328" t="s">
        <v>3046</v>
      </c>
      <c r="H328" t="s">
        <v>3046</v>
      </c>
      <c r="I328" t="s">
        <v>3047</v>
      </c>
    </row>
    <row r="329" spans="1:9" x14ac:dyDescent="0.35">
      <c r="A329">
        <f t="shared" si="5"/>
        <v>328</v>
      </c>
      <c r="B329">
        <v>328</v>
      </c>
      <c r="C329" t="s">
        <v>3048</v>
      </c>
      <c r="D329" t="s">
        <v>567</v>
      </c>
      <c r="E329" t="s">
        <v>3049</v>
      </c>
      <c r="F329" t="s">
        <v>2312</v>
      </c>
      <c r="G329" t="s">
        <v>3050</v>
      </c>
      <c r="H329" t="s">
        <v>3050</v>
      </c>
      <c r="I329" t="s">
        <v>3051</v>
      </c>
    </row>
    <row r="330" spans="1:9" x14ac:dyDescent="0.35">
      <c r="A330">
        <f t="shared" si="5"/>
        <v>329</v>
      </c>
      <c r="B330">
        <v>329</v>
      </c>
      <c r="C330" t="s">
        <v>3052</v>
      </c>
      <c r="D330" t="s">
        <v>569</v>
      </c>
      <c r="E330" t="s">
        <v>3053</v>
      </c>
      <c r="F330" t="s">
        <v>1629</v>
      </c>
      <c r="G330" t="s">
        <v>3054</v>
      </c>
      <c r="H330" t="s">
        <v>3054</v>
      </c>
      <c r="I330" t="s">
        <v>3055</v>
      </c>
    </row>
    <row r="331" spans="1:9" x14ac:dyDescent="0.35">
      <c r="A331">
        <f t="shared" si="5"/>
        <v>330</v>
      </c>
      <c r="B331">
        <v>330</v>
      </c>
      <c r="C331" t="s">
        <v>3056</v>
      </c>
      <c r="D331" t="s">
        <v>571</v>
      </c>
      <c r="E331" t="s">
        <v>3057</v>
      </c>
      <c r="F331" t="s">
        <v>1990</v>
      </c>
      <c r="G331" t="s">
        <v>3058</v>
      </c>
      <c r="H331" t="s">
        <v>3058</v>
      </c>
      <c r="I331" t="s">
        <v>3059</v>
      </c>
    </row>
    <row r="332" spans="1:9" x14ac:dyDescent="0.35">
      <c r="A332">
        <f t="shared" si="5"/>
        <v>331</v>
      </c>
      <c r="B332">
        <v>331</v>
      </c>
      <c r="C332" t="s">
        <v>3060</v>
      </c>
      <c r="D332" t="s">
        <v>484</v>
      </c>
      <c r="E332" t="s">
        <v>3061</v>
      </c>
      <c r="F332" t="s">
        <v>2348</v>
      </c>
      <c r="G332" t="s">
        <v>3062</v>
      </c>
      <c r="H332" t="s">
        <v>3062</v>
      </c>
      <c r="I332" t="s">
        <v>3063</v>
      </c>
    </row>
    <row r="333" spans="1:9" x14ac:dyDescent="0.35">
      <c r="A333">
        <f t="shared" si="5"/>
        <v>332</v>
      </c>
      <c r="B333">
        <v>332</v>
      </c>
      <c r="C333" t="s">
        <v>3064</v>
      </c>
      <c r="D333" t="s">
        <v>575</v>
      </c>
      <c r="E333" t="s">
        <v>3065</v>
      </c>
      <c r="F333" t="s">
        <v>2312</v>
      </c>
      <c r="G333" t="s">
        <v>3066</v>
      </c>
      <c r="H333" t="s">
        <v>3066</v>
      </c>
      <c r="I333" t="s">
        <v>3067</v>
      </c>
    </row>
    <row r="334" spans="1:9" x14ac:dyDescent="0.35">
      <c r="A334">
        <f t="shared" si="5"/>
        <v>333</v>
      </c>
      <c r="B334">
        <v>333</v>
      </c>
      <c r="C334" t="s">
        <v>3068</v>
      </c>
      <c r="D334" t="s">
        <v>577</v>
      </c>
      <c r="E334" t="s">
        <v>3069</v>
      </c>
      <c r="F334" t="s">
        <v>3070</v>
      </c>
      <c r="G334" t="s">
        <v>3071</v>
      </c>
      <c r="H334" t="s">
        <v>3071</v>
      </c>
      <c r="I334" t="s">
        <v>3072</v>
      </c>
    </row>
    <row r="335" spans="1:9" x14ac:dyDescent="0.35">
      <c r="A335">
        <f t="shared" si="5"/>
        <v>334</v>
      </c>
      <c r="B335">
        <v>334</v>
      </c>
      <c r="C335" t="s">
        <v>3073</v>
      </c>
      <c r="D335" t="s">
        <v>577</v>
      </c>
      <c r="E335" t="s">
        <v>3074</v>
      </c>
      <c r="F335" t="s">
        <v>1764</v>
      </c>
      <c r="G335" t="s">
        <v>3075</v>
      </c>
      <c r="H335" t="s">
        <v>3075</v>
      </c>
      <c r="I335" t="s">
        <v>3076</v>
      </c>
    </row>
    <row r="336" spans="1:9" x14ac:dyDescent="0.35">
      <c r="A336">
        <f t="shared" si="5"/>
        <v>335</v>
      </c>
      <c r="B336">
        <v>335</v>
      </c>
      <c r="C336" t="s">
        <v>3077</v>
      </c>
      <c r="D336" t="s">
        <v>435</v>
      </c>
      <c r="E336" t="s">
        <v>3078</v>
      </c>
      <c r="F336" t="s">
        <v>3079</v>
      </c>
      <c r="G336" t="s">
        <v>3080</v>
      </c>
      <c r="H336" t="s">
        <v>3080</v>
      </c>
      <c r="I336" t="s">
        <v>3081</v>
      </c>
    </row>
    <row r="337" spans="1:9" x14ac:dyDescent="0.35">
      <c r="A337">
        <f t="shared" si="5"/>
        <v>336</v>
      </c>
      <c r="B337">
        <v>336</v>
      </c>
      <c r="C337" t="s">
        <v>3082</v>
      </c>
      <c r="D337" t="s">
        <v>76</v>
      </c>
      <c r="E337" t="s">
        <v>3083</v>
      </c>
      <c r="F337" t="s">
        <v>2796</v>
      </c>
      <c r="G337" t="s">
        <v>3084</v>
      </c>
      <c r="H337" t="s">
        <v>3084</v>
      </c>
      <c r="I337" t="s">
        <v>3085</v>
      </c>
    </row>
    <row r="338" spans="1:9" x14ac:dyDescent="0.35">
      <c r="A338">
        <f t="shared" si="5"/>
        <v>337</v>
      </c>
      <c r="B338">
        <v>337</v>
      </c>
      <c r="C338" t="s">
        <v>3086</v>
      </c>
      <c r="D338" t="s">
        <v>582</v>
      </c>
      <c r="E338" t="s">
        <v>3087</v>
      </c>
      <c r="F338" t="s">
        <v>1613</v>
      </c>
      <c r="G338" t="s">
        <v>3088</v>
      </c>
      <c r="H338" t="s">
        <v>3693</v>
      </c>
      <c r="I338" t="s">
        <v>3694</v>
      </c>
    </row>
    <row r="339" spans="1:9" x14ac:dyDescent="0.35">
      <c r="A339">
        <f t="shared" si="5"/>
        <v>338</v>
      </c>
      <c r="B339">
        <v>338</v>
      </c>
      <c r="C339" t="s">
        <v>3091</v>
      </c>
      <c r="D339" t="s">
        <v>584</v>
      </c>
      <c r="E339" t="s">
        <v>3092</v>
      </c>
      <c r="F339" t="s">
        <v>3079</v>
      </c>
      <c r="G339" t="s">
        <v>3093</v>
      </c>
      <c r="H339" t="s">
        <v>3093</v>
      </c>
      <c r="I339" t="s">
        <v>3094</v>
      </c>
    </row>
    <row r="340" spans="1:9" x14ac:dyDescent="0.35">
      <c r="A340">
        <f t="shared" si="5"/>
        <v>339</v>
      </c>
      <c r="B340">
        <v>339</v>
      </c>
      <c r="C340" t="s">
        <v>3095</v>
      </c>
      <c r="D340" t="s">
        <v>586</v>
      </c>
      <c r="E340" t="s">
        <v>3096</v>
      </c>
      <c r="F340" t="s">
        <v>1663</v>
      </c>
      <c r="G340" t="s">
        <v>3097</v>
      </c>
      <c r="H340" t="s">
        <v>3098</v>
      </c>
      <c r="I340" t="s">
        <v>3099</v>
      </c>
    </row>
    <row r="341" spans="1:9" x14ac:dyDescent="0.35">
      <c r="A341">
        <f t="shared" si="5"/>
        <v>340</v>
      </c>
      <c r="B341">
        <v>340</v>
      </c>
      <c r="C341" t="s">
        <v>3100</v>
      </c>
      <c r="D341" t="s">
        <v>588</v>
      </c>
      <c r="E341" t="s">
        <v>3101</v>
      </c>
      <c r="F341" t="s">
        <v>2558</v>
      </c>
      <c r="G341" t="s">
        <v>3102</v>
      </c>
      <c r="H341" t="s">
        <v>3103</v>
      </c>
      <c r="I341" t="s">
        <v>3104</v>
      </c>
    </row>
    <row r="342" spans="1:9" x14ac:dyDescent="0.35">
      <c r="A342">
        <f t="shared" si="5"/>
        <v>341</v>
      </c>
      <c r="B342">
        <v>341</v>
      </c>
      <c r="C342" t="s">
        <v>3105</v>
      </c>
      <c r="D342" t="s">
        <v>590</v>
      </c>
      <c r="E342" t="s">
        <v>3106</v>
      </c>
      <c r="F342" t="s">
        <v>3107</v>
      </c>
      <c r="G342" t="s">
        <v>3108</v>
      </c>
      <c r="H342" t="s">
        <v>3695</v>
      </c>
      <c r="I342" t="s">
        <v>3696</v>
      </c>
    </row>
    <row r="343" spans="1:9" x14ac:dyDescent="0.35">
      <c r="A343">
        <f t="shared" si="5"/>
        <v>342</v>
      </c>
      <c r="B343">
        <v>342</v>
      </c>
      <c r="C343" t="s">
        <v>3111</v>
      </c>
      <c r="D343" t="s">
        <v>592</v>
      </c>
      <c r="E343" t="s">
        <v>3112</v>
      </c>
      <c r="F343" t="s">
        <v>3113</v>
      </c>
      <c r="G343" t="s">
        <v>3114</v>
      </c>
      <c r="H343" t="s">
        <v>3114</v>
      </c>
      <c r="I343" t="s">
        <v>3115</v>
      </c>
    </row>
    <row r="344" spans="1:9" x14ac:dyDescent="0.35">
      <c r="A344">
        <f t="shared" si="5"/>
        <v>343</v>
      </c>
      <c r="B344">
        <v>343</v>
      </c>
      <c r="C344" t="s">
        <v>3116</v>
      </c>
      <c r="D344" t="s">
        <v>594</v>
      </c>
      <c r="E344" t="s">
        <v>3117</v>
      </c>
      <c r="F344" t="s">
        <v>3118</v>
      </c>
      <c r="G344" t="s">
        <v>3119</v>
      </c>
      <c r="H344" t="s">
        <v>3119</v>
      </c>
      <c r="I344" t="s">
        <v>3120</v>
      </c>
    </row>
    <row r="345" spans="1:9" x14ac:dyDescent="0.35">
      <c r="A345">
        <f t="shared" si="5"/>
        <v>344</v>
      </c>
      <c r="B345">
        <v>344</v>
      </c>
      <c r="C345" t="s">
        <v>3121</v>
      </c>
      <c r="D345" t="s">
        <v>596</v>
      </c>
      <c r="E345" t="s">
        <v>3122</v>
      </c>
      <c r="F345" t="s">
        <v>1853</v>
      </c>
      <c r="G345" t="s">
        <v>3123</v>
      </c>
      <c r="H345" t="s">
        <v>3123</v>
      </c>
      <c r="I345" t="s">
        <v>3124</v>
      </c>
    </row>
    <row r="346" spans="1:9" x14ac:dyDescent="0.35">
      <c r="A346">
        <f t="shared" si="5"/>
        <v>345</v>
      </c>
      <c r="B346">
        <v>345</v>
      </c>
      <c r="C346" t="s">
        <v>3125</v>
      </c>
      <c r="D346" t="s">
        <v>598</v>
      </c>
      <c r="E346" t="s">
        <v>3126</v>
      </c>
      <c r="F346" t="s">
        <v>2229</v>
      </c>
      <c r="G346" t="s">
        <v>3127</v>
      </c>
      <c r="H346" t="s">
        <v>3127</v>
      </c>
      <c r="I346" t="s">
        <v>3128</v>
      </c>
    </row>
    <row r="347" spans="1:9" x14ac:dyDescent="0.35">
      <c r="A347">
        <f t="shared" si="5"/>
        <v>346</v>
      </c>
      <c r="B347">
        <v>346</v>
      </c>
      <c r="C347" t="s">
        <v>3129</v>
      </c>
      <c r="D347" t="s">
        <v>600</v>
      </c>
      <c r="E347" t="s">
        <v>3130</v>
      </c>
      <c r="F347" t="s">
        <v>3131</v>
      </c>
      <c r="G347" t="s">
        <v>3130</v>
      </c>
      <c r="H347" t="s">
        <v>3130</v>
      </c>
      <c r="I347" t="s">
        <v>3132</v>
      </c>
    </row>
    <row r="348" spans="1:9" x14ac:dyDescent="0.35">
      <c r="A348">
        <f t="shared" si="5"/>
        <v>347</v>
      </c>
      <c r="B348">
        <v>347</v>
      </c>
      <c r="C348" t="s">
        <v>3133</v>
      </c>
      <c r="D348" t="s">
        <v>602</v>
      </c>
      <c r="E348" t="s">
        <v>3134</v>
      </c>
      <c r="F348" t="s">
        <v>2862</v>
      </c>
      <c r="G348" t="s">
        <v>3135</v>
      </c>
      <c r="H348" t="s">
        <v>3135</v>
      </c>
      <c r="I348" t="s">
        <v>3136</v>
      </c>
    </row>
    <row r="349" spans="1:9" x14ac:dyDescent="0.35">
      <c r="A349">
        <f t="shared" si="5"/>
        <v>348</v>
      </c>
      <c r="B349">
        <v>348</v>
      </c>
      <c r="C349" t="s">
        <v>3137</v>
      </c>
      <c r="D349" t="s">
        <v>604</v>
      </c>
      <c r="E349" t="s">
        <v>3138</v>
      </c>
      <c r="F349" t="s">
        <v>2558</v>
      </c>
      <c r="G349" t="s">
        <v>3139</v>
      </c>
      <c r="H349" t="s">
        <v>3139</v>
      </c>
      <c r="I349" t="s">
        <v>3140</v>
      </c>
    </row>
    <row r="350" spans="1:9" x14ac:dyDescent="0.35">
      <c r="A350">
        <f t="shared" si="5"/>
        <v>349</v>
      </c>
      <c r="B350">
        <v>349</v>
      </c>
      <c r="C350" t="s">
        <v>3141</v>
      </c>
      <c r="D350" t="s">
        <v>606</v>
      </c>
      <c r="E350" t="s">
        <v>3142</v>
      </c>
      <c r="F350" t="s">
        <v>2154</v>
      </c>
      <c r="G350" t="s">
        <v>3143</v>
      </c>
      <c r="H350" t="s">
        <v>3144</v>
      </c>
      <c r="I350" t="s">
        <v>3145</v>
      </c>
    </row>
    <row r="351" spans="1:9" x14ac:dyDescent="0.35">
      <c r="A351">
        <f t="shared" si="5"/>
        <v>350</v>
      </c>
      <c r="B351">
        <v>350</v>
      </c>
      <c r="C351" t="s">
        <v>3146</v>
      </c>
      <c r="D351" t="s">
        <v>608</v>
      </c>
      <c r="E351" t="s">
        <v>3147</v>
      </c>
      <c r="F351" t="s">
        <v>1785</v>
      </c>
      <c r="G351" t="s">
        <v>3148</v>
      </c>
      <c r="H351" t="s">
        <v>3148</v>
      </c>
      <c r="I351" t="s">
        <v>3149</v>
      </c>
    </row>
    <row r="352" spans="1:9" x14ac:dyDescent="0.35">
      <c r="A352">
        <f t="shared" si="5"/>
        <v>351</v>
      </c>
      <c r="B352">
        <v>351</v>
      </c>
      <c r="C352" t="s">
        <v>3150</v>
      </c>
      <c r="D352" t="s">
        <v>610</v>
      </c>
      <c r="E352" t="s">
        <v>3151</v>
      </c>
      <c r="F352" t="s">
        <v>1764</v>
      </c>
      <c r="G352" t="s">
        <v>3152</v>
      </c>
      <c r="H352" t="s">
        <v>3152</v>
      </c>
      <c r="I352" t="s">
        <v>3153</v>
      </c>
    </row>
    <row r="353" spans="1:9" x14ac:dyDescent="0.35">
      <c r="A353">
        <f t="shared" si="5"/>
        <v>352</v>
      </c>
      <c r="B353">
        <v>352</v>
      </c>
      <c r="C353" t="s">
        <v>3154</v>
      </c>
      <c r="D353" t="s">
        <v>612</v>
      </c>
      <c r="E353" t="s">
        <v>3155</v>
      </c>
      <c r="F353" t="s">
        <v>1799</v>
      </c>
      <c r="G353" t="s">
        <v>3156</v>
      </c>
      <c r="H353" t="s">
        <v>3156</v>
      </c>
      <c r="I353" t="s">
        <v>3157</v>
      </c>
    </row>
    <row r="354" spans="1:9" x14ac:dyDescent="0.35">
      <c r="A354">
        <f t="shared" si="5"/>
        <v>353</v>
      </c>
      <c r="B354">
        <v>353</v>
      </c>
      <c r="C354" t="s">
        <v>3158</v>
      </c>
      <c r="D354" t="s">
        <v>614</v>
      </c>
      <c r="E354" t="s">
        <v>3159</v>
      </c>
      <c r="F354" t="s">
        <v>1799</v>
      </c>
      <c r="G354" t="s">
        <v>3160</v>
      </c>
      <c r="H354" t="s">
        <v>3160</v>
      </c>
      <c r="I354" t="s">
        <v>3161</v>
      </c>
    </row>
    <row r="355" spans="1:9" x14ac:dyDescent="0.35">
      <c r="A355">
        <f t="shared" si="5"/>
        <v>354</v>
      </c>
      <c r="B355">
        <v>354</v>
      </c>
      <c r="C355" t="s">
        <v>3162</v>
      </c>
      <c r="D355" t="s">
        <v>614</v>
      </c>
      <c r="E355" t="s">
        <v>3163</v>
      </c>
      <c r="F355" t="s">
        <v>1829</v>
      </c>
      <c r="G355" t="s">
        <v>3164</v>
      </c>
      <c r="H355" t="s">
        <v>3164</v>
      </c>
      <c r="I355" t="s">
        <v>3165</v>
      </c>
    </row>
    <row r="356" spans="1:9" x14ac:dyDescent="0.35">
      <c r="A356">
        <f t="shared" si="5"/>
        <v>355</v>
      </c>
      <c r="B356">
        <v>355</v>
      </c>
      <c r="C356" t="s">
        <v>3166</v>
      </c>
      <c r="D356" t="s">
        <v>617</v>
      </c>
      <c r="E356" t="s">
        <v>3167</v>
      </c>
      <c r="F356" t="s">
        <v>2505</v>
      </c>
      <c r="G356" t="s">
        <v>3168</v>
      </c>
      <c r="H356" t="s">
        <v>3168</v>
      </c>
      <c r="I356" t="s">
        <v>3169</v>
      </c>
    </row>
    <row r="357" spans="1:9" x14ac:dyDescent="0.35">
      <c r="A357">
        <f t="shared" si="5"/>
        <v>356</v>
      </c>
      <c r="B357">
        <v>356</v>
      </c>
      <c r="C357" t="s">
        <v>3170</v>
      </c>
      <c r="D357" t="s">
        <v>221</v>
      </c>
      <c r="E357" t="s">
        <v>3171</v>
      </c>
      <c r="F357" t="s">
        <v>1804</v>
      </c>
      <c r="G357" t="s">
        <v>3171</v>
      </c>
      <c r="H357" t="s">
        <v>3171</v>
      </c>
      <c r="I357" t="s">
        <v>3172</v>
      </c>
    </row>
    <row r="358" spans="1:9" x14ac:dyDescent="0.35">
      <c r="A358">
        <f t="shared" si="5"/>
        <v>357</v>
      </c>
      <c r="B358">
        <v>357</v>
      </c>
      <c r="C358" t="s">
        <v>3173</v>
      </c>
      <c r="D358" t="s">
        <v>620</v>
      </c>
      <c r="E358" t="s">
        <v>3174</v>
      </c>
      <c r="F358" t="s">
        <v>2604</v>
      </c>
      <c r="G358" t="s">
        <v>3175</v>
      </c>
      <c r="H358" t="s">
        <v>3175</v>
      </c>
      <c r="I358" t="s">
        <v>3176</v>
      </c>
    </row>
    <row r="359" spans="1:9" x14ac:dyDescent="0.35">
      <c r="A359">
        <f t="shared" si="5"/>
        <v>358</v>
      </c>
      <c r="B359">
        <v>358</v>
      </c>
      <c r="C359" t="s">
        <v>3177</v>
      </c>
      <c r="D359" t="s">
        <v>460</v>
      </c>
      <c r="E359" t="s">
        <v>3178</v>
      </c>
      <c r="F359" t="s">
        <v>1844</v>
      </c>
      <c r="G359" t="s">
        <v>3179</v>
      </c>
      <c r="H359" t="s">
        <v>3179</v>
      </c>
      <c r="I359" t="s">
        <v>3180</v>
      </c>
    </row>
    <row r="360" spans="1:9" x14ac:dyDescent="0.35">
      <c r="A360">
        <f t="shared" si="5"/>
        <v>359</v>
      </c>
      <c r="B360">
        <v>359</v>
      </c>
      <c r="C360" t="s">
        <v>3181</v>
      </c>
      <c r="D360" t="s">
        <v>460</v>
      </c>
      <c r="E360" t="s">
        <v>3182</v>
      </c>
      <c r="F360" t="s">
        <v>1730</v>
      </c>
      <c r="G360" t="s">
        <v>3183</v>
      </c>
      <c r="H360" t="s">
        <v>3183</v>
      </c>
      <c r="I360" t="s">
        <v>3184</v>
      </c>
    </row>
    <row r="361" spans="1:9" x14ac:dyDescent="0.35">
      <c r="A361">
        <f t="shared" si="5"/>
        <v>360</v>
      </c>
      <c r="B361">
        <v>360</v>
      </c>
      <c r="C361" t="s">
        <v>3185</v>
      </c>
      <c r="D361" t="s">
        <v>460</v>
      </c>
      <c r="E361" t="s">
        <v>3186</v>
      </c>
      <c r="F361" t="s">
        <v>1929</v>
      </c>
      <c r="G361" t="s">
        <v>3187</v>
      </c>
      <c r="H361" t="s">
        <v>3187</v>
      </c>
      <c r="I361" t="s">
        <v>3188</v>
      </c>
    </row>
    <row r="362" spans="1:9" x14ac:dyDescent="0.35">
      <c r="A362">
        <f t="shared" si="5"/>
        <v>361</v>
      </c>
      <c r="B362">
        <v>361</v>
      </c>
      <c r="C362" t="s">
        <v>3189</v>
      </c>
      <c r="D362" t="s">
        <v>460</v>
      </c>
      <c r="E362" t="s">
        <v>3190</v>
      </c>
      <c r="F362" t="s">
        <v>1929</v>
      </c>
      <c r="G362" t="s">
        <v>3191</v>
      </c>
      <c r="H362" t="s">
        <v>3191</v>
      </c>
      <c r="I362" t="s">
        <v>3192</v>
      </c>
    </row>
    <row r="363" spans="1:9" x14ac:dyDescent="0.35">
      <c r="A363">
        <f t="shared" si="5"/>
        <v>362</v>
      </c>
      <c r="B363">
        <v>362</v>
      </c>
      <c r="C363" t="s">
        <v>3193</v>
      </c>
      <c r="D363" t="s">
        <v>620</v>
      </c>
      <c r="E363" t="s">
        <v>3194</v>
      </c>
      <c r="F363" t="s">
        <v>1719</v>
      </c>
      <c r="G363" t="s">
        <v>3195</v>
      </c>
      <c r="H363" t="s">
        <v>3195</v>
      </c>
      <c r="I363" t="s">
        <v>3196</v>
      </c>
    </row>
    <row r="364" spans="1:9" x14ac:dyDescent="0.35">
      <c r="A364">
        <f t="shared" si="5"/>
        <v>363</v>
      </c>
      <c r="B364">
        <v>363</v>
      </c>
      <c r="C364" t="s">
        <v>3197</v>
      </c>
      <c r="D364" t="s">
        <v>460</v>
      </c>
      <c r="E364" t="s">
        <v>3198</v>
      </c>
      <c r="F364" t="s">
        <v>1730</v>
      </c>
      <c r="G364" t="s">
        <v>3199</v>
      </c>
      <c r="H364" t="s">
        <v>3199</v>
      </c>
      <c r="I364" t="s">
        <v>3200</v>
      </c>
    </row>
    <row r="365" spans="1:9" x14ac:dyDescent="0.35">
      <c r="A365">
        <f t="shared" si="5"/>
        <v>364</v>
      </c>
      <c r="B365">
        <v>364</v>
      </c>
      <c r="C365" t="s">
        <v>3201</v>
      </c>
      <c r="D365" t="s">
        <v>93</v>
      </c>
      <c r="E365" t="s">
        <v>3202</v>
      </c>
      <c r="F365" t="s">
        <v>2215</v>
      </c>
      <c r="G365" t="s">
        <v>3203</v>
      </c>
      <c r="H365" t="s">
        <v>3203</v>
      </c>
      <c r="I365" t="s">
        <v>3204</v>
      </c>
    </row>
    <row r="366" spans="1:9" x14ac:dyDescent="0.35">
      <c r="A366">
        <f t="shared" si="5"/>
        <v>365</v>
      </c>
      <c r="B366">
        <v>365</v>
      </c>
      <c r="C366" t="s">
        <v>3205</v>
      </c>
      <c r="D366" t="s">
        <v>629</v>
      </c>
      <c r="E366" t="s">
        <v>3206</v>
      </c>
      <c r="F366" t="s">
        <v>1730</v>
      </c>
      <c r="G366" t="s">
        <v>3207</v>
      </c>
      <c r="H366" t="s">
        <v>3207</v>
      </c>
      <c r="I366" t="s">
        <v>3208</v>
      </c>
    </row>
    <row r="367" spans="1:9" x14ac:dyDescent="0.35">
      <c r="A367">
        <f t="shared" si="5"/>
        <v>366</v>
      </c>
      <c r="B367">
        <v>366</v>
      </c>
      <c r="C367" t="s">
        <v>3209</v>
      </c>
      <c r="D367" t="s">
        <v>629</v>
      </c>
      <c r="E367" t="s">
        <v>3210</v>
      </c>
      <c r="F367" t="s">
        <v>1692</v>
      </c>
      <c r="G367" t="s">
        <v>3211</v>
      </c>
      <c r="H367" t="s">
        <v>3211</v>
      </c>
      <c r="I367" t="s">
        <v>3212</v>
      </c>
    </row>
    <row r="368" spans="1:9" x14ac:dyDescent="0.35">
      <c r="A368">
        <f t="shared" si="5"/>
        <v>367</v>
      </c>
      <c r="B368">
        <v>367</v>
      </c>
      <c r="C368" t="s">
        <v>3213</v>
      </c>
      <c r="D368" t="s">
        <v>629</v>
      </c>
      <c r="E368" t="s">
        <v>3214</v>
      </c>
      <c r="F368" t="s">
        <v>1929</v>
      </c>
      <c r="G368" t="s">
        <v>3215</v>
      </c>
      <c r="H368" t="s">
        <v>3215</v>
      </c>
      <c r="I368" t="s">
        <v>3216</v>
      </c>
    </row>
    <row r="369" spans="1:9" x14ac:dyDescent="0.35">
      <c r="A369">
        <f t="shared" si="5"/>
        <v>368</v>
      </c>
      <c r="B369">
        <v>368</v>
      </c>
      <c r="C369" t="s">
        <v>3217</v>
      </c>
      <c r="D369" t="s">
        <v>629</v>
      </c>
      <c r="E369" t="s">
        <v>3218</v>
      </c>
      <c r="F369" t="s">
        <v>1730</v>
      </c>
      <c r="G369" t="s">
        <v>3219</v>
      </c>
      <c r="H369" t="s">
        <v>3219</v>
      </c>
      <c r="I369" t="s">
        <v>3220</v>
      </c>
    </row>
    <row r="370" spans="1:9" x14ac:dyDescent="0.35">
      <c r="A370">
        <f t="shared" si="5"/>
        <v>369</v>
      </c>
      <c r="B370">
        <v>369</v>
      </c>
      <c r="C370" t="s">
        <v>3221</v>
      </c>
      <c r="D370" t="s">
        <v>634</v>
      </c>
      <c r="E370" t="s">
        <v>3222</v>
      </c>
      <c r="F370" t="s">
        <v>2748</v>
      </c>
      <c r="G370" t="s">
        <v>3223</v>
      </c>
      <c r="H370" t="s">
        <v>3223</v>
      </c>
      <c r="I370" t="s">
        <v>3224</v>
      </c>
    </row>
    <row r="371" spans="1:9" x14ac:dyDescent="0.35">
      <c r="A371">
        <f t="shared" si="5"/>
        <v>370</v>
      </c>
      <c r="B371">
        <v>370</v>
      </c>
      <c r="C371" t="s">
        <v>3225</v>
      </c>
      <c r="D371" t="s">
        <v>636</v>
      </c>
      <c r="E371" t="s">
        <v>3226</v>
      </c>
      <c r="F371" t="s">
        <v>3227</v>
      </c>
      <c r="G371" t="s">
        <v>3228</v>
      </c>
      <c r="H371" t="s">
        <v>3228</v>
      </c>
      <c r="I371" t="s">
        <v>3229</v>
      </c>
    </row>
    <row r="372" spans="1:9" x14ac:dyDescent="0.35">
      <c r="A372">
        <f t="shared" si="5"/>
        <v>371</v>
      </c>
      <c r="B372">
        <v>371</v>
      </c>
      <c r="C372" t="s">
        <v>3230</v>
      </c>
      <c r="D372" t="s">
        <v>638</v>
      </c>
      <c r="E372" t="s">
        <v>3231</v>
      </c>
      <c r="F372" t="s">
        <v>2743</v>
      </c>
      <c r="G372" t="s">
        <v>3232</v>
      </c>
      <c r="H372" t="s">
        <v>3232</v>
      </c>
      <c r="I372" t="s">
        <v>3233</v>
      </c>
    </row>
    <row r="373" spans="1:9" x14ac:dyDescent="0.35">
      <c r="A373">
        <f t="shared" si="5"/>
        <v>372</v>
      </c>
      <c r="B373">
        <v>372</v>
      </c>
      <c r="C373" t="s">
        <v>3234</v>
      </c>
      <c r="D373" t="s">
        <v>330</v>
      </c>
      <c r="E373" t="s">
        <v>3235</v>
      </c>
      <c r="F373" t="s">
        <v>1629</v>
      </c>
      <c r="G373" t="s">
        <v>3236</v>
      </c>
      <c r="H373" t="s">
        <v>3236</v>
      </c>
      <c r="I373" t="s">
        <v>3237</v>
      </c>
    </row>
    <row r="374" spans="1:9" x14ac:dyDescent="0.35">
      <c r="A374">
        <f t="shared" si="5"/>
        <v>373</v>
      </c>
      <c r="B374">
        <v>373</v>
      </c>
      <c r="C374" t="s">
        <v>3238</v>
      </c>
      <c r="D374" t="s">
        <v>641</v>
      </c>
      <c r="E374" t="s">
        <v>3239</v>
      </c>
      <c r="F374" t="s">
        <v>1893</v>
      </c>
      <c r="G374" t="s">
        <v>3240</v>
      </c>
      <c r="H374" t="s">
        <v>3240</v>
      </c>
      <c r="I374" t="s">
        <v>3241</v>
      </c>
    </row>
    <row r="375" spans="1:9" x14ac:dyDescent="0.35">
      <c r="A375">
        <f t="shared" si="5"/>
        <v>374</v>
      </c>
      <c r="B375">
        <v>374</v>
      </c>
      <c r="C375" t="s">
        <v>3242</v>
      </c>
      <c r="D375" t="s">
        <v>643</v>
      </c>
      <c r="E375" t="s">
        <v>3243</v>
      </c>
      <c r="F375" t="s">
        <v>3244</v>
      </c>
      <c r="G375" t="s">
        <v>3245</v>
      </c>
      <c r="H375" t="s">
        <v>3697</v>
      </c>
      <c r="I375" t="s">
        <v>3698</v>
      </c>
    </row>
    <row r="376" spans="1:9" x14ac:dyDescent="0.35">
      <c r="A376">
        <f t="shared" si="5"/>
        <v>375</v>
      </c>
      <c r="B376">
        <v>375</v>
      </c>
      <c r="C376" t="s">
        <v>3248</v>
      </c>
      <c r="D376" t="s">
        <v>645</v>
      </c>
      <c r="E376" t="s">
        <v>3249</v>
      </c>
      <c r="F376" t="s">
        <v>1799</v>
      </c>
      <c r="G376" t="s">
        <v>3250</v>
      </c>
      <c r="H376" t="s">
        <v>3250</v>
      </c>
      <c r="I376" t="s">
        <v>3251</v>
      </c>
    </row>
    <row r="377" spans="1:9" x14ac:dyDescent="0.35">
      <c r="A377">
        <f t="shared" si="5"/>
        <v>376</v>
      </c>
      <c r="B377">
        <v>376</v>
      </c>
      <c r="C377" t="s">
        <v>3252</v>
      </c>
      <c r="D377" t="s">
        <v>647</v>
      </c>
      <c r="E377" t="s">
        <v>3253</v>
      </c>
      <c r="F377" t="s">
        <v>1624</v>
      </c>
      <c r="G377" t="s">
        <v>3254</v>
      </c>
      <c r="H377" t="s">
        <v>3254</v>
      </c>
      <c r="I377" t="s">
        <v>3255</v>
      </c>
    </row>
    <row r="378" spans="1:9" x14ac:dyDescent="0.35">
      <c r="A378">
        <f t="shared" si="5"/>
        <v>377</v>
      </c>
      <c r="B378">
        <v>377</v>
      </c>
      <c r="C378" t="s">
        <v>3256</v>
      </c>
      <c r="D378" t="s">
        <v>649</v>
      </c>
      <c r="E378" t="s">
        <v>3257</v>
      </c>
      <c r="F378" t="s">
        <v>3258</v>
      </c>
      <c r="G378" t="s">
        <v>3259</v>
      </c>
      <c r="H378" t="s">
        <v>3259</v>
      </c>
      <c r="I378" t="s">
        <v>3260</v>
      </c>
    </row>
    <row r="379" spans="1:9" x14ac:dyDescent="0.35">
      <c r="A379">
        <f t="shared" si="5"/>
        <v>378</v>
      </c>
      <c r="B379">
        <v>378</v>
      </c>
      <c r="C379" t="s">
        <v>3261</v>
      </c>
      <c r="D379" t="s">
        <v>651</v>
      </c>
      <c r="E379" t="s">
        <v>3262</v>
      </c>
      <c r="F379" t="s">
        <v>3263</v>
      </c>
      <c r="G379" t="s">
        <v>3264</v>
      </c>
      <c r="H379" t="s">
        <v>3264</v>
      </c>
      <c r="I379" t="s">
        <v>3265</v>
      </c>
    </row>
    <row r="380" spans="1:9" x14ac:dyDescent="0.35">
      <c r="A380">
        <f t="shared" si="5"/>
        <v>379</v>
      </c>
      <c r="B380">
        <v>379</v>
      </c>
      <c r="C380" t="s">
        <v>3266</v>
      </c>
      <c r="D380" t="s">
        <v>653</v>
      </c>
      <c r="E380" t="s">
        <v>3267</v>
      </c>
      <c r="F380" t="s">
        <v>1785</v>
      </c>
      <c r="G380" t="s">
        <v>3268</v>
      </c>
      <c r="H380" t="s">
        <v>3268</v>
      </c>
      <c r="I380" t="s">
        <v>3269</v>
      </c>
    </row>
    <row r="381" spans="1:9" x14ac:dyDescent="0.35">
      <c r="A381">
        <f t="shared" si="5"/>
        <v>380</v>
      </c>
      <c r="B381">
        <v>380</v>
      </c>
      <c r="C381" t="s">
        <v>3270</v>
      </c>
      <c r="D381" t="s">
        <v>655</v>
      </c>
      <c r="E381" t="s">
        <v>3271</v>
      </c>
      <c r="F381" t="s">
        <v>1652</v>
      </c>
      <c r="G381" t="s">
        <v>3272</v>
      </c>
      <c r="H381" t="s">
        <v>3272</v>
      </c>
      <c r="I381" t="s">
        <v>3273</v>
      </c>
    </row>
    <row r="382" spans="1:9" x14ac:dyDescent="0.35">
      <c r="A382">
        <f t="shared" si="5"/>
        <v>381</v>
      </c>
      <c r="B382">
        <v>381</v>
      </c>
      <c r="C382" t="s">
        <v>3274</v>
      </c>
      <c r="D382" t="s">
        <v>657</v>
      </c>
      <c r="E382" t="s">
        <v>3275</v>
      </c>
      <c r="F382" t="s">
        <v>3276</v>
      </c>
      <c r="G382" t="s">
        <v>3275</v>
      </c>
      <c r="H382" t="s">
        <v>3275</v>
      </c>
      <c r="I382" t="s">
        <v>3277</v>
      </c>
    </row>
    <row r="383" spans="1:9" x14ac:dyDescent="0.35">
      <c r="A383">
        <f t="shared" si="5"/>
        <v>382</v>
      </c>
      <c r="B383">
        <v>382</v>
      </c>
      <c r="C383" t="s">
        <v>3278</v>
      </c>
      <c r="D383" t="s">
        <v>274</v>
      </c>
      <c r="E383" t="s">
        <v>3279</v>
      </c>
      <c r="F383" t="s">
        <v>2154</v>
      </c>
      <c r="G383" t="s">
        <v>3280</v>
      </c>
      <c r="H383" t="s">
        <v>3280</v>
      </c>
      <c r="I383" t="s">
        <v>3281</v>
      </c>
    </row>
    <row r="384" spans="1:9" x14ac:dyDescent="0.35">
      <c r="A384">
        <f t="shared" si="5"/>
        <v>383</v>
      </c>
      <c r="B384">
        <v>383</v>
      </c>
      <c r="C384" t="s">
        <v>3282</v>
      </c>
      <c r="D384" t="s">
        <v>660</v>
      </c>
      <c r="E384" t="s">
        <v>3283</v>
      </c>
      <c r="F384" t="s">
        <v>2114</v>
      </c>
      <c r="G384" t="s">
        <v>3284</v>
      </c>
      <c r="H384" t="s">
        <v>3284</v>
      </c>
      <c r="I384" t="s">
        <v>3285</v>
      </c>
    </row>
    <row r="385" spans="1:9" x14ac:dyDescent="0.35">
      <c r="A385">
        <f t="shared" si="5"/>
        <v>384</v>
      </c>
      <c r="B385">
        <v>384</v>
      </c>
      <c r="C385" t="s">
        <v>3286</v>
      </c>
      <c r="D385" t="s">
        <v>662</v>
      </c>
      <c r="E385" t="s">
        <v>3287</v>
      </c>
      <c r="F385" t="s">
        <v>1906</v>
      </c>
      <c r="G385" t="s">
        <v>3288</v>
      </c>
      <c r="H385" t="s">
        <v>3288</v>
      </c>
      <c r="I385" t="s">
        <v>3289</v>
      </c>
    </row>
    <row r="386" spans="1:9" x14ac:dyDescent="0.35">
      <c r="A386">
        <f t="shared" si="5"/>
        <v>385</v>
      </c>
      <c r="B386">
        <v>385</v>
      </c>
      <c r="C386" t="s">
        <v>3290</v>
      </c>
      <c r="D386" t="s">
        <v>664</v>
      </c>
      <c r="E386" t="s">
        <v>3291</v>
      </c>
      <c r="F386" t="s">
        <v>2109</v>
      </c>
      <c r="G386" t="s">
        <v>3292</v>
      </c>
      <c r="H386" t="s">
        <v>3292</v>
      </c>
      <c r="I386" t="s">
        <v>3293</v>
      </c>
    </row>
    <row r="387" spans="1:9" x14ac:dyDescent="0.35">
      <c r="A387">
        <f t="shared" si="5"/>
        <v>386</v>
      </c>
      <c r="B387">
        <v>386</v>
      </c>
      <c r="C387" t="s">
        <v>3294</v>
      </c>
      <c r="D387" t="s">
        <v>666</v>
      </c>
      <c r="E387" t="s">
        <v>3295</v>
      </c>
      <c r="F387" t="s">
        <v>1785</v>
      </c>
      <c r="G387" t="s">
        <v>3296</v>
      </c>
      <c r="H387" t="s">
        <v>3296</v>
      </c>
      <c r="I387" t="s">
        <v>3297</v>
      </c>
    </row>
    <row r="388" spans="1:9" x14ac:dyDescent="0.35">
      <c r="A388">
        <f t="shared" ref="A388:A451" si="6">SUM(A387+1)</f>
        <v>387</v>
      </c>
      <c r="B388">
        <v>387</v>
      </c>
      <c r="C388" t="s">
        <v>3298</v>
      </c>
      <c r="D388" t="s">
        <v>668</v>
      </c>
      <c r="E388" t="s">
        <v>3299</v>
      </c>
      <c r="F388" t="s">
        <v>1674</v>
      </c>
      <c r="G388" t="s">
        <v>3300</v>
      </c>
      <c r="H388" t="s">
        <v>3300</v>
      </c>
      <c r="I388" t="s">
        <v>3301</v>
      </c>
    </row>
    <row r="389" spans="1:9" x14ac:dyDescent="0.35">
      <c r="A389">
        <f t="shared" si="6"/>
        <v>388</v>
      </c>
      <c r="B389">
        <v>388</v>
      </c>
      <c r="C389" t="s">
        <v>3298</v>
      </c>
      <c r="D389" t="s">
        <v>668</v>
      </c>
      <c r="E389" t="s">
        <v>3299</v>
      </c>
      <c r="F389" t="s">
        <v>1674</v>
      </c>
      <c r="G389" t="s">
        <v>3300</v>
      </c>
      <c r="H389" t="s">
        <v>3300</v>
      </c>
      <c r="I389" t="s">
        <v>3301</v>
      </c>
    </row>
    <row r="390" spans="1:9" x14ac:dyDescent="0.35">
      <c r="A390">
        <f t="shared" si="6"/>
        <v>389</v>
      </c>
      <c r="B390">
        <v>389</v>
      </c>
      <c r="C390" t="s">
        <v>3302</v>
      </c>
      <c r="D390" t="s">
        <v>671</v>
      </c>
      <c r="E390" t="s">
        <v>3303</v>
      </c>
      <c r="F390" t="s">
        <v>1809</v>
      </c>
      <c r="G390" t="s">
        <v>3303</v>
      </c>
      <c r="H390" t="s">
        <v>3303</v>
      </c>
      <c r="I390" t="s">
        <v>3304</v>
      </c>
    </row>
    <row r="391" spans="1:9" x14ac:dyDescent="0.35">
      <c r="A391">
        <f t="shared" si="6"/>
        <v>390</v>
      </c>
      <c r="B391">
        <v>390</v>
      </c>
      <c r="C391" t="s">
        <v>3305</v>
      </c>
      <c r="D391" t="s">
        <v>673</v>
      </c>
      <c r="E391" t="s">
        <v>3306</v>
      </c>
      <c r="F391" t="s">
        <v>2387</v>
      </c>
      <c r="G391" t="s">
        <v>3307</v>
      </c>
      <c r="H391" t="s">
        <v>3308</v>
      </c>
      <c r="I391" t="s">
        <v>3309</v>
      </c>
    </row>
    <row r="392" spans="1:9" x14ac:dyDescent="0.35">
      <c r="A392">
        <f t="shared" si="6"/>
        <v>391</v>
      </c>
      <c r="B392">
        <v>391</v>
      </c>
      <c r="C392" t="s">
        <v>3310</v>
      </c>
      <c r="D392" t="s">
        <v>675</v>
      </c>
      <c r="E392" t="s">
        <v>3311</v>
      </c>
      <c r="F392" t="s">
        <v>1785</v>
      </c>
      <c r="G392" t="s">
        <v>3312</v>
      </c>
      <c r="H392" t="s">
        <v>3312</v>
      </c>
      <c r="I392" t="s">
        <v>3313</v>
      </c>
    </row>
    <row r="393" spans="1:9" x14ac:dyDescent="0.35">
      <c r="A393">
        <f t="shared" si="6"/>
        <v>392</v>
      </c>
      <c r="B393">
        <v>392</v>
      </c>
      <c r="C393" t="s">
        <v>3314</v>
      </c>
      <c r="D393" t="s">
        <v>677</v>
      </c>
      <c r="E393" t="s">
        <v>3315</v>
      </c>
      <c r="F393" t="s">
        <v>1990</v>
      </c>
      <c r="G393" t="s">
        <v>3316</v>
      </c>
      <c r="H393" t="s">
        <v>3316</v>
      </c>
      <c r="I393" t="s">
        <v>3317</v>
      </c>
    </row>
    <row r="394" spans="1:9" x14ac:dyDescent="0.35">
      <c r="A394">
        <f t="shared" si="6"/>
        <v>393</v>
      </c>
      <c r="B394">
        <v>393</v>
      </c>
      <c r="C394" t="s">
        <v>3318</v>
      </c>
      <c r="D394" t="s">
        <v>679</v>
      </c>
      <c r="E394" t="s">
        <v>3319</v>
      </c>
      <c r="F394" t="s">
        <v>1758</v>
      </c>
      <c r="G394" t="s">
        <v>3320</v>
      </c>
      <c r="H394" t="s">
        <v>3699</v>
      </c>
      <c r="I394" t="s">
        <v>3700</v>
      </c>
    </row>
    <row r="395" spans="1:9" x14ac:dyDescent="0.35">
      <c r="A395">
        <f t="shared" si="6"/>
        <v>394</v>
      </c>
      <c r="B395">
        <v>394</v>
      </c>
      <c r="C395" t="s">
        <v>3323</v>
      </c>
      <c r="D395" t="s">
        <v>681</v>
      </c>
      <c r="E395" t="s">
        <v>3324</v>
      </c>
      <c r="F395" t="s">
        <v>1844</v>
      </c>
      <c r="G395" t="s">
        <v>3325</v>
      </c>
      <c r="H395" t="s">
        <v>3325</v>
      </c>
      <c r="I395" t="s">
        <v>3326</v>
      </c>
    </row>
    <row r="396" spans="1:9" x14ac:dyDescent="0.35">
      <c r="A396">
        <f t="shared" si="6"/>
        <v>395</v>
      </c>
      <c r="B396">
        <v>395</v>
      </c>
      <c r="C396" t="s">
        <v>3327</v>
      </c>
      <c r="D396" t="s">
        <v>683</v>
      </c>
      <c r="E396" t="s">
        <v>3328</v>
      </c>
      <c r="F396" t="s">
        <v>3329</v>
      </c>
      <c r="G396" t="s">
        <v>3330</v>
      </c>
      <c r="H396" t="s">
        <v>3330</v>
      </c>
      <c r="I396" t="s">
        <v>3331</v>
      </c>
    </row>
    <row r="397" spans="1:9" x14ac:dyDescent="0.35">
      <c r="A397">
        <f t="shared" si="6"/>
        <v>396</v>
      </c>
      <c r="B397">
        <v>396</v>
      </c>
      <c r="C397" t="s">
        <v>3332</v>
      </c>
      <c r="D397" t="s">
        <v>685</v>
      </c>
      <c r="E397" t="s">
        <v>3333</v>
      </c>
      <c r="F397" t="s">
        <v>1607</v>
      </c>
      <c r="G397" t="s">
        <v>3334</v>
      </c>
      <c r="H397" t="s">
        <v>3335</v>
      </c>
      <c r="I397" t="s">
        <v>3336</v>
      </c>
    </row>
    <row r="398" spans="1:9" x14ac:dyDescent="0.35">
      <c r="A398">
        <f t="shared" si="6"/>
        <v>397</v>
      </c>
      <c r="B398">
        <v>397</v>
      </c>
      <c r="C398" t="s">
        <v>3337</v>
      </c>
      <c r="D398" t="s">
        <v>687</v>
      </c>
      <c r="E398" t="s">
        <v>3338</v>
      </c>
      <c r="F398" t="s">
        <v>2229</v>
      </c>
      <c r="G398" t="s">
        <v>3339</v>
      </c>
      <c r="H398" t="s">
        <v>3339</v>
      </c>
      <c r="I398" t="s">
        <v>3340</v>
      </c>
    </row>
    <row r="399" spans="1:9" x14ac:dyDescent="0.35">
      <c r="A399">
        <f t="shared" si="6"/>
        <v>398</v>
      </c>
      <c r="B399">
        <v>398</v>
      </c>
      <c r="C399" t="s">
        <v>3341</v>
      </c>
      <c r="D399" t="s">
        <v>689</v>
      </c>
      <c r="E399" t="s">
        <v>3342</v>
      </c>
      <c r="F399" t="s">
        <v>2748</v>
      </c>
      <c r="G399" t="s">
        <v>3343</v>
      </c>
      <c r="H399" t="s">
        <v>3343</v>
      </c>
      <c r="I399" t="s">
        <v>3344</v>
      </c>
    </row>
    <row r="400" spans="1:9" x14ac:dyDescent="0.35">
      <c r="A400">
        <f t="shared" si="6"/>
        <v>399</v>
      </c>
      <c r="B400">
        <v>399</v>
      </c>
      <c r="C400" t="s">
        <v>3345</v>
      </c>
      <c r="D400" t="s">
        <v>691</v>
      </c>
      <c r="E400" t="s">
        <v>3346</v>
      </c>
      <c r="F400" t="s">
        <v>1730</v>
      </c>
      <c r="G400" t="s">
        <v>3347</v>
      </c>
      <c r="H400" t="s">
        <v>3348</v>
      </c>
      <c r="I400" t="s">
        <v>3349</v>
      </c>
    </row>
    <row r="401" spans="1:9" x14ac:dyDescent="0.35">
      <c r="A401">
        <f t="shared" si="6"/>
        <v>400</v>
      </c>
      <c r="B401">
        <v>400</v>
      </c>
      <c r="C401" t="s">
        <v>3350</v>
      </c>
      <c r="D401" t="s">
        <v>693</v>
      </c>
      <c r="E401" t="s">
        <v>3351</v>
      </c>
      <c r="F401" t="s">
        <v>2558</v>
      </c>
      <c r="G401" t="s">
        <v>3352</v>
      </c>
      <c r="H401" t="s">
        <v>3353</v>
      </c>
      <c r="I401" t="s">
        <v>3354</v>
      </c>
    </row>
    <row r="402" spans="1:9" x14ac:dyDescent="0.35">
      <c r="A402">
        <f t="shared" si="6"/>
        <v>401</v>
      </c>
      <c r="B402">
        <v>401</v>
      </c>
      <c r="C402" t="s">
        <v>3355</v>
      </c>
      <c r="D402" t="s">
        <v>695</v>
      </c>
      <c r="E402" t="s">
        <v>3356</v>
      </c>
      <c r="F402" t="s">
        <v>3357</v>
      </c>
      <c r="G402" t="s">
        <v>3356</v>
      </c>
      <c r="H402" t="s">
        <v>3356</v>
      </c>
      <c r="I402" t="s">
        <v>3358</v>
      </c>
    </row>
    <row r="403" spans="1:9" x14ac:dyDescent="0.35">
      <c r="A403">
        <f t="shared" si="6"/>
        <v>402</v>
      </c>
      <c r="B403">
        <v>402</v>
      </c>
      <c r="C403" t="s">
        <v>3359</v>
      </c>
      <c r="D403" t="s">
        <v>697</v>
      </c>
      <c r="E403" t="s">
        <v>3360</v>
      </c>
      <c r="F403" t="s">
        <v>2862</v>
      </c>
      <c r="G403" t="s">
        <v>3361</v>
      </c>
      <c r="H403" t="s">
        <v>3361</v>
      </c>
      <c r="I403" t="s">
        <v>3362</v>
      </c>
    </row>
    <row r="404" spans="1:9" x14ac:dyDescent="0.35">
      <c r="A404">
        <f t="shared" si="6"/>
        <v>403</v>
      </c>
      <c r="B404">
        <v>403</v>
      </c>
      <c r="C404" t="s">
        <v>3355</v>
      </c>
      <c r="D404" t="s">
        <v>699</v>
      </c>
      <c r="E404" t="s">
        <v>3356</v>
      </c>
      <c r="F404" t="s">
        <v>3357</v>
      </c>
      <c r="G404" t="s">
        <v>3356</v>
      </c>
      <c r="H404" t="s">
        <v>3356</v>
      </c>
      <c r="I404" t="s">
        <v>3358</v>
      </c>
    </row>
    <row r="405" spans="1:9" x14ac:dyDescent="0.35">
      <c r="A405">
        <f t="shared" si="6"/>
        <v>404</v>
      </c>
      <c r="B405">
        <v>404</v>
      </c>
      <c r="C405" t="s">
        <v>3363</v>
      </c>
      <c r="D405" t="s">
        <v>701</v>
      </c>
      <c r="E405" t="s">
        <v>3364</v>
      </c>
      <c r="F405" t="s">
        <v>3365</v>
      </c>
      <c r="G405" t="s">
        <v>3364</v>
      </c>
      <c r="H405" t="s">
        <v>3366</v>
      </c>
      <c r="I405" t="s">
        <v>3367</v>
      </c>
    </row>
    <row r="406" spans="1:9" x14ac:dyDescent="0.35">
      <c r="A406">
        <f t="shared" si="6"/>
        <v>405</v>
      </c>
      <c r="B406">
        <v>405</v>
      </c>
      <c r="C406" t="s">
        <v>3368</v>
      </c>
      <c r="D406" t="s">
        <v>703</v>
      </c>
      <c r="E406" t="s">
        <v>3369</v>
      </c>
      <c r="F406" t="s">
        <v>2299</v>
      </c>
      <c r="G406" t="s">
        <v>3370</v>
      </c>
      <c r="H406" t="s">
        <v>3371</v>
      </c>
      <c r="I406" t="s">
        <v>3372</v>
      </c>
    </row>
    <row r="407" spans="1:9" x14ac:dyDescent="0.35">
      <c r="A407">
        <f t="shared" si="6"/>
        <v>406</v>
      </c>
      <c r="B407">
        <v>406</v>
      </c>
      <c r="C407" t="s">
        <v>3373</v>
      </c>
      <c r="D407" t="s">
        <v>705</v>
      </c>
      <c r="E407" t="s">
        <v>3374</v>
      </c>
      <c r="F407" t="s">
        <v>3131</v>
      </c>
      <c r="G407" t="s">
        <v>3374</v>
      </c>
      <c r="H407" t="s">
        <v>3374</v>
      </c>
      <c r="I407" t="s">
        <v>3375</v>
      </c>
    </row>
    <row r="408" spans="1:9" x14ac:dyDescent="0.35">
      <c r="A408">
        <f t="shared" si="6"/>
        <v>407</v>
      </c>
      <c r="B408">
        <v>407</v>
      </c>
      <c r="C408" t="s">
        <v>3376</v>
      </c>
      <c r="D408" t="s">
        <v>703</v>
      </c>
      <c r="E408" t="s">
        <v>3377</v>
      </c>
      <c r="F408" t="s">
        <v>2041</v>
      </c>
      <c r="G408" t="s">
        <v>3378</v>
      </c>
      <c r="H408" t="s">
        <v>3378</v>
      </c>
      <c r="I408" t="s">
        <v>3379</v>
      </c>
    </row>
    <row r="409" spans="1:9" x14ac:dyDescent="0.35">
      <c r="A409">
        <f t="shared" si="6"/>
        <v>408</v>
      </c>
      <c r="B409">
        <v>408</v>
      </c>
      <c r="C409" t="s">
        <v>3380</v>
      </c>
      <c r="D409" t="s">
        <v>157</v>
      </c>
      <c r="E409" t="s">
        <v>3381</v>
      </c>
      <c r="F409" t="s">
        <v>2149</v>
      </c>
      <c r="G409" t="s">
        <v>3382</v>
      </c>
      <c r="H409" t="s">
        <v>3382</v>
      </c>
      <c r="I409" t="s">
        <v>3383</v>
      </c>
    </row>
    <row r="410" spans="1:9" x14ac:dyDescent="0.35">
      <c r="A410">
        <f t="shared" si="6"/>
        <v>409</v>
      </c>
      <c r="B410">
        <v>409</v>
      </c>
      <c r="C410" t="s">
        <v>3384</v>
      </c>
      <c r="D410" t="s">
        <v>711</v>
      </c>
      <c r="E410" t="s">
        <v>3385</v>
      </c>
      <c r="F410" t="s">
        <v>1735</v>
      </c>
      <c r="G410" t="s">
        <v>3386</v>
      </c>
      <c r="H410" t="s">
        <v>3386</v>
      </c>
      <c r="I410" t="s">
        <v>3387</v>
      </c>
    </row>
    <row r="411" spans="1:9" x14ac:dyDescent="0.35">
      <c r="A411">
        <f t="shared" si="6"/>
        <v>410</v>
      </c>
      <c r="B411">
        <v>410</v>
      </c>
      <c r="C411" t="s">
        <v>3388</v>
      </c>
      <c r="D411" t="s">
        <v>713</v>
      </c>
      <c r="E411" t="s">
        <v>3389</v>
      </c>
      <c r="F411" t="s">
        <v>1730</v>
      </c>
      <c r="G411" t="s">
        <v>3390</v>
      </c>
      <c r="H411" t="s">
        <v>3390</v>
      </c>
      <c r="I411" t="s">
        <v>3391</v>
      </c>
    </row>
    <row r="412" spans="1:9" x14ac:dyDescent="0.35">
      <c r="A412">
        <f t="shared" si="6"/>
        <v>411</v>
      </c>
      <c r="B412">
        <v>411</v>
      </c>
      <c r="C412" t="s">
        <v>3392</v>
      </c>
      <c r="D412" t="s">
        <v>715</v>
      </c>
      <c r="E412" t="s">
        <v>3393</v>
      </c>
      <c r="F412" t="s">
        <v>2210</v>
      </c>
      <c r="G412" t="s">
        <v>3394</v>
      </c>
      <c r="H412" t="s">
        <v>3395</v>
      </c>
      <c r="I412" t="s">
        <v>3396</v>
      </c>
    </row>
    <row r="413" spans="1:9" x14ac:dyDescent="0.35">
      <c r="A413">
        <f t="shared" si="6"/>
        <v>412</v>
      </c>
      <c r="B413">
        <v>412</v>
      </c>
      <c r="C413" t="s">
        <v>3397</v>
      </c>
      <c r="D413" t="s">
        <v>76</v>
      </c>
      <c r="E413" t="s">
        <v>3398</v>
      </c>
      <c r="F413" t="s">
        <v>1853</v>
      </c>
      <c r="G413" t="s">
        <v>3399</v>
      </c>
      <c r="H413" t="s">
        <v>3399</v>
      </c>
      <c r="I413" t="s">
        <v>3400</v>
      </c>
    </row>
    <row r="414" spans="1:9" x14ac:dyDescent="0.35">
      <c r="A414">
        <f t="shared" si="6"/>
        <v>413</v>
      </c>
      <c r="B414">
        <v>413</v>
      </c>
      <c r="C414" t="s">
        <v>3401</v>
      </c>
      <c r="D414" t="s">
        <v>718</v>
      </c>
      <c r="E414" t="s">
        <v>3402</v>
      </c>
      <c r="F414" t="s">
        <v>2748</v>
      </c>
      <c r="G414" t="s">
        <v>3403</v>
      </c>
      <c r="H414" t="s">
        <v>3403</v>
      </c>
      <c r="I414" t="s">
        <v>3404</v>
      </c>
    </row>
    <row r="415" spans="1:9" x14ac:dyDescent="0.35">
      <c r="A415">
        <f t="shared" si="6"/>
        <v>414</v>
      </c>
      <c r="B415">
        <v>414</v>
      </c>
      <c r="C415" t="s">
        <v>3405</v>
      </c>
      <c r="D415" t="s">
        <v>105</v>
      </c>
      <c r="E415" t="s">
        <v>3406</v>
      </c>
      <c r="F415" t="s">
        <v>2599</v>
      </c>
      <c r="G415" t="s">
        <v>3407</v>
      </c>
      <c r="H415" t="s">
        <v>3407</v>
      </c>
      <c r="I415" t="s">
        <v>3408</v>
      </c>
    </row>
    <row r="416" spans="1:9" x14ac:dyDescent="0.35">
      <c r="A416">
        <f t="shared" si="6"/>
        <v>415</v>
      </c>
      <c r="B416">
        <v>415</v>
      </c>
      <c r="C416" t="s">
        <v>3409</v>
      </c>
      <c r="D416" t="s">
        <v>721</v>
      </c>
      <c r="E416" t="s">
        <v>3410</v>
      </c>
      <c r="F416" t="s">
        <v>2143</v>
      </c>
      <c r="G416" t="s">
        <v>3411</v>
      </c>
      <c r="H416" t="s">
        <v>3411</v>
      </c>
      <c r="I416" t="s">
        <v>3412</v>
      </c>
    </row>
    <row r="417" spans="1:9" x14ac:dyDescent="0.35">
      <c r="A417">
        <f t="shared" si="6"/>
        <v>416</v>
      </c>
      <c r="B417">
        <v>416</v>
      </c>
      <c r="C417" t="s">
        <v>3413</v>
      </c>
      <c r="D417" t="s">
        <v>653</v>
      </c>
      <c r="E417" t="s">
        <v>3414</v>
      </c>
      <c r="F417" t="s">
        <v>2640</v>
      </c>
      <c r="G417" t="s">
        <v>3415</v>
      </c>
      <c r="H417" t="s">
        <v>3701</v>
      </c>
      <c r="I417" t="s">
        <v>3702</v>
      </c>
    </row>
    <row r="418" spans="1:9" x14ac:dyDescent="0.35">
      <c r="A418">
        <f t="shared" si="6"/>
        <v>417</v>
      </c>
      <c r="B418">
        <v>417</v>
      </c>
      <c r="C418" t="s">
        <v>3417</v>
      </c>
      <c r="D418" t="s">
        <v>510</v>
      </c>
      <c r="E418" t="s">
        <v>3418</v>
      </c>
      <c r="F418" t="s">
        <v>2640</v>
      </c>
      <c r="G418" t="s">
        <v>3419</v>
      </c>
      <c r="H418" t="s">
        <v>3419</v>
      </c>
      <c r="I418" t="s">
        <v>3420</v>
      </c>
    </row>
    <row r="419" spans="1:9" x14ac:dyDescent="0.35">
      <c r="A419">
        <f t="shared" si="6"/>
        <v>418</v>
      </c>
      <c r="B419">
        <v>418</v>
      </c>
      <c r="C419" t="s">
        <v>3421</v>
      </c>
      <c r="D419" t="s">
        <v>172</v>
      </c>
      <c r="E419" t="s">
        <v>3422</v>
      </c>
      <c r="F419" t="s">
        <v>2109</v>
      </c>
      <c r="G419" t="s">
        <v>3423</v>
      </c>
      <c r="H419" t="s">
        <v>3423</v>
      </c>
      <c r="I419" t="s">
        <v>3424</v>
      </c>
    </row>
    <row r="420" spans="1:9" x14ac:dyDescent="0.35">
      <c r="A420">
        <f t="shared" si="6"/>
        <v>419</v>
      </c>
      <c r="B420">
        <v>419</v>
      </c>
      <c r="C420" t="s">
        <v>3425</v>
      </c>
      <c r="D420" t="s">
        <v>726</v>
      </c>
      <c r="E420" t="s">
        <v>3426</v>
      </c>
      <c r="F420" t="s">
        <v>1844</v>
      </c>
      <c r="G420" t="s">
        <v>3427</v>
      </c>
      <c r="H420" t="s">
        <v>3428</v>
      </c>
      <c r="I420" t="s">
        <v>3429</v>
      </c>
    </row>
    <row r="421" spans="1:9" x14ac:dyDescent="0.35">
      <c r="A421">
        <f t="shared" si="6"/>
        <v>420</v>
      </c>
      <c r="B421">
        <v>420</v>
      </c>
      <c r="C421" t="s">
        <v>3430</v>
      </c>
      <c r="D421" t="s">
        <v>565</v>
      </c>
      <c r="E421" t="s">
        <v>3431</v>
      </c>
      <c r="F421" t="s">
        <v>2082</v>
      </c>
      <c r="G421" t="s">
        <v>3432</v>
      </c>
      <c r="H421" t="s">
        <v>3432</v>
      </c>
      <c r="I421" t="s">
        <v>3433</v>
      </c>
    </row>
    <row r="422" spans="1:9" x14ac:dyDescent="0.35">
      <c r="A422">
        <f t="shared" si="6"/>
        <v>421</v>
      </c>
      <c r="B422">
        <v>421</v>
      </c>
      <c r="C422" t="s">
        <v>3434</v>
      </c>
      <c r="D422" t="s">
        <v>442</v>
      </c>
      <c r="E422" t="s">
        <v>3435</v>
      </c>
      <c r="F422" t="s">
        <v>1629</v>
      </c>
      <c r="G422" t="s">
        <v>3436</v>
      </c>
      <c r="H422" t="s">
        <v>3436</v>
      </c>
      <c r="I422" t="s">
        <v>3437</v>
      </c>
    </row>
    <row r="423" spans="1:9" x14ac:dyDescent="0.35">
      <c r="A423">
        <f t="shared" si="6"/>
        <v>422</v>
      </c>
      <c r="B423">
        <v>422</v>
      </c>
      <c r="C423" t="s">
        <v>3438</v>
      </c>
      <c r="D423" t="s">
        <v>730</v>
      </c>
      <c r="E423" t="s">
        <v>3439</v>
      </c>
      <c r="F423" t="s">
        <v>2253</v>
      </c>
      <c r="G423" t="s">
        <v>3440</v>
      </c>
      <c r="H423" t="s">
        <v>3441</v>
      </c>
      <c r="I423" t="s">
        <v>3442</v>
      </c>
    </row>
    <row r="424" spans="1:9" x14ac:dyDescent="0.35">
      <c r="A424">
        <f t="shared" si="6"/>
        <v>423</v>
      </c>
      <c r="B424">
        <v>423</v>
      </c>
      <c r="C424" t="s">
        <v>3443</v>
      </c>
      <c r="D424" t="s">
        <v>732</v>
      </c>
      <c r="E424" t="s">
        <v>3444</v>
      </c>
      <c r="F424" t="s">
        <v>3445</v>
      </c>
      <c r="G424" t="s">
        <v>3446</v>
      </c>
      <c r="H424" t="s">
        <v>3446</v>
      </c>
      <c r="I424" t="s">
        <v>3447</v>
      </c>
    </row>
    <row r="425" spans="1:9" x14ac:dyDescent="0.35">
      <c r="A425">
        <f t="shared" si="6"/>
        <v>424</v>
      </c>
      <c r="B425">
        <v>424</v>
      </c>
      <c r="C425" t="s">
        <v>3448</v>
      </c>
      <c r="D425" t="s">
        <v>734</v>
      </c>
      <c r="E425" t="s">
        <v>3449</v>
      </c>
      <c r="F425" t="s">
        <v>1799</v>
      </c>
      <c r="G425" t="s">
        <v>3450</v>
      </c>
      <c r="H425" t="s">
        <v>3450</v>
      </c>
      <c r="I425" t="s">
        <v>3451</v>
      </c>
    </row>
    <row r="426" spans="1:9" x14ac:dyDescent="0.35">
      <c r="A426">
        <f t="shared" si="6"/>
        <v>425</v>
      </c>
      <c r="B426">
        <v>425</v>
      </c>
      <c r="C426" t="s">
        <v>3452</v>
      </c>
      <c r="D426" t="s">
        <v>703</v>
      </c>
      <c r="E426" t="s">
        <v>3453</v>
      </c>
      <c r="F426" t="s">
        <v>3454</v>
      </c>
      <c r="G426" t="s">
        <v>3455</v>
      </c>
      <c r="H426" t="s">
        <v>3455</v>
      </c>
      <c r="I426" t="s">
        <v>3456</v>
      </c>
    </row>
    <row r="427" spans="1:9" x14ac:dyDescent="0.35">
      <c r="A427">
        <f t="shared" si="6"/>
        <v>426</v>
      </c>
      <c r="B427">
        <v>426</v>
      </c>
      <c r="C427" t="s">
        <v>3457</v>
      </c>
      <c r="D427" t="s">
        <v>737</v>
      </c>
      <c r="E427" t="s">
        <v>3458</v>
      </c>
      <c r="F427" t="s">
        <v>3459</v>
      </c>
      <c r="G427" t="s">
        <v>3460</v>
      </c>
      <c r="H427" t="s">
        <v>3460</v>
      </c>
      <c r="I427" t="s">
        <v>3461</v>
      </c>
    </row>
    <row r="428" spans="1:9" x14ac:dyDescent="0.35">
      <c r="A428">
        <f t="shared" si="6"/>
        <v>427</v>
      </c>
      <c r="B428">
        <v>427</v>
      </c>
      <c r="C428" t="s">
        <v>3462</v>
      </c>
      <c r="D428" t="s">
        <v>739</v>
      </c>
      <c r="E428" t="s">
        <v>3463</v>
      </c>
      <c r="F428" t="s">
        <v>1607</v>
      </c>
      <c r="G428" t="s">
        <v>3464</v>
      </c>
      <c r="H428" t="s">
        <v>3464</v>
      </c>
      <c r="I428" t="s">
        <v>3465</v>
      </c>
    </row>
    <row r="429" spans="1:9" x14ac:dyDescent="0.35">
      <c r="A429">
        <f t="shared" si="6"/>
        <v>428</v>
      </c>
      <c r="B429">
        <v>428</v>
      </c>
      <c r="C429" t="s">
        <v>3466</v>
      </c>
      <c r="D429" t="s">
        <v>739</v>
      </c>
      <c r="E429" t="s">
        <v>3467</v>
      </c>
      <c r="F429" t="s">
        <v>3468</v>
      </c>
      <c r="G429" t="s">
        <v>3469</v>
      </c>
      <c r="H429" t="s">
        <v>3469</v>
      </c>
      <c r="I429" t="s">
        <v>3470</v>
      </c>
    </row>
    <row r="430" spans="1:9" x14ac:dyDescent="0.35">
      <c r="A430">
        <f t="shared" si="6"/>
        <v>429</v>
      </c>
      <c r="B430">
        <v>429</v>
      </c>
      <c r="C430" t="s">
        <v>3471</v>
      </c>
      <c r="D430" t="s">
        <v>742</v>
      </c>
      <c r="E430" t="s">
        <v>3472</v>
      </c>
      <c r="F430" t="s">
        <v>1686</v>
      </c>
      <c r="G430" t="s">
        <v>3473</v>
      </c>
      <c r="H430" t="s">
        <v>3473</v>
      </c>
      <c r="I430" t="s">
        <v>3474</v>
      </c>
    </row>
    <row r="431" spans="1:9" x14ac:dyDescent="0.35">
      <c r="A431">
        <f t="shared" si="6"/>
        <v>430</v>
      </c>
      <c r="B431">
        <v>430</v>
      </c>
      <c r="C431" t="s">
        <v>3475</v>
      </c>
      <c r="D431" t="s">
        <v>379</v>
      </c>
      <c r="E431" t="s">
        <v>3476</v>
      </c>
      <c r="F431" t="s">
        <v>2159</v>
      </c>
      <c r="G431" t="s">
        <v>3477</v>
      </c>
      <c r="H431" t="s">
        <v>3703</v>
      </c>
      <c r="I431" t="s">
        <v>3704</v>
      </c>
    </row>
    <row r="432" spans="1:9" x14ac:dyDescent="0.35">
      <c r="A432">
        <f t="shared" si="6"/>
        <v>431</v>
      </c>
      <c r="B432">
        <v>431</v>
      </c>
      <c r="C432" t="s">
        <v>3479</v>
      </c>
      <c r="D432" t="s">
        <v>746</v>
      </c>
      <c r="E432" t="s">
        <v>3480</v>
      </c>
      <c r="F432" t="s">
        <v>3481</v>
      </c>
      <c r="G432" t="s">
        <v>3482</v>
      </c>
      <c r="H432" t="s">
        <v>3482</v>
      </c>
      <c r="I432" t="s">
        <v>3483</v>
      </c>
    </row>
    <row r="433" spans="1:9" x14ac:dyDescent="0.35">
      <c r="A433">
        <f t="shared" si="6"/>
        <v>432</v>
      </c>
      <c r="B433">
        <v>432</v>
      </c>
      <c r="C433" t="s">
        <v>3484</v>
      </c>
      <c r="D433" t="s">
        <v>748</v>
      </c>
      <c r="E433" t="s">
        <v>3485</v>
      </c>
      <c r="F433" t="s">
        <v>2069</v>
      </c>
      <c r="G433" t="s">
        <v>3486</v>
      </c>
      <c r="H433" t="s">
        <v>3487</v>
      </c>
      <c r="I433" t="s">
        <v>3488</v>
      </c>
    </row>
    <row r="434" spans="1:9" x14ac:dyDescent="0.35">
      <c r="A434">
        <f t="shared" si="6"/>
        <v>433</v>
      </c>
      <c r="B434">
        <v>433</v>
      </c>
      <c r="C434" t="s">
        <v>3489</v>
      </c>
      <c r="D434" t="s">
        <v>750</v>
      </c>
      <c r="E434" t="s">
        <v>3490</v>
      </c>
      <c r="F434" t="s">
        <v>1990</v>
      </c>
      <c r="G434" t="s">
        <v>3491</v>
      </c>
      <c r="H434" t="s">
        <v>3491</v>
      </c>
      <c r="I434" t="s">
        <v>3492</v>
      </c>
    </row>
    <row r="435" spans="1:9" x14ac:dyDescent="0.35">
      <c r="A435">
        <f t="shared" si="6"/>
        <v>434</v>
      </c>
      <c r="B435">
        <v>434</v>
      </c>
      <c r="C435" t="s">
        <v>3493</v>
      </c>
      <c r="D435" t="s">
        <v>752</v>
      </c>
      <c r="E435" t="s">
        <v>3494</v>
      </c>
      <c r="F435" t="s">
        <v>2229</v>
      </c>
      <c r="G435" t="s">
        <v>3495</v>
      </c>
      <c r="H435" t="s">
        <v>3495</v>
      </c>
      <c r="I435" t="s">
        <v>3496</v>
      </c>
    </row>
    <row r="436" spans="1:9" x14ac:dyDescent="0.35">
      <c r="A436">
        <f t="shared" si="6"/>
        <v>435</v>
      </c>
      <c r="B436">
        <v>435</v>
      </c>
      <c r="C436" t="s">
        <v>3497</v>
      </c>
      <c r="D436" t="s">
        <v>754</v>
      </c>
      <c r="E436" t="s">
        <v>3498</v>
      </c>
      <c r="F436" t="s">
        <v>2609</v>
      </c>
      <c r="G436" t="s">
        <v>3499</v>
      </c>
      <c r="H436" t="s">
        <v>3500</v>
      </c>
      <c r="I436" t="s">
        <v>3501</v>
      </c>
    </row>
    <row r="437" spans="1:9" x14ac:dyDescent="0.35">
      <c r="A437">
        <f t="shared" si="6"/>
        <v>436</v>
      </c>
      <c r="B437">
        <v>436</v>
      </c>
      <c r="C437" t="s">
        <v>3502</v>
      </c>
      <c r="D437" t="s">
        <v>754</v>
      </c>
      <c r="E437" t="s">
        <v>3503</v>
      </c>
      <c r="F437" t="s">
        <v>2299</v>
      </c>
      <c r="G437" t="s">
        <v>3504</v>
      </c>
      <c r="H437" t="s">
        <v>3505</v>
      </c>
      <c r="I437" t="s">
        <v>3506</v>
      </c>
    </row>
    <row r="438" spans="1:9" x14ac:dyDescent="0.35">
      <c r="A438">
        <f t="shared" si="6"/>
        <v>437</v>
      </c>
      <c r="B438">
        <v>437</v>
      </c>
      <c r="C438" t="s">
        <v>3507</v>
      </c>
      <c r="D438" t="s">
        <v>757</v>
      </c>
      <c r="E438" t="s">
        <v>3508</v>
      </c>
      <c r="F438" t="s">
        <v>2782</v>
      </c>
      <c r="G438" t="s">
        <v>3509</v>
      </c>
      <c r="H438" t="s">
        <v>3510</v>
      </c>
      <c r="I438" t="s">
        <v>3511</v>
      </c>
    </row>
    <row r="439" spans="1:9" x14ac:dyDescent="0.35">
      <c r="A439">
        <f t="shared" si="6"/>
        <v>438</v>
      </c>
      <c r="B439">
        <v>438</v>
      </c>
      <c r="C439" t="s">
        <v>3512</v>
      </c>
      <c r="D439" t="s">
        <v>442</v>
      </c>
      <c r="E439" t="s">
        <v>3513</v>
      </c>
      <c r="F439" t="s">
        <v>1652</v>
      </c>
      <c r="G439" t="s">
        <v>3514</v>
      </c>
      <c r="H439" t="s">
        <v>3514</v>
      </c>
      <c r="I439" t="s">
        <v>3515</v>
      </c>
    </row>
    <row r="440" spans="1:9" x14ac:dyDescent="0.35">
      <c r="A440">
        <f t="shared" si="6"/>
        <v>439</v>
      </c>
      <c r="B440">
        <v>439</v>
      </c>
      <c r="C440" t="s">
        <v>3516</v>
      </c>
      <c r="D440" t="s">
        <v>760</v>
      </c>
      <c r="E440" t="s">
        <v>3517</v>
      </c>
      <c r="F440" t="s">
        <v>1624</v>
      </c>
      <c r="G440" t="s">
        <v>3518</v>
      </c>
      <c r="H440" t="s">
        <v>3519</v>
      </c>
      <c r="I440" t="s">
        <v>3520</v>
      </c>
    </row>
    <row r="441" spans="1:9" x14ac:dyDescent="0.35">
      <c r="A441">
        <f t="shared" si="6"/>
        <v>440</v>
      </c>
      <c r="B441">
        <v>440</v>
      </c>
      <c r="C441" t="s">
        <v>3521</v>
      </c>
      <c r="D441" t="s">
        <v>762</v>
      </c>
      <c r="E441" t="s">
        <v>3522</v>
      </c>
      <c r="F441" t="s">
        <v>2272</v>
      </c>
      <c r="G441" t="s">
        <v>3523</v>
      </c>
      <c r="H441" t="s">
        <v>3523</v>
      </c>
      <c r="I441" t="s">
        <v>3524</v>
      </c>
    </row>
    <row r="442" spans="1:9" x14ac:dyDescent="0.35">
      <c r="A442">
        <f t="shared" si="6"/>
        <v>441</v>
      </c>
      <c r="B442">
        <v>441</v>
      </c>
      <c r="C442" t="s">
        <v>3525</v>
      </c>
      <c r="D442" t="s">
        <v>764</v>
      </c>
      <c r="E442" t="s">
        <v>3526</v>
      </c>
      <c r="F442" t="s">
        <v>1707</v>
      </c>
      <c r="G442" t="s">
        <v>3527</v>
      </c>
      <c r="H442" t="s">
        <v>3527</v>
      </c>
      <c r="I442" t="s">
        <v>3528</v>
      </c>
    </row>
    <row r="443" spans="1:9" x14ac:dyDescent="0.35">
      <c r="A443">
        <f t="shared" si="6"/>
        <v>442</v>
      </c>
      <c r="B443">
        <v>442</v>
      </c>
      <c r="C443" t="s">
        <v>3529</v>
      </c>
      <c r="D443" t="s">
        <v>766</v>
      </c>
      <c r="E443" t="s">
        <v>3530</v>
      </c>
      <c r="F443" t="s">
        <v>1758</v>
      </c>
      <c r="G443" t="s">
        <v>3531</v>
      </c>
      <c r="H443" t="s">
        <v>3531</v>
      </c>
      <c r="I443" t="s">
        <v>3532</v>
      </c>
    </row>
    <row r="444" spans="1:9" x14ac:dyDescent="0.35">
      <c r="A444">
        <f t="shared" si="6"/>
        <v>443</v>
      </c>
      <c r="B444">
        <v>443</v>
      </c>
      <c r="C444" t="s">
        <v>3533</v>
      </c>
      <c r="D444" t="s">
        <v>561</v>
      </c>
      <c r="E444" t="s">
        <v>3534</v>
      </c>
      <c r="F444" t="s">
        <v>2335</v>
      </c>
      <c r="G444" t="s">
        <v>3535</v>
      </c>
      <c r="H444" t="s">
        <v>3535</v>
      </c>
      <c r="I444" t="s">
        <v>3536</v>
      </c>
    </row>
    <row r="445" spans="1:9" x14ac:dyDescent="0.35">
      <c r="A445">
        <f t="shared" si="6"/>
        <v>444</v>
      </c>
      <c r="B445">
        <v>444</v>
      </c>
      <c r="C445" t="s">
        <v>3537</v>
      </c>
      <c r="D445" t="s">
        <v>76</v>
      </c>
      <c r="E445" t="s">
        <v>3538</v>
      </c>
      <c r="F445" t="s">
        <v>3539</v>
      </c>
      <c r="G445" t="s">
        <v>3540</v>
      </c>
      <c r="H445" t="s">
        <v>3540</v>
      </c>
      <c r="I445" t="s">
        <v>3541</v>
      </c>
    </row>
    <row r="446" spans="1:9" x14ac:dyDescent="0.35">
      <c r="A446">
        <f t="shared" si="6"/>
        <v>445</v>
      </c>
      <c r="B446">
        <v>445</v>
      </c>
      <c r="C446" t="s">
        <v>3542</v>
      </c>
      <c r="D446" t="s">
        <v>772</v>
      </c>
      <c r="E446" t="s">
        <v>3543</v>
      </c>
      <c r="F446" t="s">
        <v>1888</v>
      </c>
      <c r="G446" t="s">
        <v>3544</v>
      </c>
      <c r="H446" t="s">
        <v>3544</v>
      </c>
      <c r="I446" t="s">
        <v>3545</v>
      </c>
    </row>
    <row r="447" spans="1:9" x14ac:dyDescent="0.35">
      <c r="A447">
        <f t="shared" si="6"/>
        <v>446</v>
      </c>
      <c r="B447">
        <v>446</v>
      </c>
      <c r="C447" t="s">
        <v>3546</v>
      </c>
      <c r="D447" t="s">
        <v>772</v>
      </c>
      <c r="E447" t="s">
        <v>3547</v>
      </c>
      <c r="F447" t="s">
        <v>3548</v>
      </c>
      <c r="G447" t="s">
        <v>3549</v>
      </c>
      <c r="H447" t="s">
        <v>3549</v>
      </c>
      <c r="I447" t="s">
        <v>3550</v>
      </c>
    </row>
    <row r="448" spans="1:9" x14ac:dyDescent="0.35">
      <c r="A448">
        <f t="shared" si="6"/>
        <v>447</v>
      </c>
      <c r="B448">
        <v>447</v>
      </c>
      <c r="C448" t="s">
        <v>3551</v>
      </c>
      <c r="D448" t="s">
        <v>772</v>
      </c>
      <c r="E448" t="s">
        <v>3552</v>
      </c>
      <c r="F448" t="s">
        <v>2234</v>
      </c>
      <c r="G448" t="s">
        <v>3553</v>
      </c>
      <c r="H448" t="s">
        <v>3553</v>
      </c>
      <c r="I448" t="s">
        <v>3554</v>
      </c>
    </row>
    <row r="449" spans="1:9" x14ac:dyDescent="0.35">
      <c r="A449">
        <f t="shared" si="6"/>
        <v>448</v>
      </c>
      <c r="B449">
        <v>448</v>
      </c>
      <c r="C449" t="s">
        <v>3555</v>
      </c>
      <c r="D449" t="s">
        <v>772</v>
      </c>
      <c r="E449" t="s">
        <v>3556</v>
      </c>
      <c r="F449" t="s">
        <v>1844</v>
      </c>
      <c r="G449" t="s">
        <v>3557</v>
      </c>
      <c r="H449" t="s">
        <v>3557</v>
      </c>
      <c r="I449" t="s">
        <v>3558</v>
      </c>
    </row>
    <row r="450" spans="1:9" x14ac:dyDescent="0.35">
      <c r="A450">
        <f t="shared" si="6"/>
        <v>449</v>
      </c>
      <c r="B450">
        <v>449</v>
      </c>
      <c r="C450" t="s">
        <v>3559</v>
      </c>
      <c r="D450" t="s">
        <v>772</v>
      </c>
      <c r="E450" t="s">
        <v>3560</v>
      </c>
      <c r="F450" t="s">
        <v>3561</v>
      </c>
      <c r="G450" t="s">
        <v>3562</v>
      </c>
      <c r="H450" t="s">
        <v>3562</v>
      </c>
      <c r="I450" t="s">
        <v>3563</v>
      </c>
    </row>
    <row r="451" spans="1:9" x14ac:dyDescent="0.35">
      <c r="A451">
        <f t="shared" si="6"/>
        <v>450</v>
      </c>
      <c r="B451">
        <v>450</v>
      </c>
      <c r="C451" t="s">
        <v>3564</v>
      </c>
      <c r="D451" t="s">
        <v>594</v>
      </c>
      <c r="E451" t="s">
        <v>3565</v>
      </c>
      <c r="F451" t="s">
        <v>2977</v>
      </c>
      <c r="G451" t="s">
        <v>3566</v>
      </c>
      <c r="H451" t="s">
        <v>3566</v>
      </c>
      <c r="I451" t="s">
        <v>3567</v>
      </c>
    </row>
    <row r="452" spans="1:9" x14ac:dyDescent="0.35">
      <c r="A452">
        <f t="shared" ref="A452:A463" si="7">SUM(A451+1)</f>
        <v>451</v>
      </c>
      <c r="B452">
        <v>451</v>
      </c>
      <c r="C452" t="s">
        <v>3568</v>
      </c>
      <c r="D452" t="s">
        <v>781</v>
      </c>
      <c r="E452" t="s">
        <v>3569</v>
      </c>
      <c r="F452" t="s">
        <v>1618</v>
      </c>
      <c r="G452" t="s">
        <v>3570</v>
      </c>
      <c r="H452" t="s">
        <v>3705</v>
      </c>
      <c r="I452" t="s">
        <v>3706</v>
      </c>
    </row>
    <row r="453" spans="1:9" x14ac:dyDescent="0.35">
      <c r="A453">
        <f t="shared" si="7"/>
        <v>452</v>
      </c>
      <c r="B453">
        <v>452</v>
      </c>
      <c r="C453" t="s">
        <v>3573</v>
      </c>
      <c r="D453" t="s">
        <v>783</v>
      </c>
      <c r="E453" t="s">
        <v>3574</v>
      </c>
      <c r="F453" t="s">
        <v>3575</v>
      </c>
      <c r="G453" t="s">
        <v>3576</v>
      </c>
      <c r="H453" t="s">
        <v>3707</v>
      </c>
      <c r="I453" t="s">
        <v>3708</v>
      </c>
    </row>
    <row r="454" spans="1:9" x14ac:dyDescent="0.35">
      <c r="A454">
        <f t="shared" si="7"/>
        <v>453</v>
      </c>
      <c r="B454">
        <v>453</v>
      </c>
      <c r="C454" t="s">
        <v>3578</v>
      </c>
      <c r="D454" t="s">
        <v>785</v>
      </c>
      <c r="E454" t="s">
        <v>3579</v>
      </c>
      <c r="F454" t="s">
        <v>2229</v>
      </c>
      <c r="G454" t="s">
        <v>3580</v>
      </c>
      <c r="H454" t="s">
        <v>3580</v>
      </c>
      <c r="I454" t="s">
        <v>3581</v>
      </c>
    </row>
    <row r="455" spans="1:9" x14ac:dyDescent="0.35">
      <c r="A455">
        <f t="shared" si="7"/>
        <v>454</v>
      </c>
      <c r="B455">
        <v>454</v>
      </c>
      <c r="C455" t="s">
        <v>3582</v>
      </c>
      <c r="D455" t="s">
        <v>785</v>
      </c>
      <c r="E455" t="s">
        <v>3583</v>
      </c>
      <c r="F455" t="s">
        <v>1929</v>
      </c>
      <c r="G455" t="s">
        <v>3584</v>
      </c>
      <c r="H455" t="s">
        <v>3584</v>
      </c>
      <c r="I455" t="s">
        <v>3585</v>
      </c>
    </row>
    <row r="456" spans="1:9" x14ac:dyDescent="0.35">
      <c r="A456">
        <f t="shared" si="7"/>
        <v>455</v>
      </c>
      <c r="B456">
        <v>455</v>
      </c>
      <c r="C456" t="s">
        <v>3586</v>
      </c>
      <c r="D456" t="s">
        <v>788</v>
      </c>
      <c r="E456" t="s">
        <v>3587</v>
      </c>
      <c r="F456" t="s">
        <v>3588</v>
      </c>
      <c r="G456" t="s">
        <v>3589</v>
      </c>
      <c r="H456" t="s">
        <v>3709</v>
      </c>
      <c r="I456" t="s">
        <v>3709</v>
      </c>
    </row>
    <row r="457" spans="1:9" x14ac:dyDescent="0.35">
      <c r="A457">
        <f t="shared" si="7"/>
        <v>456</v>
      </c>
      <c r="B457">
        <v>456</v>
      </c>
      <c r="C457" t="s">
        <v>3591</v>
      </c>
      <c r="D457" t="s">
        <v>790</v>
      </c>
      <c r="E457" t="s">
        <v>3592</v>
      </c>
      <c r="F457" t="s">
        <v>3593</v>
      </c>
      <c r="G457" t="s">
        <v>3594</v>
      </c>
      <c r="H457" t="s">
        <v>3595</v>
      </c>
      <c r="I457" t="s">
        <v>3596</v>
      </c>
    </row>
    <row r="458" spans="1:9" x14ac:dyDescent="0.35">
      <c r="A458">
        <f t="shared" si="7"/>
        <v>457</v>
      </c>
      <c r="B458">
        <v>457</v>
      </c>
      <c r="C458" t="s">
        <v>3597</v>
      </c>
      <c r="D458" t="s">
        <v>792</v>
      </c>
      <c r="E458" t="s">
        <v>3598</v>
      </c>
      <c r="F458" t="s">
        <v>1929</v>
      </c>
      <c r="G458" t="s">
        <v>3599</v>
      </c>
      <c r="H458" t="s">
        <v>3599</v>
      </c>
      <c r="I458" t="s">
        <v>3600</v>
      </c>
    </row>
    <row r="459" spans="1:9" x14ac:dyDescent="0.35">
      <c r="A459">
        <f t="shared" si="7"/>
        <v>458</v>
      </c>
      <c r="B459">
        <v>458</v>
      </c>
      <c r="C459" t="s">
        <v>3601</v>
      </c>
      <c r="D459" t="s">
        <v>794</v>
      </c>
      <c r="E459" t="s">
        <v>3602</v>
      </c>
      <c r="F459" t="s">
        <v>2186</v>
      </c>
      <c r="G459" t="s">
        <v>3603</v>
      </c>
      <c r="H459" t="s">
        <v>3603</v>
      </c>
      <c r="I459" t="s">
        <v>3604</v>
      </c>
    </row>
    <row r="460" spans="1:9" x14ac:dyDescent="0.35">
      <c r="A460">
        <f t="shared" si="7"/>
        <v>459</v>
      </c>
      <c r="B460">
        <v>459</v>
      </c>
      <c r="C460" t="s">
        <v>3605</v>
      </c>
      <c r="D460" t="s">
        <v>796</v>
      </c>
      <c r="E460" t="s">
        <v>3606</v>
      </c>
      <c r="F460" t="s">
        <v>1741</v>
      </c>
      <c r="G460" t="s">
        <v>3607</v>
      </c>
      <c r="H460" t="s">
        <v>3710</v>
      </c>
      <c r="I460" t="s">
        <v>3711</v>
      </c>
    </row>
    <row r="461" spans="1:9" x14ac:dyDescent="0.35">
      <c r="A461">
        <f t="shared" si="7"/>
        <v>460</v>
      </c>
      <c r="B461">
        <v>460</v>
      </c>
      <c r="C461" t="s">
        <v>3609</v>
      </c>
      <c r="D461" t="s">
        <v>798</v>
      </c>
      <c r="E461" t="s">
        <v>3610</v>
      </c>
      <c r="F461" t="s">
        <v>2604</v>
      </c>
      <c r="G461" t="s">
        <v>3611</v>
      </c>
      <c r="H461" t="s">
        <v>3611</v>
      </c>
      <c r="I461" t="s">
        <v>3612</v>
      </c>
    </row>
    <row r="462" spans="1:9" x14ac:dyDescent="0.35">
      <c r="A462">
        <f t="shared" si="7"/>
        <v>461</v>
      </c>
      <c r="B462">
        <v>461</v>
      </c>
      <c r="C462" t="s">
        <v>3613</v>
      </c>
      <c r="D462" t="s">
        <v>798</v>
      </c>
      <c r="E462" t="s">
        <v>3614</v>
      </c>
      <c r="F462" t="s">
        <v>1735</v>
      </c>
      <c r="G462" t="s">
        <v>3615</v>
      </c>
      <c r="H462" t="s">
        <v>3615</v>
      </c>
      <c r="I462" t="s">
        <v>3616</v>
      </c>
    </row>
    <row r="463" spans="1:9" x14ac:dyDescent="0.35">
      <c r="A463">
        <f t="shared" si="7"/>
        <v>462</v>
      </c>
      <c r="B463">
        <v>462</v>
      </c>
      <c r="C463" t="s">
        <v>3617</v>
      </c>
      <c r="D463" t="s">
        <v>801</v>
      </c>
      <c r="E463" t="s">
        <v>3618</v>
      </c>
      <c r="F463" t="s">
        <v>1785</v>
      </c>
      <c r="G463" t="s">
        <v>3619</v>
      </c>
      <c r="H463" t="s">
        <v>3619</v>
      </c>
      <c r="I463" t="s">
        <v>3620</v>
      </c>
    </row>
  </sheetData>
  <conditionalFormatting sqref="C2:C463">
    <cfRule type="duplicateValues" dxfId="1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C3482-32FE-48D2-A10F-F841CE2B0266}">
  <dimension ref="A1:H455"/>
  <sheetViews>
    <sheetView topLeftCell="H1" workbookViewId="0">
      <selection activeCell="J22" sqref="J22"/>
    </sheetView>
  </sheetViews>
  <sheetFormatPr defaultRowHeight="14.5" x14ac:dyDescent="0.35"/>
  <cols>
    <col min="1" max="1" width="5.453125" bestFit="1" customWidth="1"/>
    <col min="2" max="2" width="80.7265625" bestFit="1" customWidth="1"/>
    <col min="3" max="3" width="17.1796875" bestFit="1" customWidth="1"/>
    <col min="4" max="4" width="80.7265625" bestFit="1" customWidth="1"/>
    <col min="5" max="5" width="38.90625" bestFit="1" customWidth="1"/>
    <col min="6" max="8" width="80.7265625" bestFit="1" customWidth="1"/>
  </cols>
  <sheetData>
    <row r="1" spans="1:8" x14ac:dyDescent="0.35">
      <c r="A1" t="s">
        <v>0</v>
      </c>
      <c r="B1" t="s">
        <v>1</v>
      </c>
      <c r="C1" t="s">
        <v>2</v>
      </c>
      <c r="D1" t="s">
        <v>1589</v>
      </c>
      <c r="E1" t="s">
        <v>1590</v>
      </c>
      <c r="F1" t="s">
        <v>1591</v>
      </c>
      <c r="G1" t="s">
        <v>1592</v>
      </c>
      <c r="H1" t="s">
        <v>1593</v>
      </c>
    </row>
    <row r="2" spans="1:8" x14ac:dyDescent="0.35">
      <c r="A2" s="1">
        <v>1</v>
      </c>
      <c r="B2" s="1" t="s">
        <v>1594</v>
      </c>
      <c r="C2" s="1" t="s">
        <v>4</v>
      </c>
      <c r="D2" s="1" t="s">
        <v>1595</v>
      </c>
      <c r="E2" s="1" t="s">
        <v>1596</v>
      </c>
      <c r="F2" s="1" t="s">
        <v>1597</v>
      </c>
      <c r="G2" s="1" t="s">
        <v>1597</v>
      </c>
      <c r="H2" s="1" t="s">
        <v>1598</v>
      </c>
    </row>
    <row r="3" spans="1:8" ht="58" x14ac:dyDescent="0.35">
      <c r="A3" s="1">
        <f>SUM(A2+1)</f>
        <v>2</v>
      </c>
      <c r="B3" s="1" t="s">
        <v>1599</v>
      </c>
      <c r="C3" s="1" t="s">
        <v>6</v>
      </c>
      <c r="D3" s="1" t="s">
        <v>1600</v>
      </c>
      <c r="E3" s="1" t="s">
        <v>1601</v>
      </c>
      <c r="F3" s="1" t="s">
        <v>1602</v>
      </c>
      <c r="G3" s="1" t="s">
        <v>1603</v>
      </c>
      <c r="H3" s="1" t="s">
        <v>1604</v>
      </c>
    </row>
    <row r="4" spans="1:8" ht="43.5" x14ac:dyDescent="0.35">
      <c r="A4" s="1">
        <f t="shared" ref="A4:A67" si="0">SUM(A3+1)</f>
        <v>3</v>
      </c>
      <c r="B4" s="1" t="s">
        <v>1605</v>
      </c>
      <c r="C4" s="1" t="s">
        <v>8</v>
      </c>
      <c r="D4" s="1" t="s">
        <v>1606</v>
      </c>
      <c r="E4" s="1" t="s">
        <v>1607</v>
      </c>
      <c r="F4" s="1" t="s">
        <v>1608</v>
      </c>
      <c r="G4" s="1" t="s">
        <v>1609</v>
      </c>
      <c r="H4" s="1" t="s">
        <v>1610</v>
      </c>
    </row>
    <row r="5" spans="1:8" ht="29" x14ac:dyDescent="0.35">
      <c r="A5" s="1">
        <f t="shared" si="0"/>
        <v>4</v>
      </c>
      <c r="B5" s="1" t="s">
        <v>1611</v>
      </c>
      <c r="C5" s="1" t="s">
        <v>10</v>
      </c>
      <c r="D5" s="1" t="s">
        <v>1612</v>
      </c>
      <c r="E5" s="1" t="s">
        <v>1613</v>
      </c>
      <c r="F5" s="1" t="s">
        <v>1614</v>
      </c>
      <c r="G5" s="1" t="s">
        <v>1614</v>
      </c>
      <c r="H5" s="1" t="s">
        <v>1615</v>
      </c>
    </row>
    <row r="6" spans="1:8" ht="58" x14ac:dyDescent="0.35">
      <c r="A6" s="1">
        <f t="shared" si="0"/>
        <v>5</v>
      </c>
      <c r="B6" s="1" t="s">
        <v>1616</v>
      </c>
      <c r="C6" s="1" t="s">
        <v>12</v>
      </c>
      <c r="D6" s="1" t="s">
        <v>1617</v>
      </c>
      <c r="E6" s="1" t="s">
        <v>1618</v>
      </c>
      <c r="F6" s="1" t="s">
        <v>1619</v>
      </c>
      <c r="G6" s="1" t="s">
        <v>1620</v>
      </c>
      <c r="H6" s="1" t="s">
        <v>1621</v>
      </c>
    </row>
    <row r="7" spans="1:8" ht="43.5" x14ac:dyDescent="0.35">
      <c r="A7" s="1">
        <f t="shared" si="0"/>
        <v>6</v>
      </c>
      <c r="B7" s="1" t="s">
        <v>1622</v>
      </c>
      <c r="C7" s="1" t="s">
        <v>14</v>
      </c>
      <c r="D7" s="1" t="s">
        <v>1623</v>
      </c>
      <c r="E7" s="1" t="s">
        <v>1624</v>
      </c>
      <c r="F7" s="1" t="s">
        <v>1625</v>
      </c>
      <c r="G7" s="1" t="s">
        <v>1625</v>
      </c>
      <c r="H7" s="1" t="s">
        <v>1626</v>
      </c>
    </row>
    <row r="8" spans="1:8" ht="58" x14ac:dyDescent="0.35">
      <c r="A8" s="1">
        <f t="shared" si="0"/>
        <v>7</v>
      </c>
      <c r="B8" s="1" t="s">
        <v>1627</v>
      </c>
      <c r="C8" s="1" t="s">
        <v>16</v>
      </c>
      <c r="D8" s="1" t="s">
        <v>1628</v>
      </c>
      <c r="E8" s="1" t="s">
        <v>1629</v>
      </c>
      <c r="F8" s="1" t="s">
        <v>1630</v>
      </c>
      <c r="G8" s="1" t="s">
        <v>1630</v>
      </c>
      <c r="H8" s="1" t="s">
        <v>1631</v>
      </c>
    </row>
    <row r="9" spans="1:8" ht="58" x14ac:dyDescent="0.35">
      <c r="A9" s="1">
        <f t="shared" si="0"/>
        <v>8</v>
      </c>
      <c r="B9" s="1" t="s">
        <v>1632</v>
      </c>
      <c r="C9" s="1" t="s">
        <v>18</v>
      </c>
      <c r="D9" s="1" t="s">
        <v>1633</v>
      </c>
      <c r="E9" s="1" t="s">
        <v>1634</v>
      </c>
      <c r="F9" s="1" t="s">
        <v>1635</v>
      </c>
      <c r="G9" s="1" t="s">
        <v>1636</v>
      </c>
      <c r="H9" s="1" t="s">
        <v>1637</v>
      </c>
    </row>
    <row r="10" spans="1:8" ht="58" x14ac:dyDescent="0.35">
      <c r="A10" s="1">
        <f t="shared" si="0"/>
        <v>9</v>
      </c>
      <c r="B10" s="1" t="s">
        <v>1638</v>
      </c>
      <c r="C10" s="1" t="s">
        <v>20</v>
      </c>
      <c r="D10" s="1" t="s">
        <v>1639</v>
      </c>
      <c r="E10" s="1" t="s">
        <v>1640</v>
      </c>
      <c r="F10" s="1" t="s">
        <v>1641</v>
      </c>
      <c r="G10" s="1" t="s">
        <v>1642</v>
      </c>
      <c r="H10" s="1" t="s">
        <v>1643</v>
      </c>
    </row>
    <row r="11" spans="1:8" ht="58" x14ac:dyDescent="0.35">
      <c r="A11" s="1">
        <f t="shared" si="0"/>
        <v>10</v>
      </c>
      <c r="B11" s="1" t="s">
        <v>1644</v>
      </c>
      <c r="C11" s="1" t="s">
        <v>22</v>
      </c>
      <c r="D11" s="1" t="s">
        <v>1645</v>
      </c>
      <c r="E11" s="1" t="s">
        <v>1646</v>
      </c>
      <c r="F11" s="1" t="s">
        <v>1647</v>
      </c>
      <c r="G11" s="1" t="s">
        <v>1648</v>
      </c>
      <c r="H11" s="1" t="s">
        <v>1649</v>
      </c>
    </row>
    <row r="12" spans="1:8" ht="43.5" x14ac:dyDescent="0.35">
      <c r="A12" s="1">
        <f t="shared" si="0"/>
        <v>11</v>
      </c>
      <c r="B12" s="1" t="s">
        <v>1650</v>
      </c>
      <c r="C12" s="1" t="s">
        <v>24</v>
      </c>
      <c r="D12" s="1" t="s">
        <v>1651</v>
      </c>
      <c r="E12" s="1" t="s">
        <v>1652</v>
      </c>
      <c r="F12" s="1" t="s">
        <v>1653</v>
      </c>
      <c r="G12" s="1" t="s">
        <v>1653</v>
      </c>
      <c r="H12" s="1" t="s">
        <v>1654</v>
      </c>
    </row>
    <row r="13" spans="1:8" ht="58" x14ac:dyDescent="0.35">
      <c r="A13" s="1">
        <f t="shared" si="0"/>
        <v>12</v>
      </c>
      <c r="B13" s="1" t="s">
        <v>1655</v>
      </c>
      <c r="C13" s="1" t="s">
        <v>26</v>
      </c>
      <c r="D13" s="1" t="s">
        <v>1656</v>
      </c>
      <c r="E13" s="1" t="s">
        <v>1657</v>
      </c>
      <c r="F13" s="1" t="s">
        <v>1658</v>
      </c>
      <c r="G13" s="1" t="s">
        <v>1659</v>
      </c>
      <c r="H13" s="1" t="s">
        <v>1660</v>
      </c>
    </row>
    <row r="14" spans="1:8" ht="43.5" x14ac:dyDescent="0.35">
      <c r="A14" s="1">
        <f t="shared" si="0"/>
        <v>13</v>
      </c>
      <c r="B14" s="1" t="s">
        <v>1661</v>
      </c>
      <c r="C14" s="1" t="s">
        <v>28</v>
      </c>
      <c r="D14" s="1" t="s">
        <v>1662</v>
      </c>
      <c r="E14" s="1" t="s">
        <v>1663</v>
      </c>
      <c r="F14" s="1" t="s">
        <v>1664</v>
      </c>
      <c r="G14" s="1" t="s">
        <v>1665</v>
      </c>
      <c r="H14" s="1" t="s">
        <v>1666</v>
      </c>
    </row>
    <row r="15" spans="1:8" ht="43.5" x14ac:dyDescent="0.35">
      <c r="A15" s="1">
        <f t="shared" si="0"/>
        <v>14</v>
      </c>
      <c r="B15" s="1" t="s">
        <v>1667</v>
      </c>
      <c r="C15" s="1" t="s">
        <v>32</v>
      </c>
      <c r="D15" s="1" t="s">
        <v>1668</v>
      </c>
      <c r="E15" s="1" t="s">
        <v>1669</v>
      </c>
      <c r="F15" s="1" t="s">
        <v>1670</v>
      </c>
      <c r="G15" s="1" t="s">
        <v>1670</v>
      </c>
      <c r="H15" s="1" t="s">
        <v>1671</v>
      </c>
    </row>
    <row r="16" spans="1:8" ht="58" x14ac:dyDescent="0.35">
      <c r="A16" s="1">
        <f t="shared" si="0"/>
        <v>15</v>
      </c>
      <c r="B16" s="1" t="s">
        <v>1672</v>
      </c>
      <c r="C16" s="1" t="s">
        <v>34</v>
      </c>
      <c r="D16" s="1" t="s">
        <v>1673</v>
      </c>
      <c r="E16" s="1" t="s">
        <v>1674</v>
      </c>
      <c r="F16" s="1" t="s">
        <v>1675</v>
      </c>
      <c r="G16" s="1" t="s">
        <v>1676</v>
      </c>
      <c r="H16" s="1" t="s">
        <v>1677</v>
      </c>
    </row>
    <row r="17" spans="1:8" ht="72.5" x14ac:dyDescent="0.35">
      <c r="A17" s="1">
        <f t="shared" si="0"/>
        <v>16</v>
      </c>
      <c r="B17" s="1" t="s">
        <v>1678</v>
      </c>
      <c r="C17" s="1" t="s">
        <v>36</v>
      </c>
      <c r="D17" s="1" t="s">
        <v>1679</v>
      </c>
      <c r="E17" s="1" t="s">
        <v>1680</v>
      </c>
      <c r="F17" s="1" t="s">
        <v>1681</v>
      </c>
      <c r="G17" s="1" t="s">
        <v>1682</v>
      </c>
      <c r="H17" s="1" t="s">
        <v>1683</v>
      </c>
    </row>
    <row r="18" spans="1:8" ht="29" x14ac:dyDescent="0.35">
      <c r="A18" s="1">
        <f t="shared" si="0"/>
        <v>17</v>
      </c>
      <c r="B18" s="1" t="s">
        <v>1684</v>
      </c>
      <c r="C18" s="1" t="s">
        <v>38</v>
      </c>
      <c r="D18" s="1" t="s">
        <v>1685</v>
      </c>
      <c r="E18" s="1" t="s">
        <v>1686</v>
      </c>
      <c r="F18" s="1" t="s">
        <v>1687</v>
      </c>
      <c r="G18" s="1" t="s">
        <v>1688</v>
      </c>
      <c r="H18" s="1" t="s">
        <v>1689</v>
      </c>
    </row>
    <row r="19" spans="1:8" ht="29" x14ac:dyDescent="0.35">
      <c r="A19" s="1">
        <f t="shared" si="0"/>
        <v>18</v>
      </c>
      <c r="B19" s="1" t="s">
        <v>1690</v>
      </c>
      <c r="C19" s="1" t="s">
        <v>40</v>
      </c>
      <c r="D19" s="1" t="s">
        <v>1691</v>
      </c>
      <c r="E19" s="1" t="s">
        <v>1692</v>
      </c>
      <c r="F19" s="1" t="s">
        <v>1693</v>
      </c>
      <c r="G19" s="1" t="s">
        <v>1693</v>
      </c>
      <c r="H19" s="1" t="s">
        <v>1694</v>
      </c>
    </row>
    <row r="20" spans="1:8" ht="29" x14ac:dyDescent="0.35">
      <c r="A20" s="1">
        <f t="shared" si="0"/>
        <v>19</v>
      </c>
      <c r="B20" s="1" t="s">
        <v>1695</v>
      </c>
      <c r="C20" s="1" t="s">
        <v>42</v>
      </c>
      <c r="D20" s="1" t="s">
        <v>1696</v>
      </c>
      <c r="E20" s="1" t="s">
        <v>1697</v>
      </c>
      <c r="F20" s="1" t="s">
        <v>1698</v>
      </c>
      <c r="G20" s="1" t="s">
        <v>1698</v>
      </c>
      <c r="H20" s="1" t="s">
        <v>1699</v>
      </c>
    </row>
    <row r="21" spans="1:8" ht="43.5" x14ac:dyDescent="0.35">
      <c r="A21" s="1">
        <f t="shared" si="0"/>
        <v>20</v>
      </c>
      <c r="B21" s="1" t="s">
        <v>1700</v>
      </c>
      <c r="C21" s="1" t="s">
        <v>44</v>
      </c>
      <c r="D21" s="1" t="s">
        <v>1701</v>
      </c>
      <c r="E21" s="1" t="s">
        <v>1702</v>
      </c>
      <c r="F21" s="1" t="s">
        <v>1703</v>
      </c>
      <c r="G21" s="1" t="s">
        <v>1703</v>
      </c>
      <c r="H21" s="1" t="s">
        <v>1704</v>
      </c>
    </row>
    <row r="22" spans="1:8" ht="58" x14ac:dyDescent="0.35">
      <c r="A22" s="1">
        <f t="shared" si="0"/>
        <v>21</v>
      </c>
      <c r="B22" s="1" t="s">
        <v>1705</v>
      </c>
      <c r="C22" s="1" t="s">
        <v>20</v>
      </c>
      <c r="D22" s="1" t="s">
        <v>1706</v>
      </c>
      <c r="E22" s="1" t="s">
        <v>1707</v>
      </c>
      <c r="F22" s="1" t="s">
        <v>1708</v>
      </c>
      <c r="G22" s="1" t="s">
        <v>1709</v>
      </c>
      <c r="H22" s="1" t="s">
        <v>1710</v>
      </c>
    </row>
    <row r="23" spans="1:8" ht="58" x14ac:dyDescent="0.35">
      <c r="A23" s="1">
        <f t="shared" si="0"/>
        <v>22</v>
      </c>
      <c r="B23" s="1" t="s">
        <v>1711</v>
      </c>
      <c r="C23" s="1" t="s">
        <v>47</v>
      </c>
      <c r="D23" s="1" t="s">
        <v>1712</v>
      </c>
      <c r="E23" s="1" t="s">
        <v>1713</v>
      </c>
      <c r="F23" s="1" t="s">
        <v>1714</v>
      </c>
      <c r="G23" s="1" t="s">
        <v>1715</v>
      </c>
      <c r="H23" s="1" t="s">
        <v>1716</v>
      </c>
    </row>
    <row r="24" spans="1:8" ht="43.5" x14ac:dyDescent="0.35">
      <c r="A24" s="1">
        <f t="shared" si="0"/>
        <v>23</v>
      </c>
      <c r="B24" s="1" t="s">
        <v>1717</v>
      </c>
      <c r="C24" s="1" t="s">
        <v>49</v>
      </c>
      <c r="D24" s="1" t="s">
        <v>1718</v>
      </c>
      <c r="E24" s="1" t="s">
        <v>1719</v>
      </c>
      <c r="F24" s="1" t="s">
        <v>1720</v>
      </c>
      <c r="G24" s="1" t="s">
        <v>1720</v>
      </c>
      <c r="H24" s="1" t="s">
        <v>1721</v>
      </c>
    </row>
    <row r="25" spans="1:8" ht="29" x14ac:dyDescent="0.35">
      <c r="A25" s="1">
        <f t="shared" si="0"/>
        <v>24</v>
      </c>
      <c r="B25" s="1" t="s">
        <v>1722</v>
      </c>
      <c r="C25" s="1" t="s">
        <v>20</v>
      </c>
      <c r="D25" s="1" t="s">
        <v>1723</v>
      </c>
      <c r="E25" s="1" t="s">
        <v>1724</v>
      </c>
      <c r="F25" s="1" t="s">
        <v>1725</v>
      </c>
      <c r="G25" s="1" t="s">
        <v>1726</v>
      </c>
      <c r="H25" s="1" t="s">
        <v>1727</v>
      </c>
    </row>
    <row r="26" spans="1:8" ht="29" x14ac:dyDescent="0.35">
      <c r="A26" s="1">
        <f t="shared" si="0"/>
        <v>25</v>
      </c>
      <c r="B26" s="1" t="s">
        <v>1728</v>
      </c>
      <c r="C26" s="1" t="s">
        <v>52</v>
      </c>
      <c r="D26" s="1" t="s">
        <v>1729</v>
      </c>
      <c r="E26" s="1" t="s">
        <v>1730</v>
      </c>
      <c r="F26" s="1" t="s">
        <v>1731</v>
      </c>
      <c r="G26" s="1" t="s">
        <v>1731</v>
      </c>
      <c r="H26" s="1" t="s">
        <v>1732</v>
      </c>
    </row>
    <row r="27" spans="1:8" ht="29" x14ac:dyDescent="0.35">
      <c r="A27" s="1">
        <f t="shared" si="0"/>
        <v>26</v>
      </c>
      <c r="B27" s="1" t="s">
        <v>1733</v>
      </c>
      <c r="C27" s="1" t="s">
        <v>54</v>
      </c>
      <c r="D27" s="1" t="s">
        <v>1734</v>
      </c>
      <c r="E27" s="1" t="s">
        <v>1735</v>
      </c>
      <c r="F27" s="1" t="s">
        <v>1736</v>
      </c>
      <c r="G27" s="1" t="s">
        <v>1737</v>
      </c>
      <c r="H27" s="1" t="s">
        <v>1738</v>
      </c>
    </row>
    <row r="28" spans="1:8" ht="58" x14ac:dyDescent="0.35">
      <c r="A28" s="1">
        <f t="shared" si="0"/>
        <v>27</v>
      </c>
      <c r="B28" s="1" t="s">
        <v>1739</v>
      </c>
      <c r="C28" s="1" t="s">
        <v>56</v>
      </c>
      <c r="D28" s="1" t="s">
        <v>1740</v>
      </c>
      <c r="E28" s="1" t="s">
        <v>1741</v>
      </c>
      <c r="F28" s="1" t="s">
        <v>1742</v>
      </c>
      <c r="G28" s="1" t="s">
        <v>1743</v>
      </c>
      <c r="H28" s="1" t="s">
        <v>1744</v>
      </c>
    </row>
    <row r="29" spans="1:8" ht="43.5" x14ac:dyDescent="0.35">
      <c r="A29" s="1">
        <f t="shared" si="0"/>
        <v>28</v>
      </c>
      <c r="B29" s="1" t="s">
        <v>1745</v>
      </c>
      <c r="C29" s="1" t="s">
        <v>58</v>
      </c>
      <c r="D29" s="1" t="s">
        <v>1746</v>
      </c>
      <c r="E29" s="1" t="s">
        <v>1747</v>
      </c>
      <c r="F29" s="1" t="s">
        <v>1748</v>
      </c>
      <c r="G29" s="1" t="s">
        <v>1748</v>
      </c>
      <c r="H29" s="1" t="s">
        <v>1749</v>
      </c>
    </row>
    <row r="30" spans="1:8" ht="58" x14ac:dyDescent="0.35">
      <c r="A30" s="1">
        <f t="shared" si="0"/>
        <v>29</v>
      </c>
      <c r="B30" s="1" t="s">
        <v>1750</v>
      </c>
      <c r="C30" s="1" t="s">
        <v>60</v>
      </c>
      <c r="D30" s="1" t="s">
        <v>1751</v>
      </c>
      <c r="E30" s="1" t="s">
        <v>1752</v>
      </c>
      <c r="F30" s="1" t="s">
        <v>1753</v>
      </c>
      <c r="G30" s="1" t="s">
        <v>1754</v>
      </c>
      <c r="H30" s="1" t="s">
        <v>1755</v>
      </c>
    </row>
    <row r="31" spans="1:8" ht="72.5" x14ac:dyDescent="0.35">
      <c r="A31" s="1">
        <f t="shared" si="0"/>
        <v>30</v>
      </c>
      <c r="B31" s="1" t="s">
        <v>1756</v>
      </c>
      <c r="C31" s="1" t="s">
        <v>62</v>
      </c>
      <c r="D31" s="1" t="s">
        <v>1757</v>
      </c>
      <c r="E31" s="1" t="s">
        <v>1758</v>
      </c>
      <c r="F31" s="1" t="s">
        <v>1759</v>
      </c>
      <c r="G31" s="1" t="s">
        <v>1760</v>
      </c>
      <c r="H31" s="1" t="s">
        <v>1761</v>
      </c>
    </row>
    <row r="32" spans="1:8" ht="43.5" x14ac:dyDescent="0.35">
      <c r="A32" s="1">
        <f t="shared" si="0"/>
        <v>31</v>
      </c>
      <c r="B32" s="1" t="s">
        <v>1762</v>
      </c>
      <c r="C32" s="1" t="s">
        <v>64</v>
      </c>
      <c r="D32" s="1" t="s">
        <v>1763</v>
      </c>
      <c r="E32" s="1" t="s">
        <v>1764</v>
      </c>
      <c r="F32" s="1" t="s">
        <v>1765</v>
      </c>
      <c r="G32" s="1" t="s">
        <v>1766</v>
      </c>
      <c r="H32" s="1" t="s">
        <v>1767</v>
      </c>
    </row>
    <row r="33" spans="1:8" ht="58" x14ac:dyDescent="0.35">
      <c r="A33" s="1">
        <f t="shared" si="0"/>
        <v>32</v>
      </c>
      <c r="B33" s="1" t="s">
        <v>1768</v>
      </c>
      <c r="C33" s="1" t="s">
        <v>66</v>
      </c>
      <c r="D33" s="1" t="s">
        <v>1769</v>
      </c>
      <c r="E33" s="1" t="s">
        <v>1770</v>
      </c>
      <c r="F33" s="1" t="s">
        <v>1771</v>
      </c>
      <c r="G33" s="1" t="s">
        <v>1771</v>
      </c>
      <c r="H33" s="1" t="s">
        <v>1772</v>
      </c>
    </row>
    <row r="34" spans="1:8" ht="43.5" x14ac:dyDescent="0.35">
      <c r="A34" s="1">
        <f t="shared" si="0"/>
        <v>33</v>
      </c>
      <c r="B34" s="1" t="s">
        <v>1773</v>
      </c>
      <c r="C34" s="1" t="s">
        <v>68</v>
      </c>
      <c r="D34" s="1" t="s">
        <v>1774</v>
      </c>
      <c r="E34" s="1" t="s">
        <v>1775</v>
      </c>
      <c r="F34" s="1" t="s">
        <v>1776</v>
      </c>
      <c r="G34" s="1" t="s">
        <v>1776</v>
      </c>
      <c r="H34" s="1" t="s">
        <v>1777</v>
      </c>
    </row>
    <row r="35" spans="1:8" ht="58" x14ac:dyDescent="0.35">
      <c r="A35" s="1">
        <f t="shared" si="0"/>
        <v>34</v>
      </c>
      <c r="B35" s="1" t="s">
        <v>1778</v>
      </c>
      <c r="C35" s="1" t="s">
        <v>70</v>
      </c>
      <c r="D35" s="1" t="s">
        <v>1779</v>
      </c>
      <c r="E35" s="1" t="s">
        <v>1780</v>
      </c>
      <c r="F35" s="1" t="s">
        <v>1781</v>
      </c>
      <c r="G35" s="1" t="s">
        <v>1781</v>
      </c>
      <c r="H35" s="1" t="s">
        <v>1782</v>
      </c>
    </row>
    <row r="36" spans="1:8" ht="29" x14ac:dyDescent="0.35">
      <c r="A36" s="1">
        <f t="shared" si="0"/>
        <v>35</v>
      </c>
      <c r="B36" s="1" t="s">
        <v>1783</v>
      </c>
      <c r="C36" s="1" t="s">
        <v>72</v>
      </c>
      <c r="D36" s="1" t="s">
        <v>1784</v>
      </c>
      <c r="E36" s="1" t="s">
        <v>1785</v>
      </c>
      <c r="F36" s="1" t="s">
        <v>1786</v>
      </c>
      <c r="G36" s="1" t="s">
        <v>1786</v>
      </c>
      <c r="H36" s="1" t="s">
        <v>1787</v>
      </c>
    </row>
    <row r="37" spans="1:8" ht="29" x14ac:dyDescent="0.35">
      <c r="A37" s="1">
        <f t="shared" si="0"/>
        <v>36</v>
      </c>
      <c r="B37" s="1" t="s">
        <v>1788</v>
      </c>
      <c r="C37" s="1" t="s">
        <v>74</v>
      </c>
      <c r="D37" s="1" t="s">
        <v>1789</v>
      </c>
      <c r="E37" s="1" t="s">
        <v>1730</v>
      </c>
      <c r="F37" s="1" t="s">
        <v>1790</v>
      </c>
      <c r="G37" s="1" t="s">
        <v>1790</v>
      </c>
      <c r="H37" s="1" t="s">
        <v>1791</v>
      </c>
    </row>
    <row r="38" spans="1:8" ht="58" x14ac:dyDescent="0.35">
      <c r="A38" s="1">
        <f t="shared" si="0"/>
        <v>37</v>
      </c>
      <c r="B38" s="1" t="s">
        <v>1792</v>
      </c>
      <c r="C38" s="1" t="s">
        <v>76</v>
      </c>
      <c r="D38" s="1" t="s">
        <v>1793</v>
      </c>
      <c r="E38" s="1" t="s">
        <v>1794</v>
      </c>
      <c r="F38" s="1" t="s">
        <v>1795</v>
      </c>
      <c r="G38" s="1" t="s">
        <v>1795</v>
      </c>
      <c r="H38" s="1" t="s">
        <v>1796</v>
      </c>
    </row>
    <row r="39" spans="1:8" ht="29" x14ac:dyDescent="0.35">
      <c r="A39" s="1">
        <f t="shared" si="0"/>
        <v>38</v>
      </c>
      <c r="B39" s="1" t="s">
        <v>1797</v>
      </c>
      <c r="C39" s="1" t="s">
        <v>78</v>
      </c>
      <c r="D39" s="1" t="s">
        <v>1798</v>
      </c>
      <c r="E39" s="1" t="s">
        <v>1799</v>
      </c>
      <c r="F39" s="1" t="s">
        <v>1800</v>
      </c>
      <c r="G39" s="1" t="s">
        <v>1800</v>
      </c>
      <c r="H39" s="1" t="s">
        <v>1801</v>
      </c>
    </row>
    <row r="40" spans="1:8" x14ac:dyDescent="0.35">
      <c r="A40" s="1">
        <f t="shared" si="0"/>
        <v>39</v>
      </c>
      <c r="B40" s="1" t="s">
        <v>1802</v>
      </c>
      <c r="C40" s="1" t="s">
        <v>80</v>
      </c>
      <c r="D40" s="1" t="s">
        <v>1803</v>
      </c>
      <c r="E40" s="1" t="s">
        <v>1804</v>
      </c>
      <c r="F40" s="1" t="s">
        <v>1805</v>
      </c>
      <c r="G40" s="1" t="s">
        <v>1805</v>
      </c>
      <c r="H40" s="1" t="s">
        <v>1806</v>
      </c>
    </row>
    <row r="41" spans="1:8" x14ac:dyDescent="0.35">
      <c r="A41" s="1">
        <f t="shared" si="0"/>
        <v>40</v>
      </c>
      <c r="B41" s="1" t="s">
        <v>1807</v>
      </c>
      <c r="C41" s="1" t="s">
        <v>82</v>
      </c>
      <c r="D41" s="1" t="s">
        <v>1808</v>
      </c>
      <c r="E41" s="1" t="s">
        <v>1809</v>
      </c>
      <c r="F41" s="1" t="s">
        <v>1810</v>
      </c>
      <c r="G41" s="1" t="s">
        <v>1810</v>
      </c>
      <c r="H41" s="1" t="s">
        <v>1811</v>
      </c>
    </row>
    <row r="42" spans="1:8" ht="29" x14ac:dyDescent="0.35">
      <c r="A42" s="1">
        <f t="shared" si="0"/>
        <v>41</v>
      </c>
      <c r="B42" s="1" t="s">
        <v>1812</v>
      </c>
      <c r="C42" s="1" t="s">
        <v>84</v>
      </c>
      <c r="D42" s="1" t="s">
        <v>1813</v>
      </c>
      <c r="E42" s="1" t="s">
        <v>1692</v>
      </c>
      <c r="F42" s="1" t="s">
        <v>1814</v>
      </c>
      <c r="G42" s="1" t="s">
        <v>1814</v>
      </c>
      <c r="H42" s="1" t="s">
        <v>1815</v>
      </c>
    </row>
    <row r="43" spans="1:8" ht="58" x14ac:dyDescent="0.35">
      <c r="A43" s="1">
        <f t="shared" si="0"/>
        <v>42</v>
      </c>
      <c r="B43" s="1" t="s">
        <v>1816</v>
      </c>
      <c r="C43" s="1" t="s">
        <v>76</v>
      </c>
      <c r="D43" s="1" t="s">
        <v>1817</v>
      </c>
      <c r="E43" s="1" t="s">
        <v>1818</v>
      </c>
      <c r="F43" s="1" t="s">
        <v>1819</v>
      </c>
      <c r="G43" s="1" t="s">
        <v>1819</v>
      </c>
      <c r="H43" s="1" t="s">
        <v>1820</v>
      </c>
    </row>
    <row r="44" spans="1:8" ht="43.5" x14ac:dyDescent="0.35">
      <c r="A44" s="1">
        <f t="shared" si="0"/>
        <v>43</v>
      </c>
      <c r="B44" s="1" t="s">
        <v>1821</v>
      </c>
      <c r="C44" s="1" t="s">
        <v>87</v>
      </c>
      <c r="D44" s="1" t="s">
        <v>1822</v>
      </c>
      <c r="E44" s="1" t="s">
        <v>1823</v>
      </c>
      <c r="F44" s="1" t="s">
        <v>1824</v>
      </c>
      <c r="G44" s="1" t="s">
        <v>1825</v>
      </c>
      <c r="H44" s="1" t="s">
        <v>1826</v>
      </c>
    </row>
    <row r="45" spans="1:8" ht="29" x14ac:dyDescent="0.35">
      <c r="A45" s="1">
        <f t="shared" si="0"/>
        <v>44</v>
      </c>
      <c r="B45" s="1" t="s">
        <v>1827</v>
      </c>
      <c r="C45" s="1" t="s">
        <v>84</v>
      </c>
      <c r="D45" s="1" t="s">
        <v>1828</v>
      </c>
      <c r="E45" s="1" t="s">
        <v>1829</v>
      </c>
      <c r="F45" s="1" t="s">
        <v>1830</v>
      </c>
      <c r="G45" s="1" t="s">
        <v>1830</v>
      </c>
      <c r="H45" s="1" t="s">
        <v>1831</v>
      </c>
    </row>
    <row r="46" spans="1:8" ht="58" x14ac:dyDescent="0.35">
      <c r="A46" s="1">
        <f t="shared" si="0"/>
        <v>45</v>
      </c>
      <c r="B46" s="1" t="s">
        <v>1832</v>
      </c>
      <c r="C46" s="1" t="s">
        <v>76</v>
      </c>
      <c r="D46" s="1" t="s">
        <v>1833</v>
      </c>
      <c r="E46" s="1" t="s">
        <v>1834</v>
      </c>
      <c r="F46" s="1" t="s">
        <v>1835</v>
      </c>
      <c r="G46" s="1" t="s">
        <v>1835</v>
      </c>
      <c r="H46" s="1" t="s">
        <v>1836</v>
      </c>
    </row>
    <row r="47" spans="1:8" ht="58" x14ac:dyDescent="0.35">
      <c r="A47" s="1">
        <f t="shared" si="0"/>
        <v>46</v>
      </c>
      <c r="B47" s="1" t="s">
        <v>1837</v>
      </c>
      <c r="C47" s="1" t="s">
        <v>91</v>
      </c>
      <c r="D47" s="1" t="s">
        <v>1838</v>
      </c>
      <c r="E47" s="1" t="s">
        <v>1839</v>
      </c>
      <c r="F47" s="1" t="s">
        <v>1840</v>
      </c>
      <c r="G47" s="1" t="s">
        <v>1840</v>
      </c>
      <c r="H47" s="1" t="s">
        <v>1841</v>
      </c>
    </row>
    <row r="48" spans="1:8" ht="29" x14ac:dyDescent="0.35">
      <c r="A48" s="1">
        <f t="shared" si="0"/>
        <v>47</v>
      </c>
      <c r="B48" s="1" t="s">
        <v>1842</v>
      </c>
      <c r="C48" s="1" t="s">
        <v>93</v>
      </c>
      <c r="D48" s="1" t="s">
        <v>1843</v>
      </c>
      <c r="E48" s="1" t="s">
        <v>1844</v>
      </c>
      <c r="F48" s="1" t="s">
        <v>1845</v>
      </c>
      <c r="G48" s="1" t="s">
        <v>1845</v>
      </c>
      <c r="H48" s="1" t="s">
        <v>1846</v>
      </c>
    </row>
    <row r="49" spans="1:8" x14ac:dyDescent="0.35">
      <c r="A49" s="1">
        <f t="shared" si="0"/>
        <v>48</v>
      </c>
      <c r="B49" s="1" t="s">
        <v>1847</v>
      </c>
      <c r="C49" s="1" t="s">
        <v>93</v>
      </c>
      <c r="D49" s="1" t="s">
        <v>1848</v>
      </c>
      <c r="E49" s="1" t="s">
        <v>1804</v>
      </c>
      <c r="F49" s="1" t="s">
        <v>1849</v>
      </c>
      <c r="G49" s="1" t="s">
        <v>1849</v>
      </c>
      <c r="H49" s="1" t="s">
        <v>1850</v>
      </c>
    </row>
    <row r="50" spans="1:8" ht="58" x14ac:dyDescent="0.35">
      <c r="A50" s="1">
        <f t="shared" si="0"/>
        <v>49</v>
      </c>
      <c r="B50" s="1" t="s">
        <v>1851</v>
      </c>
      <c r="C50" s="1" t="s">
        <v>76</v>
      </c>
      <c r="D50" s="1" t="s">
        <v>1852</v>
      </c>
      <c r="E50" s="1" t="s">
        <v>1853</v>
      </c>
      <c r="F50" s="1" t="s">
        <v>1854</v>
      </c>
      <c r="G50" s="1" t="s">
        <v>1854</v>
      </c>
      <c r="H50" s="1" t="s">
        <v>1855</v>
      </c>
    </row>
    <row r="51" spans="1:8" ht="29" x14ac:dyDescent="0.35">
      <c r="A51" s="1">
        <f t="shared" si="0"/>
        <v>50</v>
      </c>
      <c r="B51" s="1" t="s">
        <v>1856</v>
      </c>
      <c r="C51" s="1" t="s">
        <v>93</v>
      </c>
      <c r="D51" s="1" t="s">
        <v>1857</v>
      </c>
      <c r="E51" s="1" t="s">
        <v>1596</v>
      </c>
      <c r="F51" s="1" t="s">
        <v>1858</v>
      </c>
      <c r="G51" s="1" t="s">
        <v>1858</v>
      </c>
      <c r="H51" s="1" t="s">
        <v>1859</v>
      </c>
    </row>
    <row r="52" spans="1:8" ht="29" x14ac:dyDescent="0.35">
      <c r="A52" s="1">
        <f t="shared" si="0"/>
        <v>51</v>
      </c>
      <c r="B52" s="1" t="s">
        <v>1860</v>
      </c>
      <c r="C52" s="1" t="s">
        <v>98</v>
      </c>
      <c r="D52" s="1" t="s">
        <v>1861</v>
      </c>
      <c r="E52" s="1" t="s">
        <v>1692</v>
      </c>
      <c r="F52" s="1" t="s">
        <v>1862</v>
      </c>
      <c r="G52" s="1" t="s">
        <v>1862</v>
      </c>
      <c r="H52" s="1" t="s">
        <v>1863</v>
      </c>
    </row>
    <row r="53" spans="1:8" ht="29" x14ac:dyDescent="0.35">
      <c r="A53" s="1">
        <f t="shared" si="0"/>
        <v>52</v>
      </c>
      <c r="B53" s="1" t="s">
        <v>1864</v>
      </c>
      <c r="C53" s="1" t="s">
        <v>100</v>
      </c>
      <c r="D53" s="1" t="s">
        <v>1865</v>
      </c>
      <c r="E53" s="1" t="s">
        <v>1730</v>
      </c>
      <c r="F53" s="1" t="s">
        <v>1866</v>
      </c>
      <c r="G53" s="1" t="s">
        <v>1866</v>
      </c>
      <c r="H53" s="1" t="s">
        <v>1867</v>
      </c>
    </row>
    <row r="54" spans="1:8" x14ac:dyDescent="0.35">
      <c r="A54" s="1">
        <f t="shared" si="0"/>
        <v>53</v>
      </c>
      <c r="B54" s="1" t="s">
        <v>1868</v>
      </c>
      <c r="C54" s="1" t="s">
        <v>102</v>
      </c>
      <c r="D54" s="1" t="s">
        <v>1869</v>
      </c>
      <c r="E54" s="1" t="s">
        <v>1596</v>
      </c>
      <c r="F54" s="1" t="s">
        <v>1870</v>
      </c>
      <c r="G54" s="1" t="s">
        <v>1871</v>
      </c>
      <c r="H54" s="1" t="s">
        <v>1872</v>
      </c>
    </row>
    <row r="55" spans="1:8" ht="29" x14ac:dyDescent="0.35">
      <c r="A55" s="1">
        <f t="shared" si="0"/>
        <v>54</v>
      </c>
      <c r="B55" s="1" t="s">
        <v>1873</v>
      </c>
      <c r="C55" s="1" t="s">
        <v>100</v>
      </c>
      <c r="D55" s="1" t="s">
        <v>1874</v>
      </c>
      <c r="E55" s="1" t="s">
        <v>1804</v>
      </c>
      <c r="F55" s="1" t="s">
        <v>1875</v>
      </c>
      <c r="G55" s="1" t="s">
        <v>1875</v>
      </c>
      <c r="H55" s="1" t="s">
        <v>1876</v>
      </c>
    </row>
    <row r="56" spans="1:8" ht="58" x14ac:dyDescent="0.35">
      <c r="A56" s="1">
        <f t="shared" si="0"/>
        <v>55</v>
      </c>
      <c r="B56" s="1" t="s">
        <v>1877</v>
      </c>
      <c r="C56" s="1" t="s">
        <v>105</v>
      </c>
      <c r="D56" s="1" t="s">
        <v>1878</v>
      </c>
      <c r="E56" s="1" t="s">
        <v>1879</v>
      </c>
      <c r="F56" s="1" t="s">
        <v>1880</v>
      </c>
      <c r="G56" s="1" t="s">
        <v>1880</v>
      </c>
      <c r="H56" s="1" t="s">
        <v>1881</v>
      </c>
    </row>
    <row r="57" spans="1:8" ht="29" x14ac:dyDescent="0.35">
      <c r="A57" s="1">
        <f t="shared" si="0"/>
        <v>56</v>
      </c>
      <c r="B57" s="1" t="s">
        <v>1882</v>
      </c>
      <c r="C57" s="1" t="s">
        <v>108</v>
      </c>
      <c r="D57" s="1" t="s">
        <v>1883</v>
      </c>
      <c r="E57" s="1" t="s">
        <v>1884</v>
      </c>
      <c r="F57" s="1" t="s">
        <v>1883</v>
      </c>
      <c r="G57" s="1" t="s">
        <v>1883</v>
      </c>
      <c r="H57" s="1" t="s">
        <v>1885</v>
      </c>
    </row>
    <row r="58" spans="1:8" x14ac:dyDescent="0.35">
      <c r="A58" s="1">
        <f t="shared" si="0"/>
        <v>57</v>
      </c>
      <c r="B58" s="1" t="s">
        <v>1886</v>
      </c>
      <c r="C58" s="1" t="s">
        <v>110</v>
      </c>
      <c r="D58" s="1" t="s">
        <v>1887</v>
      </c>
      <c r="E58" s="1" t="s">
        <v>1888</v>
      </c>
      <c r="F58" s="1" t="s">
        <v>1887</v>
      </c>
      <c r="G58" s="1" t="s">
        <v>1889</v>
      </c>
      <c r="H58" s="1" t="s">
        <v>1890</v>
      </c>
    </row>
    <row r="59" spans="1:8" ht="43.5" x14ac:dyDescent="0.35">
      <c r="A59" s="1">
        <f t="shared" si="0"/>
        <v>58</v>
      </c>
      <c r="B59" s="1" t="s">
        <v>1891</v>
      </c>
      <c r="C59" s="1" t="s">
        <v>112</v>
      </c>
      <c r="D59" s="1" t="s">
        <v>1892</v>
      </c>
      <c r="E59" s="1" t="s">
        <v>1893</v>
      </c>
      <c r="F59" s="1" t="s">
        <v>1894</v>
      </c>
      <c r="G59" s="1" t="s">
        <v>1894</v>
      </c>
      <c r="H59" s="1" t="s">
        <v>1895</v>
      </c>
    </row>
    <row r="60" spans="1:8" ht="29" x14ac:dyDescent="0.35">
      <c r="A60" s="1">
        <f t="shared" si="0"/>
        <v>59</v>
      </c>
      <c r="B60" s="1" t="s">
        <v>1896</v>
      </c>
      <c r="C60" s="1" t="s">
        <v>114</v>
      </c>
      <c r="D60" s="1" t="s">
        <v>1897</v>
      </c>
      <c r="E60" s="1" t="s">
        <v>1596</v>
      </c>
      <c r="F60" s="1" t="s">
        <v>1897</v>
      </c>
      <c r="G60" s="1" t="s">
        <v>1897</v>
      </c>
      <c r="H60" s="1" t="s">
        <v>1898</v>
      </c>
    </row>
    <row r="61" spans="1:8" ht="29" x14ac:dyDescent="0.35">
      <c r="A61" s="1">
        <f t="shared" si="0"/>
        <v>60</v>
      </c>
      <c r="B61" s="1" t="s">
        <v>1899</v>
      </c>
      <c r="C61" s="1" t="s">
        <v>116</v>
      </c>
      <c r="D61" s="1" t="s">
        <v>1900</v>
      </c>
      <c r="E61" s="1" t="s">
        <v>1829</v>
      </c>
      <c r="F61" s="1" t="s">
        <v>1901</v>
      </c>
      <c r="G61" s="1" t="s">
        <v>1902</v>
      </c>
      <c r="H61" s="1" t="s">
        <v>1903</v>
      </c>
    </row>
    <row r="62" spans="1:8" ht="58" x14ac:dyDescent="0.35">
      <c r="A62" s="1">
        <f t="shared" si="0"/>
        <v>61</v>
      </c>
      <c r="B62" s="1" t="s">
        <v>1904</v>
      </c>
      <c r="C62" s="1" t="s">
        <v>119</v>
      </c>
      <c r="D62" s="1" t="s">
        <v>1905</v>
      </c>
      <c r="E62" s="1" t="s">
        <v>1906</v>
      </c>
      <c r="F62" s="1" t="s">
        <v>1907</v>
      </c>
      <c r="G62" s="1" t="s">
        <v>1907</v>
      </c>
      <c r="H62" s="1" t="s">
        <v>1908</v>
      </c>
    </row>
    <row r="63" spans="1:8" ht="58" x14ac:dyDescent="0.35">
      <c r="A63" s="1">
        <f t="shared" si="0"/>
        <v>62</v>
      </c>
      <c r="B63" s="1" t="s">
        <v>1909</v>
      </c>
      <c r="C63" s="1" t="s">
        <v>121</v>
      </c>
      <c r="D63" s="1" t="s">
        <v>1910</v>
      </c>
      <c r="E63" s="1" t="s">
        <v>1652</v>
      </c>
      <c r="F63" s="1" t="s">
        <v>1911</v>
      </c>
      <c r="G63" s="1" t="s">
        <v>1911</v>
      </c>
      <c r="H63" s="1" t="s">
        <v>1912</v>
      </c>
    </row>
    <row r="64" spans="1:8" ht="43.5" x14ac:dyDescent="0.35">
      <c r="A64" s="1">
        <f t="shared" si="0"/>
        <v>63</v>
      </c>
      <c r="B64" s="1" t="s">
        <v>1913</v>
      </c>
      <c r="C64" s="1" t="s">
        <v>123</v>
      </c>
      <c r="D64" s="1" t="s">
        <v>1914</v>
      </c>
      <c r="E64" s="1" t="s">
        <v>1915</v>
      </c>
      <c r="F64" s="1" t="s">
        <v>1916</v>
      </c>
      <c r="G64" s="1" t="s">
        <v>1916</v>
      </c>
      <c r="H64" s="1" t="s">
        <v>1917</v>
      </c>
    </row>
    <row r="65" spans="1:8" ht="43.5" x14ac:dyDescent="0.35">
      <c r="A65" s="1">
        <f t="shared" si="0"/>
        <v>64</v>
      </c>
      <c r="B65" s="1" t="s">
        <v>1918</v>
      </c>
      <c r="C65" s="1" t="s">
        <v>125</v>
      </c>
      <c r="D65" s="1" t="s">
        <v>1919</v>
      </c>
      <c r="E65" s="1" t="s">
        <v>1920</v>
      </c>
      <c r="F65" s="1" t="s">
        <v>1921</v>
      </c>
      <c r="G65" s="1" t="s">
        <v>1921</v>
      </c>
      <c r="H65" s="1" t="s">
        <v>1922</v>
      </c>
    </row>
    <row r="66" spans="1:8" ht="58" x14ac:dyDescent="0.35">
      <c r="A66" s="1">
        <f t="shared" si="0"/>
        <v>65</v>
      </c>
      <c r="B66" s="1" t="s">
        <v>1923</v>
      </c>
      <c r="C66" s="1" t="s">
        <v>127</v>
      </c>
      <c r="D66" s="1" t="s">
        <v>1924</v>
      </c>
      <c r="E66" s="1" t="s">
        <v>1624</v>
      </c>
      <c r="F66" s="1" t="s">
        <v>1925</v>
      </c>
      <c r="G66" s="1" t="s">
        <v>1925</v>
      </c>
      <c r="H66" s="1" t="s">
        <v>1926</v>
      </c>
    </row>
    <row r="67" spans="1:8" ht="29" x14ac:dyDescent="0.35">
      <c r="A67" s="1">
        <f t="shared" si="0"/>
        <v>66</v>
      </c>
      <c r="B67" s="1" t="s">
        <v>1927</v>
      </c>
      <c r="C67" s="1" t="s">
        <v>129</v>
      </c>
      <c r="D67" s="1" t="s">
        <v>1928</v>
      </c>
      <c r="E67" s="1" t="s">
        <v>1929</v>
      </c>
      <c r="F67" s="1" t="s">
        <v>1930</v>
      </c>
      <c r="G67" s="1" t="s">
        <v>1931</v>
      </c>
      <c r="H67" s="1" t="s">
        <v>1932</v>
      </c>
    </row>
    <row r="68" spans="1:8" ht="29" x14ac:dyDescent="0.35">
      <c r="A68" s="1">
        <f t="shared" ref="A68:A131" si="1">SUM(A67+1)</f>
        <v>67</v>
      </c>
      <c r="B68" s="1" t="s">
        <v>1933</v>
      </c>
      <c r="C68" s="1" t="s">
        <v>93</v>
      </c>
      <c r="D68" s="1" t="s">
        <v>1934</v>
      </c>
      <c r="E68" s="1" t="s">
        <v>1596</v>
      </c>
      <c r="F68" s="1" t="s">
        <v>1935</v>
      </c>
      <c r="G68" s="1" t="s">
        <v>1935</v>
      </c>
      <c r="H68" s="1" t="s">
        <v>1936</v>
      </c>
    </row>
    <row r="69" spans="1:8" ht="29" x14ac:dyDescent="0.35">
      <c r="A69" s="1">
        <f t="shared" si="1"/>
        <v>68</v>
      </c>
      <c r="B69" s="1" t="s">
        <v>1937</v>
      </c>
      <c r="C69" s="1" t="s">
        <v>133</v>
      </c>
      <c r="D69" s="1" t="s">
        <v>1938</v>
      </c>
      <c r="E69" s="1" t="s">
        <v>1596</v>
      </c>
      <c r="F69" s="1" t="s">
        <v>1938</v>
      </c>
      <c r="G69" s="1" t="s">
        <v>1938</v>
      </c>
      <c r="H69" s="1" t="s">
        <v>1939</v>
      </c>
    </row>
    <row r="70" spans="1:8" ht="29" x14ac:dyDescent="0.35">
      <c r="A70" s="1">
        <f t="shared" si="1"/>
        <v>69</v>
      </c>
      <c r="B70" s="1" t="s">
        <v>1940</v>
      </c>
      <c r="C70" s="1" t="s">
        <v>135</v>
      </c>
      <c r="D70" s="1" t="s">
        <v>1941</v>
      </c>
      <c r="E70" s="1" t="s">
        <v>1692</v>
      </c>
      <c r="F70" s="1" t="s">
        <v>1942</v>
      </c>
      <c r="G70" s="1" t="s">
        <v>1942</v>
      </c>
      <c r="H70" s="1" t="s">
        <v>1943</v>
      </c>
    </row>
    <row r="71" spans="1:8" ht="58" x14ac:dyDescent="0.35">
      <c r="A71" s="1">
        <f t="shared" si="1"/>
        <v>70</v>
      </c>
      <c r="B71" s="1" t="s">
        <v>1944</v>
      </c>
      <c r="C71" s="1" t="s">
        <v>137</v>
      </c>
      <c r="D71" s="1" t="s">
        <v>1945</v>
      </c>
      <c r="E71" s="1" t="s">
        <v>1946</v>
      </c>
      <c r="F71" s="1" t="s">
        <v>1947</v>
      </c>
      <c r="G71" s="1" t="s">
        <v>1947</v>
      </c>
      <c r="H71" s="1" t="s">
        <v>1948</v>
      </c>
    </row>
    <row r="72" spans="1:8" ht="58" x14ac:dyDescent="0.35">
      <c r="A72" s="1">
        <f t="shared" si="1"/>
        <v>71</v>
      </c>
      <c r="B72" s="1" t="s">
        <v>1949</v>
      </c>
      <c r="C72" s="1" t="s">
        <v>139</v>
      </c>
      <c r="D72" s="1" t="s">
        <v>1950</v>
      </c>
      <c r="E72" s="1" t="s">
        <v>1951</v>
      </c>
      <c r="F72" s="1" t="s">
        <v>1952</v>
      </c>
      <c r="G72" s="1" t="s">
        <v>1952</v>
      </c>
      <c r="H72" s="1" t="s">
        <v>1953</v>
      </c>
    </row>
    <row r="73" spans="1:8" ht="29" x14ac:dyDescent="0.35">
      <c r="A73" s="1">
        <f t="shared" si="1"/>
        <v>72</v>
      </c>
      <c r="B73" s="1" t="s">
        <v>1954</v>
      </c>
      <c r="C73" s="1" t="s">
        <v>141</v>
      </c>
      <c r="D73" s="1" t="s">
        <v>1955</v>
      </c>
      <c r="E73" s="1" t="s">
        <v>1730</v>
      </c>
      <c r="F73" s="1" t="s">
        <v>1956</v>
      </c>
      <c r="G73" s="1" t="s">
        <v>1956</v>
      </c>
      <c r="H73" s="1" t="s">
        <v>1957</v>
      </c>
    </row>
    <row r="74" spans="1:8" ht="43.5" x14ac:dyDescent="0.35">
      <c r="A74" s="1">
        <f t="shared" si="1"/>
        <v>73</v>
      </c>
      <c r="B74" s="1" t="s">
        <v>1958</v>
      </c>
      <c r="C74" s="1" t="s">
        <v>143</v>
      </c>
      <c r="D74" s="1" t="s">
        <v>1959</v>
      </c>
      <c r="E74" s="1" t="s">
        <v>1893</v>
      </c>
      <c r="F74" s="1" t="s">
        <v>1960</v>
      </c>
      <c r="G74" s="1" t="s">
        <v>1960</v>
      </c>
      <c r="H74" s="1" t="s">
        <v>1961</v>
      </c>
    </row>
    <row r="75" spans="1:8" ht="29" x14ac:dyDescent="0.35">
      <c r="A75" s="1">
        <f t="shared" si="1"/>
        <v>74</v>
      </c>
      <c r="B75" s="1" t="s">
        <v>1962</v>
      </c>
      <c r="C75" s="1" t="s">
        <v>143</v>
      </c>
      <c r="D75" s="1" t="s">
        <v>1963</v>
      </c>
      <c r="E75" s="1" t="s">
        <v>1964</v>
      </c>
      <c r="F75" s="1" t="s">
        <v>1965</v>
      </c>
      <c r="G75" s="1" t="s">
        <v>1965</v>
      </c>
      <c r="H75" s="1" t="s">
        <v>1966</v>
      </c>
    </row>
    <row r="76" spans="1:8" ht="43.5" x14ac:dyDescent="0.35">
      <c r="A76" s="1">
        <f t="shared" si="1"/>
        <v>75</v>
      </c>
      <c r="B76" s="1" t="s">
        <v>1967</v>
      </c>
      <c r="C76" s="1" t="s">
        <v>143</v>
      </c>
      <c r="D76" s="1" t="s">
        <v>1968</v>
      </c>
      <c r="E76" s="1" t="s">
        <v>1893</v>
      </c>
      <c r="F76" s="1" t="s">
        <v>1969</v>
      </c>
      <c r="G76" s="1" t="s">
        <v>1969</v>
      </c>
      <c r="H76" s="1" t="s">
        <v>1970</v>
      </c>
    </row>
    <row r="77" spans="1:8" ht="43.5" x14ac:dyDescent="0.35">
      <c r="A77" s="1">
        <f t="shared" si="1"/>
        <v>76</v>
      </c>
      <c r="B77" s="1" t="s">
        <v>1971</v>
      </c>
      <c r="C77" s="1" t="s">
        <v>149</v>
      </c>
      <c r="D77" s="1" t="s">
        <v>1972</v>
      </c>
      <c r="E77" s="1" t="s">
        <v>1973</v>
      </c>
      <c r="F77" s="1" t="s">
        <v>1974</v>
      </c>
      <c r="G77" s="1" t="s">
        <v>1974</v>
      </c>
      <c r="H77" s="1" t="s">
        <v>1975</v>
      </c>
    </row>
    <row r="78" spans="1:8" ht="29" x14ac:dyDescent="0.35">
      <c r="A78" s="1">
        <f t="shared" si="1"/>
        <v>77</v>
      </c>
      <c r="B78" s="1" t="s">
        <v>1976</v>
      </c>
      <c r="C78" s="1" t="s">
        <v>143</v>
      </c>
      <c r="D78" s="1" t="s">
        <v>1977</v>
      </c>
      <c r="E78" s="1" t="s">
        <v>1724</v>
      </c>
      <c r="F78" s="1" t="s">
        <v>1978</v>
      </c>
      <c r="G78" s="1" t="s">
        <v>1978</v>
      </c>
      <c r="H78" s="1" t="s">
        <v>1979</v>
      </c>
    </row>
    <row r="79" spans="1:8" ht="29" x14ac:dyDescent="0.35">
      <c r="A79" s="1">
        <f t="shared" si="1"/>
        <v>78</v>
      </c>
      <c r="B79" s="1" t="s">
        <v>1980</v>
      </c>
      <c r="C79" s="1" t="s">
        <v>143</v>
      </c>
      <c r="D79" s="1" t="s">
        <v>1981</v>
      </c>
      <c r="E79" s="1" t="s">
        <v>1692</v>
      </c>
      <c r="F79" s="1" t="s">
        <v>1982</v>
      </c>
      <c r="G79" s="1" t="s">
        <v>1982</v>
      </c>
      <c r="H79" s="1" t="s">
        <v>1983</v>
      </c>
    </row>
    <row r="80" spans="1:8" x14ac:dyDescent="0.35">
      <c r="A80" s="1">
        <f t="shared" si="1"/>
        <v>79</v>
      </c>
      <c r="B80" s="1" t="s">
        <v>1984</v>
      </c>
      <c r="C80" s="1" t="s">
        <v>153</v>
      </c>
      <c r="D80" s="1" t="s">
        <v>1985</v>
      </c>
      <c r="E80" s="1" t="s">
        <v>1804</v>
      </c>
      <c r="F80" s="1" t="s">
        <v>1986</v>
      </c>
      <c r="G80" s="1" t="s">
        <v>1986</v>
      </c>
      <c r="H80" s="1" t="s">
        <v>1987</v>
      </c>
    </row>
    <row r="81" spans="1:8" ht="29" x14ac:dyDescent="0.35">
      <c r="A81" s="1">
        <f t="shared" si="1"/>
        <v>80</v>
      </c>
      <c r="B81" s="1" t="s">
        <v>1988</v>
      </c>
      <c r="C81" s="1" t="s">
        <v>157</v>
      </c>
      <c r="D81" s="1" t="s">
        <v>1989</v>
      </c>
      <c r="E81" s="1" t="s">
        <v>1990</v>
      </c>
      <c r="F81" s="1" t="s">
        <v>1991</v>
      </c>
      <c r="G81" s="1" t="s">
        <v>1991</v>
      </c>
      <c r="H81" s="1" t="s">
        <v>1992</v>
      </c>
    </row>
    <row r="82" spans="1:8" ht="29" x14ac:dyDescent="0.35">
      <c r="A82" s="1">
        <f t="shared" si="1"/>
        <v>81</v>
      </c>
      <c r="B82" s="1" t="s">
        <v>1993</v>
      </c>
      <c r="C82" s="1" t="s">
        <v>159</v>
      </c>
      <c r="D82" s="1" t="s">
        <v>1994</v>
      </c>
      <c r="E82" s="1" t="s">
        <v>1735</v>
      </c>
      <c r="F82" s="1" t="s">
        <v>1995</v>
      </c>
      <c r="G82" s="1" t="s">
        <v>1995</v>
      </c>
      <c r="H82" s="1" t="s">
        <v>1996</v>
      </c>
    </row>
    <row r="83" spans="1:8" ht="43.5" x14ac:dyDescent="0.35">
      <c r="A83" s="1">
        <f t="shared" si="1"/>
        <v>82</v>
      </c>
      <c r="B83" s="1" t="s">
        <v>1997</v>
      </c>
      <c r="C83" s="1" t="s">
        <v>161</v>
      </c>
      <c r="D83" s="1" t="s">
        <v>1998</v>
      </c>
      <c r="E83" s="1" t="s">
        <v>1999</v>
      </c>
      <c r="F83" s="1" t="s">
        <v>2000</v>
      </c>
      <c r="G83" s="1" t="s">
        <v>2000</v>
      </c>
      <c r="H83" s="1" t="s">
        <v>2001</v>
      </c>
    </row>
    <row r="84" spans="1:8" ht="29" x14ac:dyDescent="0.35">
      <c r="A84" s="1">
        <f t="shared" si="1"/>
        <v>83</v>
      </c>
      <c r="B84" s="1" t="s">
        <v>2002</v>
      </c>
      <c r="C84" s="1" t="s">
        <v>102</v>
      </c>
      <c r="D84" s="1" t="s">
        <v>2003</v>
      </c>
      <c r="E84" s="1" t="s">
        <v>1613</v>
      </c>
      <c r="F84" s="1" t="s">
        <v>2004</v>
      </c>
      <c r="G84" s="1" t="s">
        <v>2004</v>
      </c>
      <c r="H84" s="1" t="s">
        <v>2005</v>
      </c>
    </row>
    <row r="85" spans="1:8" ht="58" x14ac:dyDescent="0.35">
      <c r="A85" s="1">
        <f t="shared" si="1"/>
        <v>84</v>
      </c>
      <c r="B85" s="1" t="s">
        <v>2006</v>
      </c>
      <c r="C85" s="1" t="s">
        <v>125</v>
      </c>
      <c r="D85" s="1" t="s">
        <v>2007</v>
      </c>
      <c r="E85" s="1" t="s">
        <v>2008</v>
      </c>
      <c r="F85" s="1" t="s">
        <v>2009</v>
      </c>
      <c r="G85" s="1" t="s">
        <v>2009</v>
      </c>
      <c r="H85" s="1" t="s">
        <v>2010</v>
      </c>
    </row>
    <row r="86" spans="1:8" ht="29" x14ac:dyDescent="0.35">
      <c r="A86" s="1">
        <f t="shared" si="1"/>
        <v>85</v>
      </c>
      <c r="B86" s="1" t="s">
        <v>2011</v>
      </c>
      <c r="C86" s="1" t="s">
        <v>137</v>
      </c>
      <c r="D86" s="1" t="s">
        <v>2012</v>
      </c>
      <c r="E86" s="1" t="s">
        <v>1613</v>
      </c>
      <c r="F86" s="1" t="s">
        <v>2013</v>
      </c>
      <c r="G86" s="1" t="s">
        <v>2014</v>
      </c>
      <c r="H86" s="1" t="s">
        <v>2015</v>
      </c>
    </row>
    <row r="87" spans="1:8" x14ac:dyDescent="0.35">
      <c r="A87" s="1">
        <f t="shared" si="1"/>
        <v>86</v>
      </c>
      <c r="B87" s="1" t="s">
        <v>2016</v>
      </c>
      <c r="C87" s="1" t="s">
        <v>166</v>
      </c>
      <c r="D87" s="1" t="s">
        <v>2017</v>
      </c>
      <c r="E87" s="1" t="s">
        <v>1844</v>
      </c>
      <c r="F87" s="1" t="s">
        <v>2018</v>
      </c>
      <c r="G87" s="1" t="s">
        <v>2018</v>
      </c>
      <c r="H87" s="1" t="s">
        <v>2019</v>
      </c>
    </row>
    <row r="88" spans="1:8" ht="58" x14ac:dyDescent="0.35">
      <c r="A88" s="1">
        <f t="shared" si="1"/>
        <v>87</v>
      </c>
      <c r="B88" s="1" t="s">
        <v>2020</v>
      </c>
      <c r="C88" s="1" t="s">
        <v>168</v>
      </c>
      <c r="D88" s="1" t="s">
        <v>2021</v>
      </c>
      <c r="E88" s="1" t="s">
        <v>2022</v>
      </c>
      <c r="F88" s="1" t="s">
        <v>2023</v>
      </c>
      <c r="G88" s="1" t="s">
        <v>2024</v>
      </c>
      <c r="H88" s="1" t="s">
        <v>2025</v>
      </c>
    </row>
    <row r="89" spans="1:8" ht="29" x14ac:dyDescent="0.35">
      <c r="A89" s="1">
        <f t="shared" si="1"/>
        <v>88</v>
      </c>
      <c r="B89" s="1" t="s">
        <v>2026</v>
      </c>
      <c r="C89" s="1" t="s">
        <v>170</v>
      </c>
      <c r="D89" s="1" t="s">
        <v>2027</v>
      </c>
      <c r="E89" s="1" t="s">
        <v>1596</v>
      </c>
      <c r="F89" s="1" t="s">
        <v>2028</v>
      </c>
      <c r="G89" s="1" t="s">
        <v>2028</v>
      </c>
      <c r="H89" s="1" t="s">
        <v>2029</v>
      </c>
    </row>
    <row r="90" spans="1:8" ht="58" x14ac:dyDescent="0.35">
      <c r="A90" s="1">
        <f t="shared" si="1"/>
        <v>89</v>
      </c>
      <c r="B90" s="1" t="s">
        <v>2030</v>
      </c>
      <c r="C90" s="1" t="s">
        <v>172</v>
      </c>
      <c r="D90" s="1" t="s">
        <v>2031</v>
      </c>
      <c r="E90" s="1" t="s">
        <v>1652</v>
      </c>
      <c r="F90" s="1" t="s">
        <v>2032</v>
      </c>
      <c r="G90" s="1" t="s">
        <v>2032</v>
      </c>
      <c r="H90" s="1" t="s">
        <v>2033</v>
      </c>
    </row>
    <row r="91" spans="1:8" ht="58" x14ac:dyDescent="0.35">
      <c r="A91" s="1">
        <f t="shared" si="1"/>
        <v>90</v>
      </c>
      <c r="B91" s="1" t="s">
        <v>2034</v>
      </c>
      <c r="C91" s="1" t="s">
        <v>174</v>
      </c>
      <c r="D91" s="1" t="s">
        <v>2035</v>
      </c>
      <c r="E91" s="1" t="s">
        <v>2036</v>
      </c>
      <c r="F91" s="1" t="s">
        <v>2037</v>
      </c>
      <c r="G91" s="1" t="s">
        <v>2037</v>
      </c>
      <c r="H91" s="1" t="s">
        <v>2038</v>
      </c>
    </row>
    <row r="92" spans="1:8" ht="58" x14ac:dyDescent="0.35">
      <c r="A92" s="1">
        <f t="shared" si="1"/>
        <v>91</v>
      </c>
      <c r="B92" s="1" t="s">
        <v>2039</v>
      </c>
      <c r="C92" s="1" t="s">
        <v>176</v>
      </c>
      <c r="D92" s="1" t="s">
        <v>2040</v>
      </c>
      <c r="E92" s="1" t="s">
        <v>2041</v>
      </c>
      <c r="F92" s="1" t="s">
        <v>2042</v>
      </c>
      <c r="G92" s="1" t="s">
        <v>2043</v>
      </c>
      <c r="H92" s="1" t="s">
        <v>2044</v>
      </c>
    </row>
    <row r="93" spans="1:8" ht="29" x14ac:dyDescent="0.35">
      <c r="A93" s="1">
        <f t="shared" si="1"/>
        <v>92</v>
      </c>
      <c r="B93" s="1" t="s">
        <v>2045</v>
      </c>
      <c r="C93" s="1" t="s">
        <v>143</v>
      </c>
      <c r="D93" s="1" t="s">
        <v>2046</v>
      </c>
      <c r="E93" s="1" t="s">
        <v>1929</v>
      </c>
      <c r="F93" s="1" t="s">
        <v>2047</v>
      </c>
      <c r="G93" s="1" t="s">
        <v>2048</v>
      </c>
      <c r="H93" s="1" t="s">
        <v>2049</v>
      </c>
    </row>
    <row r="94" spans="1:8" ht="58" x14ac:dyDescent="0.35">
      <c r="A94" s="1">
        <f t="shared" si="1"/>
        <v>93</v>
      </c>
      <c r="B94" s="1" t="s">
        <v>2050</v>
      </c>
      <c r="C94" s="1" t="s">
        <v>137</v>
      </c>
      <c r="D94" s="1" t="s">
        <v>2051</v>
      </c>
      <c r="E94" s="1" t="s">
        <v>2052</v>
      </c>
      <c r="F94" s="1" t="s">
        <v>2053</v>
      </c>
      <c r="G94" s="1" t="s">
        <v>2053</v>
      </c>
      <c r="H94" s="1" t="s">
        <v>2054</v>
      </c>
    </row>
    <row r="95" spans="1:8" ht="58" x14ac:dyDescent="0.35">
      <c r="A95" s="1">
        <f t="shared" si="1"/>
        <v>94</v>
      </c>
      <c r="B95" s="1" t="s">
        <v>2055</v>
      </c>
      <c r="C95" s="1" t="s">
        <v>180</v>
      </c>
      <c r="D95" s="1" t="s">
        <v>2056</v>
      </c>
      <c r="E95" s="1" t="s">
        <v>2008</v>
      </c>
      <c r="F95" s="1" t="s">
        <v>2057</v>
      </c>
      <c r="G95" s="1" t="s">
        <v>2057</v>
      </c>
      <c r="H95" s="1" t="s">
        <v>2058</v>
      </c>
    </row>
    <row r="96" spans="1:8" ht="29" x14ac:dyDescent="0.35">
      <c r="A96" s="1">
        <f t="shared" si="1"/>
        <v>95</v>
      </c>
      <c r="B96" s="1" t="s">
        <v>2059</v>
      </c>
      <c r="C96" s="1" t="s">
        <v>182</v>
      </c>
      <c r="D96" s="1" t="s">
        <v>2060</v>
      </c>
      <c r="E96" s="1" t="s">
        <v>1692</v>
      </c>
      <c r="F96" s="1" t="s">
        <v>2061</v>
      </c>
      <c r="G96" s="1" t="s">
        <v>2061</v>
      </c>
      <c r="H96" s="1" t="s">
        <v>2062</v>
      </c>
    </row>
    <row r="97" spans="1:8" ht="58" x14ac:dyDescent="0.35">
      <c r="A97" s="1">
        <f t="shared" si="1"/>
        <v>96</v>
      </c>
      <c r="B97" s="1" t="s">
        <v>2063</v>
      </c>
      <c r="C97" s="1" t="s">
        <v>172</v>
      </c>
      <c r="D97" s="1" t="s">
        <v>2064</v>
      </c>
      <c r="E97" s="1" t="s">
        <v>1674</v>
      </c>
      <c r="F97" s="1" t="s">
        <v>2065</v>
      </c>
      <c r="G97" s="1" t="s">
        <v>2065</v>
      </c>
      <c r="H97" s="1" t="s">
        <v>2066</v>
      </c>
    </row>
    <row r="98" spans="1:8" ht="58" x14ac:dyDescent="0.35">
      <c r="A98" s="1">
        <f t="shared" si="1"/>
        <v>97</v>
      </c>
      <c r="B98" s="1" t="s">
        <v>2067</v>
      </c>
      <c r="C98" s="1" t="s">
        <v>185</v>
      </c>
      <c r="D98" s="1" t="s">
        <v>2068</v>
      </c>
      <c r="E98" s="1" t="s">
        <v>2069</v>
      </c>
      <c r="F98" s="1" t="s">
        <v>2070</v>
      </c>
      <c r="G98" s="1" t="s">
        <v>2070</v>
      </c>
      <c r="H98" s="1" t="s">
        <v>2071</v>
      </c>
    </row>
    <row r="99" spans="1:8" ht="58" x14ac:dyDescent="0.35">
      <c r="A99" s="1">
        <f t="shared" si="1"/>
        <v>98</v>
      </c>
      <c r="B99" s="1" t="s">
        <v>2072</v>
      </c>
      <c r="C99" s="1" t="s">
        <v>76</v>
      </c>
      <c r="D99" s="1" t="s">
        <v>2073</v>
      </c>
      <c r="E99" s="1" t="s">
        <v>2074</v>
      </c>
      <c r="F99" s="1" t="s">
        <v>2075</v>
      </c>
      <c r="G99" s="1" t="s">
        <v>2075</v>
      </c>
      <c r="H99" s="1" t="s">
        <v>2076</v>
      </c>
    </row>
    <row r="100" spans="1:8" x14ac:dyDescent="0.35">
      <c r="A100" s="1">
        <f t="shared" si="1"/>
        <v>99</v>
      </c>
      <c r="B100" s="1" t="s">
        <v>2077</v>
      </c>
      <c r="C100" s="1" t="s">
        <v>182</v>
      </c>
      <c r="D100" s="1" t="s">
        <v>2078</v>
      </c>
      <c r="E100" s="1" t="s">
        <v>1809</v>
      </c>
      <c r="F100" s="1" t="s">
        <v>2078</v>
      </c>
      <c r="G100" s="1" t="s">
        <v>2078</v>
      </c>
      <c r="H100" s="1" t="s">
        <v>2079</v>
      </c>
    </row>
    <row r="101" spans="1:8" ht="58" x14ac:dyDescent="0.35">
      <c r="A101" s="1">
        <f t="shared" si="1"/>
        <v>100</v>
      </c>
      <c r="B101" s="1" t="s">
        <v>2080</v>
      </c>
      <c r="C101" s="1" t="s">
        <v>189</v>
      </c>
      <c r="D101" s="1" t="s">
        <v>2081</v>
      </c>
      <c r="E101" s="1" t="s">
        <v>2082</v>
      </c>
      <c r="F101" s="1" t="s">
        <v>2083</v>
      </c>
      <c r="G101" s="1" t="s">
        <v>2084</v>
      </c>
      <c r="H101" s="1" t="s">
        <v>2085</v>
      </c>
    </row>
    <row r="102" spans="1:8" x14ac:dyDescent="0.35">
      <c r="A102" s="1">
        <f t="shared" si="1"/>
        <v>101</v>
      </c>
      <c r="B102" s="1" t="s">
        <v>2086</v>
      </c>
      <c r="C102" s="1" t="s">
        <v>93</v>
      </c>
      <c r="D102" s="1" t="s">
        <v>2087</v>
      </c>
      <c r="E102" s="1" t="s">
        <v>1596</v>
      </c>
      <c r="F102" s="1" t="s">
        <v>2088</v>
      </c>
      <c r="G102" s="1" t="s">
        <v>2088</v>
      </c>
      <c r="H102" s="1" t="s">
        <v>2089</v>
      </c>
    </row>
    <row r="103" spans="1:8" ht="58" x14ac:dyDescent="0.35">
      <c r="A103" s="1">
        <f t="shared" si="1"/>
        <v>102</v>
      </c>
      <c r="B103" s="1" t="s">
        <v>2090</v>
      </c>
      <c r="C103" s="1" t="s">
        <v>192</v>
      </c>
      <c r="D103" s="1" t="s">
        <v>2091</v>
      </c>
      <c r="E103" s="1" t="s">
        <v>2092</v>
      </c>
      <c r="F103" s="1" t="s">
        <v>2093</v>
      </c>
      <c r="G103" s="1" t="s">
        <v>2093</v>
      </c>
      <c r="H103" s="1" t="s">
        <v>2094</v>
      </c>
    </row>
    <row r="104" spans="1:8" ht="29" x14ac:dyDescent="0.35">
      <c r="A104" s="1">
        <f t="shared" si="1"/>
        <v>103</v>
      </c>
      <c r="B104" s="1" t="s">
        <v>2095</v>
      </c>
      <c r="C104" s="1" t="s">
        <v>93</v>
      </c>
      <c r="D104" s="1" t="s">
        <v>2096</v>
      </c>
      <c r="E104" s="1" t="s">
        <v>1730</v>
      </c>
      <c r="F104" s="1" t="s">
        <v>2097</v>
      </c>
      <c r="G104" s="1" t="s">
        <v>2097</v>
      </c>
      <c r="H104" s="1" t="s">
        <v>2098</v>
      </c>
    </row>
    <row r="105" spans="1:8" ht="58" x14ac:dyDescent="0.35">
      <c r="A105" s="1">
        <f t="shared" si="1"/>
        <v>104</v>
      </c>
      <c r="B105" s="1" t="s">
        <v>2099</v>
      </c>
      <c r="C105" s="1" t="s">
        <v>174</v>
      </c>
      <c r="D105" s="1" t="s">
        <v>2100</v>
      </c>
      <c r="E105" s="1" t="s">
        <v>1629</v>
      </c>
      <c r="F105" s="1" t="s">
        <v>2101</v>
      </c>
      <c r="G105" s="1" t="s">
        <v>2101</v>
      </c>
      <c r="H105" s="1" t="s">
        <v>2102</v>
      </c>
    </row>
    <row r="106" spans="1:8" ht="43.5" x14ac:dyDescent="0.35">
      <c r="A106" s="1">
        <f t="shared" si="1"/>
        <v>105</v>
      </c>
      <c r="B106" s="1" t="s">
        <v>2103</v>
      </c>
      <c r="C106" s="1" t="s">
        <v>196</v>
      </c>
      <c r="D106" s="1" t="s">
        <v>2104</v>
      </c>
      <c r="E106" s="1" t="s">
        <v>1735</v>
      </c>
      <c r="F106" s="1" t="s">
        <v>2105</v>
      </c>
      <c r="G106" s="1" t="s">
        <v>2105</v>
      </c>
      <c r="H106" s="1" t="s">
        <v>2106</v>
      </c>
    </row>
    <row r="107" spans="1:8" ht="58" x14ac:dyDescent="0.35">
      <c r="A107" s="1">
        <f t="shared" si="1"/>
        <v>106</v>
      </c>
      <c r="B107" s="1" t="s">
        <v>2107</v>
      </c>
      <c r="C107" s="1" t="s">
        <v>137</v>
      </c>
      <c r="D107" s="1" t="s">
        <v>2108</v>
      </c>
      <c r="E107" s="1" t="s">
        <v>2109</v>
      </c>
      <c r="F107" s="1" t="s">
        <v>2110</v>
      </c>
      <c r="G107" s="1" t="s">
        <v>2110</v>
      </c>
      <c r="H107" s="1" t="s">
        <v>2111</v>
      </c>
    </row>
    <row r="108" spans="1:8" ht="58" x14ac:dyDescent="0.35">
      <c r="A108" s="1">
        <f t="shared" si="1"/>
        <v>107</v>
      </c>
      <c r="B108" s="1" t="s">
        <v>2112</v>
      </c>
      <c r="C108" s="1" t="s">
        <v>137</v>
      </c>
      <c r="D108" s="1" t="s">
        <v>2113</v>
      </c>
      <c r="E108" s="1" t="s">
        <v>2114</v>
      </c>
      <c r="F108" s="1" t="s">
        <v>2115</v>
      </c>
      <c r="G108" s="1" t="s">
        <v>2115</v>
      </c>
      <c r="H108" s="1" t="s">
        <v>2116</v>
      </c>
    </row>
    <row r="109" spans="1:8" ht="29" x14ac:dyDescent="0.35">
      <c r="A109" s="1">
        <f t="shared" si="1"/>
        <v>108</v>
      </c>
      <c r="B109" s="1" t="s">
        <v>2117</v>
      </c>
      <c r="C109" s="1" t="s">
        <v>200</v>
      </c>
      <c r="D109" s="1" t="s">
        <v>2118</v>
      </c>
      <c r="E109" s="1" t="s">
        <v>1724</v>
      </c>
      <c r="F109" s="1" t="s">
        <v>2119</v>
      </c>
      <c r="G109" s="1" t="s">
        <v>2119</v>
      </c>
      <c r="H109" s="1" t="s">
        <v>2120</v>
      </c>
    </row>
    <row r="110" spans="1:8" ht="29" x14ac:dyDescent="0.35">
      <c r="A110" s="1">
        <f t="shared" si="1"/>
        <v>109</v>
      </c>
      <c r="B110" s="1" t="s">
        <v>2121</v>
      </c>
      <c r="C110" s="1" t="s">
        <v>202</v>
      </c>
      <c r="D110" s="1" t="s">
        <v>2122</v>
      </c>
      <c r="E110" s="1" t="s">
        <v>1596</v>
      </c>
      <c r="F110" s="1" t="s">
        <v>2123</v>
      </c>
      <c r="G110" s="1" t="s">
        <v>2123</v>
      </c>
      <c r="H110" s="1" t="s">
        <v>2124</v>
      </c>
    </row>
    <row r="111" spans="1:8" x14ac:dyDescent="0.35">
      <c r="A111" s="1">
        <f t="shared" si="1"/>
        <v>110</v>
      </c>
      <c r="B111" s="1" t="s">
        <v>2125</v>
      </c>
      <c r="C111" s="1" t="s">
        <v>202</v>
      </c>
      <c r="D111" s="1" t="s">
        <v>2126</v>
      </c>
      <c r="E111" s="1" t="s">
        <v>1888</v>
      </c>
      <c r="F111" s="1" t="s">
        <v>2126</v>
      </c>
      <c r="G111" s="1" t="s">
        <v>2126</v>
      </c>
      <c r="H111" s="1" t="s">
        <v>2127</v>
      </c>
    </row>
    <row r="112" spans="1:8" ht="29" x14ac:dyDescent="0.35">
      <c r="A112" s="1">
        <f t="shared" si="1"/>
        <v>111</v>
      </c>
      <c r="B112" s="1" t="s">
        <v>2128</v>
      </c>
      <c r="C112" s="1" t="s">
        <v>205</v>
      </c>
      <c r="D112" s="1" t="s">
        <v>2129</v>
      </c>
      <c r="E112" s="1" t="s">
        <v>1730</v>
      </c>
      <c r="F112" s="1" t="s">
        <v>2130</v>
      </c>
      <c r="G112" s="1" t="s">
        <v>2130</v>
      </c>
      <c r="H112" s="1" t="s">
        <v>2131</v>
      </c>
    </row>
    <row r="113" spans="1:8" ht="58" x14ac:dyDescent="0.35">
      <c r="A113" s="1">
        <f t="shared" si="1"/>
        <v>112</v>
      </c>
      <c r="B113" s="1" t="s">
        <v>2132</v>
      </c>
      <c r="C113" s="1" t="s">
        <v>207</v>
      </c>
      <c r="D113" s="1" t="s">
        <v>2133</v>
      </c>
      <c r="E113" s="1" t="s">
        <v>2134</v>
      </c>
      <c r="F113" s="1" t="s">
        <v>2135</v>
      </c>
      <c r="G113" s="1" t="s">
        <v>2135</v>
      </c>
      <c r="H113" s="1" t="s">
        <v>2136</v>
      </c>
    </row>
    <row r="114" spans="1:8" x14ac:dyDescent="0.35">
      <c r="A114" s="1">
        <f t="shared" si="1"/>
        <v>113</v>
      </c>
      <c r="B114" s="1" t="s">
        <v>2137</v>
      </c>
      <c r="C114" s="1" t="s">
        <v>209</v>
      </c>
      <c r="D114" s="1" t="s">
        <v>2138</v>
      </c>
      <c r="E114" s="1" t="s">
        <v>1844</v>
      </c>
      <c r="F114" s="1" t="s">
        <v>2139</v>
      </c>
      <c r="G114" s="1" t="s">
        <v>2139</v>
      </c>
      <c r="H114" s="1" t="s">
        <v>2140</v>
      </c>
    </row>
    <row r="115" spans="1:8" ht="43.5" x14ac:dyDescent="0.35">
      <c r="A115" s="1">
        <f t="shared" si="1"/>
        <v>114</v>
      </c>
      <c r="B115" s="1" t="s">
        <v>2141</v>
      </c>
      <c r="C115" s="1" t="s">
        <v>211</v>
      </c>
      <c r="D115" s="1" t="s">
        <v>2142</v>
      </c>
      <c r="E115" s="1" t="s">
        <v>2143</v>
      </c>
      <c r="F115" s="1" t="s">
        <v>2144</v>
      </c>
      <c r="G115" s="1" t="s">
        <v>2145</v>
      </c>
      <c r="H115" s="1" t="s">
        <v>2146</v>
      </c>
    </row>
    <row r="116" spans="1:8" ht="58" x14ac:dyDescent="0.35">
      <c r="A116" s="1">
        <f t="shared" si="1"/>
        <v>115</v>
      </c>
      <c r="B116" s="1" t="s">
        <v>2147</v>
      </c>
      <c r="C116" s="1" t="s">
        <v>213</v>
      </c>
      <c r="D116" s="1" t="s">
        <v>2148</v>
      </c>
      <c r="E116" s="1" t="s">
        <v>2149</v>
      </c>
      <c r="F116" s="1" t="s">
        <v>2150</v>
      </c>
      <c r="G116" s="1" t="s">
        <v>2150</v>
      </c>
      <c r="H116" s="1" t="s">
        <v>2151</v>
      </c>
    </row>
    <row r="117" spans="1:8" ht="58" x14ac:dyDescent="0.35">
      <c r="A117" s="1">
        <f t="shared" si="1"/>
        <v>116</v>
      </c>
      <c r="B117" s="1" t="s">
        <v>2152</v>
      </c>
      <c r="C117" s="1" t="s">
        <v>215</v>
      </c>
      <c r="D117" s="1" t="s">
        <v>2153</v>
      </c>
      <c r="E117" s="1" t="s">
        <v>2154</v>
      </c>
      <c r="F117" s="1" t="s">
        <v>2155</v>
      </c>
      <c r="G117" s="1" t="s">
        <v>2155</v>
      </c>
      <c r="H117" s="1" t="s">
        <v>2156</v>
      </c>
    </row>
    <row r="118" spans="1:8" ht="58" x14ac:dyDescent="0.35">
      <c r="A118" s="1">
        <f t="shared" si="1"/>
        <v>117</v>
      </c>
      <c r="B118" s="1" t="s">
        <v>2157</v>
      </c>
      <c r="C118" s="1" t="s">
        <v>217</v>
      </c>
      <c r="D118" s="1" t="s">
        <v>2158</v>
      </c>
      <c r="E118" s="1" t="s">
        <v>2159</v>
      </c>
      <c r="F118" s="1" t="s">
        <v>2160</v>
      </c>
      <c r="G118" s="1" t="s">
        <v>2160</v>
      </c>
      <c r="H118" s="1" t="s">
        <v>2161</v>
      </c>
    </row>
    <row r="119" spans="1:8" ht="43.5" x14ac:dyDescent="0.35">
      <c r="A119" s="1">
        <f t="shared" si="1"/>
        <v>118</v>
      </c>
      <c r="B119" s="1" t="s">
        <v>2162</v>
      </c>
      <c r="C119" s="1" t="s">
        <v>219</v>
      </c>
      <c r="D119" s="1" t="s">
        <v>2163</v>
      </c>
      <c r="E119" s="1" t="s">
        <v>2164</v>
      </c>
      <c r="F119" s="1" t="s">
        <v>2165</v>
      </c>
      <c r="G119" s="1" t="s">
        <v>2165</v>
      </c>
      <c r="H119" s="1" t="s">
        <v>2166</v>
      </c>
    </row>
    <row r="120" spans="1:8" x14ac:dyDescent="0.35">
      <c r="A120" s="1">
        <f t="shared" si="1"/>
        <v>119</v>
      </c>
      <c r="B120" s="1" t="s">
        <v>2167</v>
      </c>
      <c r="C120" s="1" t="s">
        <v>221</v>
      </c>
      <c r="D120" s="1" t="s">
        <v>2168</v>
      </c>
      <c r="E120" s="1" t="s">
        <v>1804</v>
      </c>
      <c r="F120" s="1" t="s">
        <v>2169</v>
      </c>
      <c r="G120" s="1" t="s">
        <v>2169</v>
      </c>
      <c r="H120" s="1" t="s">
        <v>2170</v>
      </c>
    </row>
    <row r="121" spans="1:8" ht="58" x14ac:dyDescent="0.35">
      <c r="A121" s="1">
        <f t="shared" si="1"/>
        <v>120</v>
      </c>
      <c r="B121" s="1" t="s">
        <v>2171</v>
      </c>
      <c r="C121" s="1" t="s">
        <v>223</v>
      </c>
      <c r="D121" s="1" t="s">
        <v>2172</v>
      </c>
      <c r="E121" s="1" t="s">
        <v>2109</v>
      </c>
      <c r="F121" s="1" t="s">
        <v>2173</v>
      </c>
      <c r="G121" s="1" t="s">
        <v>2173</v>
      </c>
      <c r="H121" s="1" t="s">
        <v>2174</v>
      </c>
    </row>
    <row r="122" spans="1:8" ht="58" x14ac:dyDescent="0.35">
      <c r="A122" s="1">
        <f t="shared" si="1"/>
        <v>121</v>
      </c>
      <c r="B122" s="1" t="s">
        <v>2175</v>
      </c>
      <c r="C122" s="1" t="s">
        <v>225</v>
      </c>
      <c r="D122" s="1" t="s">
        <v>2176</v>
      </c>
      <c r="E122" s="1" t="s">
        <v>2177</v>
      </c>
      <c r="F122" s="1" t="s">
        <v>2178</v>
      </c>
      <c r="G122" s="1" t="s">
        <v>2178</v>
      </c>
      <c r="H122" s="1" t="s">
        <v>2179</v>
      </c>
    </row>
    <row r="123" spans="1:8" x14ac:dyDescent="0.35">
      <c r="A123" s="1">
        <f t="shared" si="1"/>
        <v>122</v>
      </c>
      <c r="B123" s="1" t="s">
        <v>2180</v>
      </c>
      <c r="C123" s="1" t="s">
        <v>227</v>
      </c>
      <c r="D123" s="1" t="s">
        <v>2181</v>
      </c>
      <c r="E123" s="1" t="s">
        <v>1804</v>
      </c>
      <c r="F123" s="1" t="s">
        <v>2182</v>
      </c>
      <c r="G123" s="1" t="s">
        <v>2182</v>
      </c>
      <c r="H123" s="1" t="s">
        <v>2183</v>
      </c>
    </row>
    <row r="124" spans="1:8" ht="43.5" x14ac:dyDescent="0.35">
      <c r="A124" s="1">
        <f t="shared" si="1"/>
        <v>123</v>
      </c>
      <c r="B124" s="1" t="s">
        <v>2184</v>
      </c>
      <c r="C124" s="1" t="s">
        <v>229</v>
      </c>
      <c r="D124" s="1" t="s">
        <v>2185</v>
      </c>
      <c r="E124" s="1" t="s">
        <v>2186</v>
      </c>
      <c r="F124" s="1" t="s">
        <v>2187</v>
      </c>
      <c r="G124" s="1" t="s">
        <v>2187</v>
      </c>
      <c r="H124" s="1" t="s">
        <v>2188</v>
      </c>
    </row>
    <row r="125" spans="1:8" ht="58" x14ac:dyDescent="0.35">
      <c r="A125" s="1">
        <f t="shared" si="1"/>
        <v>124</v>
      </c>
      <c r="B125" s="1" t="s">
        <v>2189</v>
      </c>
      <c r="C125" s="1" t="s">
        <v>231</v>
      </c>
      <c r="D125" s="1" t="s">
        <v>2190</v>
      </c>
      <c r="E125" s="1" t="s">
        <v>2191</v>
      </c>
      <c r="F125" s="1" t="s">
        <v>2192</v>
      </c>
      <c r="G125" s="1" t="s">
        <v>2192</v>
      </c>
      <c r="H125" s="1" t="s">
        <v>2193</v>
      </c>
    </row>
    <row r="126" spans="1:8" ht="29" x14ac:dyDescent="0.35">
      <c r="A126" s="1">
        <f t="shared" si="1"/>
        <v>125</v>
      </c>
      <c r="B126" s="1" t="s">
        <v>2194</v>
      </c>
      <c r="C126" s="1" t="s">
        <v>233</v>
      </c>
      <c r="D126" s="1" t="s">
        <v>2195</v>
      </c>
      <c r="E126" s="1" t="s">
        <v>2196</v>
      </c>
      <c r="F126" s="1" t="s">
        <v>2197</v>
      </c>
      <c r="G126" s="1" t="s">
        <v>2197</v>
      </c>
      <c r="H126" s="1" t="s">
        <v>2198</v>
      </c>
    </row>
    <row r="127" spans="1:8" ht="29" x14ac:dyDescent="0.35">
      <c r="A127" s="1">
        <f t="shared" si="1"/>
        <v>126</v>
      </c>
      <c r="B127" s="1" t="s">
        <v>2199</v>
      </c>
      <c r="C127" s="1" t="s">
        <v>235</v>
      </c>
      <c r="D127" s="1" t="s">
        <v>2200</v>
      </c>
      <c r="E127" s="1" t="s">
        <v>1692</v>
      </c>
      <c r="F127" s="1" t="s">
        <v>2201</v>
      </c>
      <c r="G127" s="1" t="s">
        <v>2201</v>
      </c>
      <c r="H127" s="1" t="s">
        <v>2202</v>
      </c>
    </row>
    <row r="128" spans="1:8" ht="58" x14ac:dyDescent="0.35">
      <c r="A128" s="1">
        <f t="shared" si="1"/>
        <v>127</v>
      </c>
      <c r="B128" s="1" t="s">
        <v>2203</v>
      </c>
      <c r="C128" s="1" t="s">
        <v>237</v>
      </c>
      <c r="D128" s="1" t="s">
        <v>2204</v>
      </c>
      <c r="E128" s="1" t="s">
        <v>2205</v>
      </c>
      <c r="F128" s="1" t="s">
        <v>2206</v>
      </c>
      <c r="G128" s="1" t="s">
        <v>2206</v>
      </c>
      <c r="H128" s="1" t="s">
        <v>2207</v>
      </c>
    </row>
    <row r="129" spans="1:8" ht="43.5" x14ac:dyDescent="0.35">
      <c r="A129" s="1">
        <f t="shared" si="1"/>
        <v>128</v>
      </c>
      <c r="B129" s="1" t="s">
        <v>2208</v>
      </c>
      <c r="C129" s="1" t="s">
        <v>4</v>
      </c>
      <c r="D129" s="1" t="s">
        <v>2209</v>
      </c>
      <c r="E129" s="1" t="s">
        <v>2210</v>
      </c>
      <c r="F129" s="1" t="s">
        <v>2211</v>
      </c>
      <c r="G129" s="1" t="s">
        <v>2211</v>
      </c>
      <c r="H129" s="1" t="s">
        <v>2212</v>
      </c>
    </row>
    <row r="130" spans="1:8" ht="58" x14ac:dyDescent="0.35">
      <c r="A130" s="1">
        <f t="shared" si="1"/>
        <v>129</v>
      </c>
      <c r="B130" s="1" t="s">
        <v>2213</v>
      </c>
      <c r="C130" s="1" t="s">
        <v>242</v>
      </c>
      <c r="D130" s="1" t="s">
        <v>2214</v>
      </c>
      <c r="E130" s="1" t="s">
        <v>2215</v>
      </c>
      <c r="F130" s="1" t="s">
        <v>2216</v>
      </c>
      <c r="G130" s="1" t="s">
        <v>2216</v>
      </c>
      <c r="H130" s="1" t="s">
        <v>2217</v>
      </c>
    </row>
    <row r="131" spans="1:8" ht="43.5" x14ac:dyDescent="0.35">
      <c r="A131" s="1">
        <f t="shared" si="1"/>
        <v>130</v>
      </c>
      <c r="B131" s="1" t="s">
        <v>2218</v>
      </c>
      <c r="C131" s="1" t="s">
        <v>244</v>
      </c>
      <c r="D131" s="1" t="s">
        <v>2219</v>
      </c>
      <c r="E131" s="1" t="s">
        <v>1624</v>
      </c>
      <c r="F131" s="1" t="s">
        <v>2220</v>
      </c>
      <c r="G131" s="1" t="s">
        <v>2220</v>
      </c>
      <c r="H131" s="1" t="s">
        <v>2221</v>
      </c>
    </row>
    <row r="132" spans="1:8" ht="58" x14ac:dyDescent="0.35">
      <c r="A132" s="1">
        <f t="shared" ref="A132:A195" si="2">SUM(A131+1)</f>
        <v>131</v>
      </c>
      <c r="B132" s="1" t="s">
        <v>2222</v>
      </c>
      <c r="C132" s="1" t="s">
        <v>246</v>
      </c>
      <c r="D132" s="1" t="s">
        <v>2223</v>
      </c>
      <c r="E132" s="1" t="s">
        <v>2154</v>
      </c>
      <c r="F132" s="1" t="s">
        <v>2224</v>
      </c>
      <c r="G132" s="1" t="s">
        <v>2225</v>
      </c>
      <c r="H132" s="1" t="s">
        <v>2226</v>
      </c>
    </row>
    <row r="133" spans="1:8" ht="29" x14ac:dyDescent="0.35">
      <c r="A133" s="1">
        <f t="shared" si="2"/>
        <v>132</v>
      </c>
      <c r="B133" s="1" t="s">
        <v>2227</v>
      </c>
      <c r="C133" s="1" t="s">
        <v>137</v>
      </c>
      <c r="D133" s="1" t="s">
        <v>2228</v>
      </c>
      <c r="E133" s="1" t="s">
        <v>2229</v>
      </c>
      <c r="F133" s="1" t="s">
        <v>2230</v>
      </c>
      <c r="G133" s="1" t="s">
        <v>2230</v>
      </c>
      <c r="H133" s="1" t="s">
        <v>2231</v>
      </c>
    </row>
    <row r="134" spans="1:8" ht="43.5" x14ac:dyDescent="0.35">
      <c r="A134" s="1">
        <f t="shared" si="2"/>
        <v>133</v>
      </c>
      <c r="B134" s="1" t="s">
        <v>2232</v>
      </c>
      <c r="C134" s="1" t="s">
        <v>249</v>
      </c>
      <c r="D134" s="1" t="s">
        <v>2233</v>
      </c>
      <c r="E134" s="1" t="s">
        <v>2234</v>
      </c>
      <c r="F134" s="1" t="s">
        <v>2235</v>
      </c>
      <c r="G134" s="1" t="s">
        <v>2235</v>
      </c>
      <c r="H134" s="1" t="s">
        <v>2236</v>
      </c>
    </row>
    <row r="135" spans="1:8" ht="58" x14ac:dyDescent="0.35">
      <c r="A135" s="1">
        <f t="shared" si="2"/>
        <v>134</v>
      </c>
      <c r="B135" s="1" t="s">
        <v>2237</v>
      </c>
      <c r="C135" s="1" t="s">
        <v>251</v>
      </c>
      <c r="D135" s="1" t="s">
        <v>2238</v>
      </c>
      <c r="E135" s="1" t="s">
        <v>2082</v>
      </c>
      <c r="F135" s="1" t="s">
        <v>2239</v>
      </c>
      <c r="G135" s="1" t="s">
        <v>2240</v>
      </c>
      <c r="H135" s="1" t="s">
        <v>2241</v>
      </c>
    </row>
    <row r="136" spans="1:8" ht="29" x14ac:dyDescent="0.35">
      <c r="A136" s="1">
        <f t="shared" si="2"/>
        <v>135</v>
      </c>
      <c r="B136" s="1" t="s">
        <v>2242</v>
      </c>
      <c r="C136" s="1" t="s">
        <v>253</v>
      </c>
      <c r="D136" s="1" t="s">
        <v>2243</v>
      </c>
      <c r="E136" s="1" t="s">
        <v>2229</v>
      </c>
      <c r="F136" s="1" t="s">
        <v>2244</v>
      </c>
      <c r="G136" s="1" t="s">
        <v>2244</v>
      </c>
      <c r="H136" s="1" t="s">
        <v>2245</v>
      </c>
    </row>
    <row r="137" spans="1:8" ht="43.5" x14ac:dyDescent="0.35">
      <c r="A137" s="1">
        <f t="shared" si="2"/>
        <v>136</v>
      </c>
      <c r="B137" s="1" t="s">
        <v>2246</v>
      </c>
      <c r="C137" s="1" t="s">
        <v>255</v>
      </c>
      <c r="D137" s="1" t="s">
        <v>2247</v>
      </c>
      <c r="E137" s="1" t="s">
        <v>2248</v>
      </c>
      <c r="F137" s="1" t="s">
        <v>2249</v>
      </c>
      <c r="G137" s="1" t="s">
        <v>2249</v>
      </c>
      <c r="H137" s="1" t="s">
        <v>2250</v>
      </c>
    </row>
    <row r="138" spans="1:8" ht="43.5" x14ac:dyDescent="0.35">
      <c r="A138" s="1">
        <f t="shared" si="2"/>
        <v>137</v>
      </c>
      <c r="B138" s="1" t="s">
        <v>2251</v>
      </c>
      <c r="C138" s="1" t="s">
        <v>213</v>
      </c>
      <c r="D138" s="1" t="s">
        <v>2252</v>
      </c>
      <c r="E138" s="1" t="s">
        <v>2253</v>
      </c>
      <c r="F138" s="1" t="s">
        <v>2254</v>
      </c>
      <c r="G138" s="1" t="s">
        <v>2254</v>
      </c>
      <c r="H138" s="1" t="s">
        <v>2255</v>
      </c>
    </row>
    <row r="139" spans="1:8" ht="43.5" x14ac:dyDescent="0.35">
      <c r="A139" s="1">
        <f t="shared" si="2"/>
        <v>138</v>
      </c>
      <c r="B139" s="1" t="s">
        <v>2256</v>
      </c>
      <c r="C139" s="1" t="s">
        <v>213</v>
      </c>
      <c r="D139" s="1" t="s">
        <v>2257</v>
      </c>
      <c r="E139" s="1" t="s">
        <v>2258</v>
      </c>
      <c r="F139" s="1" t="s">
        <v>2259</v>
      </c>
      <c r="G139" s="1" t="s">
        <v>2259</v>
      </c>
      <c r="H139" s="1" t="s">
        <v>2260</v>
      </c>
    </row>
    <row r="140" spans="1:8" ht="58" x14ac:dyDescent="0.35">
      <c r="A140" s="1">
        <f t="shared" si="2"/>
        <v>139</v>
      </c>
      <c r="B140" s="1" t="s">
        <v>2261</v>
      </c>
      <c r="C140" s="1" t="s">
        <v>259</v>
      </c>
      <c r="D140" s="1" t="s">
        <v>2262</v>
      </c>
      <c r="E140" s="1" t="s">
        <v>2069</v>
      </c>
      <c r="F140" s="1" t="s">
        <v>2263</v>
      </c>
      <c r="G140" s="1" t="s">
        <v>2263</v>
      </c>
      <c r="H140" s="1" t="s">
        <v>2264</v>
      </c>
    </row>
    <row r="141" spans="1:8" ht="58" x14ac:dyDescent="0.35">
      <c r="A141" s="1">
        <f t="shared" si="2"/>
        <v>140</v>
      </c>
      <c r="B141" s="1" t="s">
        <v>2265</v>
      </c>
      <c r="C141" s="1" t="s">
        <v>261</v>
      </c>
      <c r="D141" s="1" t="s">
        <v>2266</v>
      </c>
      <c r="E141" s="1" t="s">
        <v>2267</v>
      </c>
      <c r="F141" s="1" t="s">
        <v>2268</v>
      </c>
      <c r="G141" s="1" t="s">
        <v>2268</v>
      </c>
      <c r="H141" s="1" t="s">
        <v>2269</v>
      </c>
    </row>
    <row r="142" spans="1:8" ht="58" x14ac:dyDescent="0.35">
      <c r="A142" s="1">
        <f t="shared" si="2"/>
        <v>141</v>
      </c>
      <c r="B142" s="1" t="s">
        <v>2270</v>
      </c>
      <c r="C142" s="1" t="s">
        <v>263</v>
      </c>
      <c r="D142" s="1" t="s">
        <v>2271</v>
      </c>
      <c r="E142" s="1" t="s">
        <v>2272</v>
      </c>
      <c r="F142" s="1" t="s">
        <v>2273</v>
      </c>
      <c r="G142" s="1" t="s">
        <v>2273</v>
      </c>
      <c r="H142" s="1" t="s">
        <v>2274</v>
      </c>
    </row>
    <row r="143" spans="1:8" ht="29" x14ac:dyDescent="0.35">
      <c r="A143" s="1">
        <f t="shared" si="2"/>
        <v>142</v>
      </c>
      <c r="B143" s="1" t="s">
        <v>2275</v>
      </c>
      <c r="C143" s="1" t="s">
        <v>265</v>
      </c>
      <c r="D143" s="1" t="s">
        <v>2276</v>
      </c>
      <c r="E143" s="1" t="s">
        <v>1596</v>
      </c>
      <c r="F143" s="1" t="s">
        <v>2277</v>
      </c>
      <c r="G143" s="1" t="s">
        <v>2277</v>
      </c>
      <c r="H143" s="1" t="s">
        <v>2278</v>
      </c>
    </row>
    <row r="144" spans="1:8" ht="58" x14ac:dyDescent="0.35">
      <c r="A144" s="1">
        <f t="shared" si="2"/>
        <v>143</v>
      </c>
      <c r="B144" s="1" t="s">
        <v>2279</v>
      </c>
      <c r="C144" s="1" t="s">
        <v>267</v>
      </c>
      <c r="D144" s="1" t="s">
        <v>2280</v>
      </c>
      <c r="E144" s="1" t="s">
        <v>1657</v>
      </c>
      <c r="F144" s="1" t="s">
        <v>2281</v>
      </c>
      <c r="G144" s="1" t="s">
        <v>2281</v>
      </c>
      <c r="H144" s="1" t="s">
        <v>2282</v>
      </c>
    </row>
    <row r="145" spans="1:8" ht="58" x14ac:dyDescent="0.35">
      <c r="A145" s="1">
        <f t="shared" si="2"/>
        <v>144</v>
      </c>
      <c r="B145" s="1" t="s">
        <v>2283</v>
      </c>
      <c r="C145" s="1" t="s">
        <v>269</v>
      </c>
      <c r="D145" s="1" t="s">
        <v>2284</v>
      </c>
      <c r="E145" s="1" t="s">
        <v>2285</v>
      </c>
      <c r="F145" s="1" t="s">
        <v>2286</v>
      </c>
      <c r="G145" s="1" t="s">
        <v>2286</v>
      </c>
      <c r="H145" s="1" t="s">
        <v>2287</v>
      </c>
    </row>
    <row r="146" spans="1:8" ht="29" x14ac:dyDescent="0.35">
      <c r="A146" s="1">
        <f t="shared" si="2"/>
        <v>145</v>
      </c>
      <c r="B146" s="1" t="s">
        <v>2288</v>
      </c>
      <c r="C146" s="1" t="s">
        <v>249</v>
      </c>
      <c r="D146" s="1" t="s">
        <v>2289</v>
      </c>
      <c r="E146" s="1" t="s">
        <v>2290</v>
      </c>
      <c r="F146" s="1" t="s">
        <v>2291</v>
      </c>
      <c r="G146" s="1" t="s">
        <v>2291</v>
      </c>
      <c r="H146" s="1" t="s">
        <v>2292</v>
      </c>
    </row>
    <row r="147" spans="1:8" x14ac:dyDescent="0.35">
      <c r="A147" s="1">
        <f t="shared" si="2"/>
        <v>146</v>
      </c>
      <c r="B147" s="1" t="s">
        <v>2293</v>
      </c>
      <c r="C147" s="1" t="s">
        <v>272</v>
      </c>
      <c r="D147" s="1" t="s">
        <v>2294</v>
      </c>
      <c r="E147" s="1" t="s">
        <v>1596</v>
      </c>
      <c r="F147" s="1" t="s">
        <v>2295</v>
      </c>
      <c r="G147" s="1" t="s">
        <v>2295</v>
      </c>
      <c r="H147" s="1" t="s">
        <v>2296</v>
      </c>
    </row>
    <row r="148" spans="1:8" ht="58" x14ac:dyDescent="0.35">
      <c r="A148" s="1">
        <f t="shared" si="2"/>
        <v>147</v>
      </c>
      <c r="B148" s="1" t="s">
        <v>2297</v>
      </c>
      <c r="C148" s="1" t="s">
        <v>274</v>
      </c>
      <c r="D148" s="1" t="s">
        <v>2298</v>
      </c>
      <c r="E148" s="1" t="s">
        <v>2299</v>
      </c>
      <c r="F148" s="1" t="s">
        <v>2300</v>
      </c>
      <c r="G148" s="1" t="s">
        <v>2300</v>
      </c>
      <c r="H148" s="1" t="s">
        <v>2301</v>
      </c>
    </row>
    <row r="149" spans="1:8" ht="58" x14ac:dyDescent="0.35">
      <c r="A149" s="1">
        <f t="shared" si="2"/>
        <v>148</v>
      </c>
      <c r="B149" s="1" t="s">
        <v>2302</v>
      </c>
      <c r="C149" s="1" t="s">
        <v>276</v>
      </c>
      <c r="D149" s="1" t="s">
        <v>2303</v>
      </c>
      <c r="E149" s="1" t="s">
        <v>1624</v>
      </c>
      <c r="F149" s="1" t="s">
        <v>2304</v>
      </c>
      <c r="G149" s="1" t="s">
        <v>2304</v>
      </c>
      <c r="H149" s="1" t="s">
        <v>2305</v>
      </c>
    </row>
    <row r="150" spans="1:8" ht="29" x14ac:dyDescent="0.35">
      <c r="A150" s="1">
        <f t="shared" si="2"/>
        <v>149</v>
      </c>
      <c r="B150" s="1" t="s">
        <v>2306</v>
      </c>
      <c r="C150" s="1" t="s">
        <v>143</v>
      </c>
      <c r="D150" s="1" t="s">
        <v>2307</v>
      </c>
      <c r="E150" s="1" t="s">
        <v>1735</v>
      </c>
      <c r="F150" s="1" t="s">
        <v>2308</v>
      </c>
      <c r="G150" s="1" t="s">
        <v>2308</v>
      </c>
      <c r="H150" s="1" t="s">
        <v>2309</v>
      </c>
    </row>
    <row r="151" spans="1:8" ht="58" x14ac:dyDescent="0.35">
      <c r="A151" s="1">
        <f t="shared" si="2"/>
        <v>150</v>
      </c>
      <c r="B151" s="1" t="s">
        <v>2310</v>
      </c>
      <c r="C151" s="1" t="s">
        <v>174</v>
      </c>
      <c r="D151" s="1" t="s">
        <v>2311</v>
      </c>
      <c r="E151" s="1" t="s">
        <v>2312</v>
      </c>
      <c r="F151" s="1" t="s">
        <v>2313</v>
      </c>
      <c r="G151" s="1" t="s">
        <v>2313</v>
      </c>
      <c r="H151" s="1" t="s">
        <v>2314</v>
      </c>
    </row>
    <row r="152" spans="1:8" ht="43.5" x14ac:dyDescent="0.35">
      <c r="A152" s="1">
        <f t="shared" si="2"/>
        <v>151</v>
      </c>
      <c r="B152" s="1" t="s">
        <v>2315</v>
      </c>
      <c r="C152" s="1" t="s">
        <v>280</v>
      </c>
      <c r="D152" s="1" t="s">
        <v>2316</v>
      </c>
      <c r="E152" s="1" t="s">
        <v>1893</v>
      </c>
      <c r="F152" s="1" t="s">
        <v>2317</v>
      </c>
      <c r="G152" s="1" t="s">
        <v>2317</v>
      </c>
      <c r="H152" s="1" t="s">
        <v>2318</v>
      </c>
    </row>
    <row r="153" spans="1:8" ht="29" x14ac:dyDescent="0.35">
      <c r="A153" s="1">
        <f t="shared" si="2"/>
        <v>152</v>
      </c>
      <c r="B153" s="1" t="s">
        <v>2319</v>
      </c>
      <c r="C153" s="1" t="s">
        <v>282</v>
      </c>
      <c r="D153" s="1" t="s">
        <v>2320</v>
      </c>
      <c r="E153" s="1" t="s">
        <v>1799</v>
      </c>
      <c r="F153" s="1" t="s">
        <v>2321</v>
      </c>
      <c r="G153" s="1" t="s">
        <v>2321</v>
      </c>
      <c r="H153" s="1" t="s">
        <v>2322</v>
      </c>
    </row>
    <row r="154" spans="1:8" ht="29" x14ac:dyDescent="0.35">
      <c r="A154" s="1">
        <f t="shared" si="2"/>
        <v>153</v>
      </c>
      <c r="B154" s="1" t="s">
        <v>2323</v>
      </c>
      <c r="C154" s="1" t="s">
        <v>143</v>
      </c>
      <c r="D154" s="1" t="s">
        <v>2324</v>
      </c>
      <c r="E154" s="1" t="s">
        <v>2325</v>
      </c>
      <c r="F154" s="1" t="s">
        <v>2326</v>
      </c>
      <c r="G154" s="1" t="s">
        <v>2326</v>
      </c>
      <c r="H154" s="1" t="s">
        <v>2327</v>
      </c>
    </row>
    <row r="155" spans="1:8" ht="29" x14ac:dyDescent="0.35">
      <c r="A155" s="1">
        <f t="shared" si="2"/>
        <v>154</v>
      </c>
      <c r="B155" s="1" t="s">
        <v>2328</v>
      </c>
      <c r="C155" s="1" t="s">
        <v>285</v>
      </c>
      <c r="D155" s="1" t="s">
        <v>2329</v>
      </c>
      <c r="E155" s="1" t="s">
        <v>1990</v>
      </c>
      <c r="F155" s="1" t="s">
        <v>2330</v>
      </c>
      <c r="G155" s="1" t="s">
        <v>2331</v>
      </c>
      <c r="H155" s="1" t="s">
        <v>2332</v>
      </c>
    </row>
    <row r="156" spans="1:8" ht="58" x14ac:dyDescent="0.35">
      <c r="A156" s="1">
        <f t="shared" si="2"/>
        <v>155</v>
      </c>
      <c r="B156" s="1" t="s">
        <v>2333</v>
      </c>
      <c r="C156" s="1" t="s">
        <v>223</v>
      </c>
      <c r="D156" s="1" t="s">
        <v>2334</v>
      </c>
      <c r="E156" s="1" t="s">
        <v>2335</v>
      </c>
      <c r="F156" s="1" t="s">
        <v>2336</v>
      </c>
      <c r="G156" s="1" t="s">
        <v>2336</v>
      </c>
      <c r="H156" s="1" t="s">
        <v>2337</v>
      </c>
    </row>
    <row r="157" spans="1:8" ht="29" x14ac:dyDescent="0.35">
      <c r="A157" s="1">
        <f t="shared" si="2"/>
        <v>156</v>
      </c>
      <c r="B157" s="1" t="s">
        <v>2338</v>
      </c>
      <c r="C157" s="1" t="s">
        <v>217</v>
      </c>
      <c r="D157" s="1" t="s">
        <v>2339</v>
      </c>
      <c r="E157" s="1" t="s">
        <v>1990</v>
      </c>
      <c r="F157" s="1" t="s">
        <v>2340</v>
      </c>
      <c r="G157" s="1" t="s">
        <v>2340</v>
      </c>
      <c r="H157" s="1" t="s">
        <v>2341</v>
      </c>
    </row>
    <row r="158" spans="1:8" ht="43.5" x14ac:dyDescent="0.35">
      <c r="A158" s="1">
        <f t="shared" si="2"/>
        <v>157</v>
      </c>
      <c r="B158" s="1" t="s">
        <v>2342</v>
      </c>
      <c r="C158" s="1" t="s">
        <v>289</v>
      </c>
      <c r="D158" s="1" t="s">
        <v>2343</v>
      </c>
      <c r="E158" s="1" t="s">
        <v>1893</v>
      </c>
      <c r="F158" s="1" t="s">
        <v>2344</v>
      </c>
      <c r="G158" s="1" t="s">
        <v>2344</v>
      </c>
      <c r="H158" s="1" t="s">
        <v>2345</v>
      </c>
    </row>
    <row r="159" spans="1:8" ht="43.5" x14ac:dyDescent="0.35">
      <c r="A159" s="1">
        <f t="shared" si="2"/>
        <v>158</v>
      </c>
      <c r="B159" s="1" t="s">
        <v>2346</v>
      </c>
      <c r="C159" s="1" t="s">
        <v>291</v>
      </c>
      <c r="D159" s="1" t="s">
        <v>2347</v>
      </c>
      <c r="E159" s="1" t="s">
        <v>2348</v>
      </c>
      <c r="F159" s="1" t="s">
        <v>2349</v>
      </c>
      <c r="G159" s="1" t="s">
        <v>2349</v>
      </c>
      <c r="H159" s="1" t="s">
        <v>2350</v>
      </c>
    </row>
    <row r="160" spans="1:8" ht="43.5" x14ac:dyDescent="0.35">
      <c r="A160" s="1">
        <f t="shared" si="2"/>
        <v>159</v>
      </c>
      <c r="B160" s="1" t="s">
        <v>2351</v>
      </c>
      <c r="C160" s="1" t="s">
        <v>276</v>
      </c>
      <c r="D160" s="1" t="s">
        <v>2352</v>
      </c>
      <c r="E160" s="1" t="s">
        <v>1624</v>
      </c>
      <c r="F160" s="1" t="s">
        <v>2353</v>
      </c>
      <c r="G160" s="1" t="s">
        <v>2353</v>
      </c>
      <c r="H160" s="1" t="s">
        <v>2354</v>
      </c>
    </row>
    <row r="161" spans="1:8" ht="43.5" x14ac:dyDescent="0.35">
      <c r="A161" s="1">
        <f t="shared" si="2"/>
        <v>160</v>
      </c>
      <c r="B161" s="1" t="s">
        <v>2355</v>
      </c>
      <c r="C161" s="1" t="s">
        <v>294</v>
      </c>
      <c r="D161" s="1" t="s">
        <v>2356</v>
      </c>
      <c r="E161" s="1" t="s">
        <v>2357</v>
      </c>
      <c r="F161" s="1" t="s">
        <v>2358</v>
      </c>
      <c r="G161" s="1" t="s">
        <v>2359</v>
      </c>
      <c r="H161" s="1" t="s">
        <v>2360</v>
      </c>
    </row>
    <row r="162" spans="1:8" ht="29" x14ac:dyDescent="0.35">
      <c r="A162" s="1">
        <f t="shared" si="2"/>
        <v>161</v>
      </c>
      <c r="B162" s="1" t="s">
        <v>2361</v>
      </c>
      <c r="C162" s="1" t="s">
        <v>296</v>
      </c>
      <c r="D162" s="1" t="s">
        <v>2362</v>
      </c>
      <c r="E162" s="1" t="s">
        <v>1730</v>
      </c>
      <c r="F162" s="1" t="s">
        <v>2363</v>
      </c>
      <c r="G162" s="1" t="s">
        <v>2363</v>
      </c>
      <c r="H162" s="1" t="s">
        <v>2364</v>
      </c>
    </row>
    <row r="163" spans="1:8" ht="43.5" x14ac:dyDescent="0.35">
      <c r="A163" s="1">
        <f t="shared" si="2"/>
        <v>162</v>
      </c>
      <c r="B163" s="1" t="s">
        <v>2365</v>
      </c>
      <c r="C163" s="1" t="s">
        <v>280</v>
      </c>
      <c r="D163" s="1" t="s">
        <v>2366</v>
      </c>
      <c r="E163" s="1" t="s">
        <v>1999</v>
      </c>
      <c r="F163" s="1" t="s">
        <v>2367</v>
      </c>
      <c r="G163" s="1" t="s">
        <v>2367</v>
      </c>
      <c r="H163" s="1" t="s">
        <v>2368</v>
      </c>
    </row>
    <row r="164" spans="1:8" ht="58" x14ac:dyDescent="0.35">
      <c r="A164" s="1">
        <f t="shared" si="2"/>
        <v>163</v>
      </c>
      <c r="B164" s="1" t="s">
        <v>2369</v>
      </c>
      <c r="C164" s="1" t="s">
        <v>76</v>
      </c>
      <c r="D164" s="1" t="s">
        <v>2370</v>
      </c>
      <c r="E164" s="1" t="s">
        <v>2154</v>
      </c>
      <c r="F164" s="1" t="s">
        <v>2371</v>
      </c>
      <c r="G164" s="1" t="s">
        <v>2371</v>
      </c>
      <c r="H164" s="1" t="s">
        <v>2372</v>
      </c>
    </row>
    <row r="165" spans="1:8" ht="43.5" x14ac:dyDescent="0.35">
      <c r="A165" s="1">
        <f t="shared" si="2"/>
        <v>164</v>
      </c>
      <c r="B165" s="1" t="s">
        <v>2373</v>
      </c>
      <c r="C165" s="1" t="s">
        <v>213</v>
      </c>
      <c r="D165" s="1" t="s">
        <v>2374</v>
      </c>
      <c r="E165" s="1" t="s">
        <v>2272</v>
      </c>
      <c r="F165" s="1" t="s">
        <v>2375</v>
      </c>
      <c r="G165" s="1" t="s">
        <v>2375</v>
      </c>
      <c r="H165" s="1" t="s">
        <v>2376</v>
      </c>
    </row>
    <row r="166" spans="1:8" ht="43.5" x14ac:dyDescent="0.35">
      <c r="A166" s="1">
        <f t="shared" si="2"/>
        <v>165</v>
      </c>
      <c r="B166" s="1" t="s">
        <v>2377</v>
      </c>
      <c r="C166" s="1" t="s">
        <v>213</v>
      </c>
      <c r="D166" s="1" t="s">
        <v>2378</v>
      </c>
      <c r="E166" s="1" t="s">
        <v>1624</v>
      </c>
      <c r="F166" s="1" t="s">
        <v>2379</v>
      </c>
      <c r="G166" s="1" t="s">
        <v>2379</v>
      </c>
      <c r="H166" s="1" t="s">
        <v>2380</v>
      </c>
    </row>
    <row r="167" spans="1:8" ht="43.5" x14ac:dyDescent="0.35">
      <c r="A167" s="1">
        <f t="shared" si="2"/>
        <v>166</v>
      </c>
      <c r="B167" s="1" t="s">
        <v>2381</v>
      </c>
      <c r="C167" s="1" t="s">
        <v>280</v>
      </c>
      <c r="D167" s="1" t="s">
        <v>2382</v>
      </c>
      <c r="E167" s="1" t="s">
        <v>1893</v>
      </c>
      <c r="F167" s="1" t="s">
        <v>2383</v>
      </c>
      <c r="G167" s="1" t="s">
        <v>2383</v>
      </c>
      <c r="H167" s="1" t="s">
        <v>2384</v>
      </c>
    </row>
    <row r="168" spans="1:8" ht="58" x14ac:dyDescent="0.35">
      <c r="A168" s="1">
        <f t="shared" si="2"/>
        <v>167</v>
      </c>
      <c r="B168" s="1" t="s">
        <v>2385</v>
      </c>
      <c r="C168" s="1" t="s">
        <v>253</v>
      </c>
      <c r="D168" s="1" t="s">
        <v>2386</v>
      </c>
      <c r="E168" s="1" t="s">
        <v>2387</v>
      </c>
      <c r="F168" s="1" t="s">
        <v>2388</v>
      </c>
      <c r="G168" s="1" t="s">
        <v>2388</v>
      </c>
      <c r="H168" s="1" t="s">
        <v>2389</v>
      </c>
    </row>
    <row r="169" spans="1:8" ht="58" x14ac:dyDescent="0.35">
      <c r="A169" s="1">
        <f t="shared" si="2"/>
        <v>168</v>
      </c>
      <c r="B169" s="1" t="s">
        <v>2390</v>
      </c>
      <c r="C169" s="1" t="s">
        <v>304</v>
      </c>
      <c r="D169" s="1" t="s">
        <v>2391</v>
      </c>
      <c r="E169" s="1" t="s">
        <v>2149</v>
      </c>
      <c r="F169" s="1" t="s">
        <v>2392</v>
      </c>
      <c r="G169" s="1" t="s">
        <v>2392</v>
      </c>
      <c r="H169" s="1" t="s">
        <v>2393</v>
      </c>
    </row>
    <row r="170" spans="1:8" ht="43.5" x14ac:dyDescent="0.35">
      <c r="A170" s="1">
        <f t="shared" si="2"/>
        <v>169</v>
      </c>
      <c r="B170" s="1" t="s">
        <v>2394</v>
      </c>
      <c r="C170" s="1" t="s">
        <v>304</v>
      </c>
      <c r="D170" s="1" t="s">
        <v>2395</v>
      </c>
      <c r="E170" s="1" t="s">
        <v>2164</v>
      </c>
      <c r="F170" s="1" t="s">
        <v>2396</v>
      </c>
      <c r="G170" s="1" t="s">
        <v>2396</v>
      </c>
      <c r="H170" s="1" t="s">
        <v>2397</v>
      </c>
    </row>
    <row r="171" spans="1:8" ht="43.5" x14ac:dyDescent="0.35">
      <c r="A171" s="1">
        <f t="shared" si="2"/>
        <v>170</v>
      </c>
      <c r="B171" s="1" t="s">
        <v>2398</v>
      </c>
      <c r="C171" s="1" t="s">
        <v>143</v>
      </c>
      <c r="D171" s="1" t="s">
        <v>2399</v>
      </c>
      <c r="E171" s="1" t="s">
        <v>1990</v>
      </c>
      <c r="F171" s="1" t="s">
        <v>2400</v>
      </c>
      <c r="G171" s="1" t="s">
        <v>2400</v>
      </c>
      <c r="H171" s="1" t="s">
        <v>2401</v>
      </c>
    </row>
    <row r="172" spans="1:8" ht="29" x14ac:dyDescent="0.35">
      <c r="A172" s="1">
        <f t="shared" si="2"/>
        <v>171</v>
      </c>
      <c r="B172" s="1" t="s">
        <v>2402</v>
      </c>
      <c r="C172" s="1" t="s">
        <v>308</v>
      </c>
      <c r="D172" s="1" t="s">
        <v>2403</v>
      </c>
      <c r="E172" s="1" t="s">
        <v>2229</v>
      </c>
      <c r="F172" s="1" t="s">
        <v>2404</v>
      </c>
      <c r="G172" s="1" t="s">
        <v>2404</v>
      </c>
      <c r="H172" s="1" t="s">
        <v>2405</v>
      </c>
    </row>
    <row r="173" spans="1:8" ht="43.5" x14ac:dyDescent="0.35">
      <c r="A173" s="1">
        <f t="shared" si="2"/>
        <v>172</v>
      </c>
      <c r="B173" s="1" t="s">
        <v>2406</v>
      </c>
      <c r="C173" s="1" t="s">
        <v>310</v>
      </c>
      <c r="D173" s="1" t="s">
        <v>2407</v>
      </c>
      <c r="E173" s="1" t="s">
        <v>1823</v>
      </c>
      <c r="F173" s="1" t="s">
        <v>2408</v>
      </c>
      <c r="G173" s="1" t="s">
        <v>2408</v>
      </c>
      <c r="H173" s="1" t="s">
        <v>2409</v>
      </c>
    </row>
    <row r="174" spans="1:8" ht="58" x14ac:dyDescent="0.35">
      <c r="A174" s="1">
        <f t="shared" si="2"/>
        <v>173</v>
      </c>
      <c r="B174" s="1" t="s">
        <v>2410</v>
      </c>
      <c r="C174" s="1" t="s">
        <v>312</v>
      </c>
      <c r="D174" s="1" t="s">
        <v>2411</v>
      </c>
      <c r="E174" s="1" t="s">
        <v>2205</v>
      </c>
      <c r="F174" s="1" t="s">
        <v>2412</v>
      </c>
      <c r="G174" s="1" t="s">
        <v>2412</v>
      </c>
      <c r="H174" s="1" t="s">
        <v>2413</v>
      </c>
    </row>
    <row r="175" spans="1:8" ht="43.5" x14ac:dyDescent="0.35">
      <c r="A175" s="1">
        <f t="shared" si="2"/>
        <v>174</v>
      </c>
      <c r="B175" s="1" t="s">
        <v>2414</v>
      </c>
      <c r="C175" s="1" t="s">
        <v>314</v>
      </c>
      <c r="D175" s="1" t="s">
        <v>2415</v>
      </c>
      <c r="E175" s="1" t="s">
        <v>1893</v>
      </c>
      <c r="F175" s="1" t="s">
        <v>2416</v>
      </c>
      <c r="G175" s="1" t="s">
        <v>2417</v>
      </c>
      <c r="H175" s="1" t="s">
        <v>2418</v>
      </c>
    </row>
    <row r="176" spans="1:8" ht="29" x14ac:dyDescent="0.35">
      <c r="A176" s="1">
        <f t="shared" si="2"/>
        <v>175</v>
      </c>
      <c r="B176" s="1" t="s">
        <v>2419</v>
      </c>
      <c r="C176" s="1" t="s">
        <v>316</v>
      </c>
      <c r="D176" s="1" t="s">
        <v>2420</v>
      </c>
      <c r="E176" s="1" t="s">
        <v>2229</v>
      </c>
      <c r="F176" s="1" t="s">
        <v>2421</v>
      </c>
      <c r="G176" s="1" t="s">
        <v>2422</v>
      </c>
      <c r="H176" s="1" t="s">
        <v>2423</v>
      </c>
    </row>
    <row r="177" spans="1:8" ht="29" x14ac:dyDescent="0.35">
      <c r="A177" s="1">
        <f t="shared" si="2"/>
        <v>176</v>
      </c>
      <c r="B177" s="1" t="s">
        <v>2424</v>
      </c>
      <c r="C177" s="1" t="s">
        <v>316</v>
      </c>
      <c r="D177" s="1" t="s">
        <v>2425</v>
      </c>
      <c r="E177" s="1" t="s">
        <v>1799</v>
      </c>
      <c r="F177" s="1" t="s">
        <v>2426</v>
      </c>
      <c r="G177" s="1" t="s">
        <v>2426</v>
      </c>
      <c r="H177" s="1" t="s">
        <v>2427</v>
      </c>
    </row>
    <row r="178" spans="1:8" ht="29" x14ac:dyDescent="0.35">
      <c r="A178" s="1">
        <f t="shared" si="2"/>
        <v>177</v>
      </c>
      <c r="B178" s="1" t="s">
        <v>2428</v>
      </c>
      <c r="C178" s="1" t="s">
        <v>76</v>
      </c>
      <c r="D178" s="1" t="s">
        <v>2429</v>
      </c>
      <c r="E178" s="1" t="s">
        <v>1799</v>
      </c>
      <c r="F178" s="1" t="s">
        <v>2430</v>
      </c>
      <c r="G178" s="1" t="s">
        <v>2430</v>
      </c>
      <c r="H178" s="1" t="s">
        <v>2431</v>
      </c>
    </row>
    <row r="179" spans="1:8" ht="58" x14ac:dyDescent="0.35">
      <c r="A179" s="1">
        <f t="shared" si="2"/>
        <v>178</v>
      </c>
      <c r="B179" s="1" t="s">
        <v>2432</v>
      </c>
      <c r="C179" s="1" t="s">
        <v>324</v>
      </c>
      <c r="D179" s="1" t="s">
        <v>2433</v>
      </c>
      <c r="E179" s="1" t="s">
        <v>1839</v>
      </c>
      <c r="F179" s="1" t="s">
        <v>2434</v>
      </c>
      <c r="G179" s="1" t="s">
        <v>2434</v>
      </c>
      <c r="H179" s="1" t="s">
        <v>2435</v>
      </c>
    </row>
    <row r="180" spans="1:8" ht="29" x14ac:dyDescent="0.35">
      <c r="A180" s="1">
        <f t="shared" si="2"/>
        <v>179</v>
      </c>
      <c r="B180" s="1" t="s">
        <v>2436</v>
      </c>
      <c r="C180" s="1" t="s">
        <v>326</v>
      </c>
      <c r="D180" s="1" t="s">
        <v>2437</v>
      </c>
      <c r="E180" s="1" t="s">
        <v>1613</v>
      </c>
      <c r="F180" s="1" t="s">
        <v>2438</v>
      </c>
      <c r="G180" s="1" t="s">
        <v>2438</v>
      </c>
      <c r="H180" s="1" t="s">
        <v>2439</v>
      </c>
    </row>
    <row r="181" spans="1:8" ht="58" x14ac:dyDescent="0.35">
      <c r="A181" s="1">
        <f t="shared" si="2"/>
        <v>180</v>
      </c>
      <c r="B181" s="1" t="s">
        <v>2440</v>
      </c>
      <c r="C181" s="1" t="s">
        <v>242</v>
      </c>
      <c r="D181" s="1" t="s">
        <v>2441</v>
      </c>
      <c r="E181" s="1" t="s">
        <v>2442</v>
      </c>
      <c r="F181" s="1" t="s">
        <v>2443</v>
      </c>
      <c r="G181" s="1" t="s">
        <v>2443</v>
      </c>
      <c r="H181" s="1" t="s">
        <v>2444</v>
      </c>
    </row>
    <row r="182" spans="1:8" ht="43.5" x14ac:dyDescent="0.35">
      <c r="A182" s="1">
        <f t="shared" si="2"/>
        <v>181</v>
      </c>
      <c r="B182" s="1" t="s">
        <v>2445</v>
      </c>
      <c r="C182" s="1" t="s">
        <v>213</v>
      </c>
      <c r="D182" s="1" t="s">
        <v>2446</v>
      </c>
      <c r="E182" s="1" t="s">
        <v>2253</v>
      </c>
      <c r="F182" s="1" t="s">
        <v>2447</v>
      </c>
      <c r="G182" s="1" t="s">
        <v>2447</v>
      </c>
      <c r="H182" s="1" t="s">
        <v>2448</v>
      </c>
    </row>
    <row r="183" spans="1:8" ht="58" x14ac:dyDescent="0.35">
      <c r="A183" s="1">
        <f t="shared" si="2"/>
        <v>182</v>
      </c>
      <c r="B183" s="1" t="s">
        <v>2449</v>
      </c>
      <c r="C183" s="1" t="s">
        <v>330</v>
      </c>
      <c r="D183" s="1" t="s">
        <v>2450</v>
      </c>
      <c r="E183" s="1" t="s">
        <v>2114</v>
      </c>
      <c r="F183" s="1" t="s">
        <v>2451</v>
      </c>
      <c r="G183" s="1" t="s">
        <v>2451</v>
      </c>
      <c r="H183" s="1" t="s">
        <v>2452</v>
      </c>
    </row>
    <row r="184" spans="1:8" ht="58" x14ac:dyDescent="0.35">
      <c r="A184" s="1">
        <f t="shared" si="2"/>
        <v>183</v>
      </c>
      <c r="B184" s="1" t="s">
        <v>2453</v>
      </c>
      <c r="C184" s="1" t="s">
        <v>332</v>
      </c>
      <c r="D184" s="1" t="s">
        <v>2454</v>
      </c>
      <c r="E184" s="1" t="s">
        <v>2041</v>
      </c>
      <c r="F184" s="1" t="s">
        <v>2455</v>
      </c>
      <c r="G184" s="1" t="s">
        <v>2455</v>
      </c>
      <c r="H184" s="1" t="s">
        <v>2456</v>
      </c>
    </row>
    <row r="185" spans="1:8" ht="58" x14ac:dyDescent="0.35">
      <c r="A185" s="1">
        <f t="shared" si="2"/>
        <v>184</v>
      </c>
      <c r="B185" s="1" t="s">
        <v>2457</v>
      </c>
      <c r="C185" s="1" t="s">
        <v>330</v>
      </c>
      <c r="D185" s="1" t="s">
        <v>2458</v>
      </c>
      <c r="E185" s="1" t="s">
        <v>2143</v>
      </c>
      <c r="F185" s="1" t="s">
        <v>2459</v>
      </c>
      <c r="G185" s="1" t="s">
        <v>2460</v>
      </c>
      <c r="H185" s="1" t="s">
        <v>2461</v>
      </c>
    </row>
    <row r="186" spans="1:8" ht="58" x14ac:dyDescent="0.35">
      <c r="A186" s="1">
        <f t="shared" si="2"/>
        <v>185</v>
      </c>
      <c r="B186" s="1" t="s">
        <v>2462</v>
      </c>
      <c r="C186" s="1" t="s">
        <v>335</v>
      </c>
      <c r="D186" s="1" t="s">
        <v>2463</v>
      </c>
      <c r="E186" s="1" t="s">
        <v>1839</v>
      </c>
      <c r="F186" s="1" t="s">
        <v>2464</v>
      </c>
      <c r="G186" s="1" t="s">
        <v>2464</v>
      </c>
      <c r="H186" s="1" t="s">
        <v>2465</v>
      </c>
    </row>
    <row r="187" spans="1:8" ht="58" x14ac:dyDescent="0.35">
      <c r="A187" s="1">
        <f t="shared" si="2"/>
        <v>186</v>
      </c>
      <c r="B187" s="1" t="s">
        <v>2466</v>
      </c>
      <c r="C187" s="1" t="s">
        <v>337</v>
      </c>
      <c r="D187" s="1" t="s">
        <v>2467</v>
      </c>
      <c r="E187" s="1" t="s">
        <v>1629</v>
      </c>
      <c r="F187" s="1" t="s">
        <v>2468</v>
      </c>
      <c r="G187" s="1" t="s">
        <v>2469</v>
      </c>
      <c r="H187" s="1" t="s">
        <v>2470</v>
      </c>
    </row>
    <row r="188" spans="1:8" ht="43.5" x14ac:dyDescent="0.35">
      <c r="A188" s="1">
        <f t="shared" si="2"/>
        <v>187</v>
      </c>
      <c r="B188" s="1" t="s">
        <v>2471</v>
      </c>
      <c r="C188" s="1" t="s">
        <v>339</v>
      </c>
      <c r="D188" s="1" t="s">
        <v>2472</v>
      </c>
      <c r="E188" s="1" t="s">
        <v>1663</v>
      </c>
      <c r="F188" s="1" t="s">
        <v>2473</v>
      </c>
      <c r="G188" s="1" t="s">
        <v>2473</v>
      </c>
      <c r="H188" s="1" t="s">
        <v>2474</v>
      </c>
    </row>
    <row r="189" spans="1:8" ht="58" x14ac:dyDescent="0.35">
      <c r="A189" s="1">
        <f t="shared" si="2"/>
        <v>188</v>
      </c>
      <c r="B189" s="1" t="s">
        <v>2475</v>
      </c>
      <c r="C189" s="1" t="s">
        <v>341</v>
      </c>
      <c r="D189" s="1" t="s">
        <v>2476</v>
      </c>
      <c r="E189" s="1" t="s">
        <v>2109</v>
      </c>
      <c r="F189" s="1" t="s">
        <v>2477</v>
      </c>
      <c r="G189" s="1" t="s">
        <v>2477</v>
      </c>
      <c r="H189" s="1" t="s">
        <v>2478</v>
      </c>
    </row>
    <row r="190" spans="1:8" ht="43.5" x14ac:dyDescent="0.35">
      <c r="A190" s="1">
        <f t="shared" si="2"/>
        <v>189</v>
      </c>
      <c r="B190" s="1" t="s">
        <v>2479</v>
      </c>
      <c r="C190" s="1" t="s">
        <v>343</v>
      </c>
      <c r="D190" s="1" t="s">
        <v>2480</v>
      </c>
      <c r="E190" s="1" t="s">
        <v>1990</v>
      </c>
      <c r="F190" s="1" t="s">
        <v>2481</v>
      </c>
      <c r="G190" s="1" t="s">
        <v>2481</v>
      </c>
      <c r="H190" s="1" t="s">
        <v>2482</v>
      </c>
    </row>
    <row r="191" spans="1:8" ht="43.5" x14ac:dyDescent="0.35">
      <c r="A191" s="1">
        <f t="shared" si="2"/>
        <v>190</v>
      </c>
      <c r="B191" s="1" t="s">
        <v>2483</v>
      </c>
      <c r="C191" s="1" t="s">
        <v>345</v>
      </c>
      <c r="D191" s="1" t="s">
        <v>2484</v>
      </c>
      <c r="E191" s="1" t="s">
        <v>1785</v>
      </c>
      <c r="F191" s="1" t="s">
        <v>2485</v>
      </c>
      <c r="G191" s="1" t="s">
        <v>2485</v>
      </c>
      <c r="H191" s="1" t="s">
        <v>2486</v>
      </c>
    </row>
    <row r="192" spans="1:8" ht="29" x14ac:dyDescent="0.35">
      <c r="A192" s="1">
        <f t="shared" si="2"/>
        <v>191</v>
      </c>
      <c r="B192" s="1" t="s">
        <v>2487</v>
      </c>
      <c r="C192" s="1" t="s">
        <v>347</v>
      </c>
      <c r="D192" s="1" t="s">
        <v>2488</v>
      </c>
      <c r="E192" s="1" t="s">
        <v>1844</v>
      </c>
      <c r="F192" s="1" t="s">
        <v>2489</v>
      </c>
      <c r="G192" s="1" t="s">
        <v>2489</v>
      </c>
      <c r="H192" s="1" t="s">
        <v>2490</v>
      </c>
    </row>
    <row r="193" spans="1:8" x14ac:dyDescent="0.35">
      <c r="A193" s="1">
        <f t="shared" si="2"/>
        <v>192</v>
      </c>
      <c r="B193" s="1" t="s">
        <v>2491</v>
      </c>
      <c r="C193" s="1" t="s">
        <v>349</v>
      </c>
      <c r="D193" s="1" t="s">
        <v>2492</v>
      </c>
      <c r="E193" s="1" t="s">
        <v>1596</v>
      </c>
      <c r="F193" s="1" t="s">
        <v>2493</v>
      </c>
      <c r="G193" s="1" t="s">
        <v>2493</v>
      </c>
      <c r="H193" s="1" t="s">
        <v>2494</v>
      </c>
    </row>
    <row r="194" spans="1:8" ht="58" x14ac:dyDescent="0.35">
      <c r="A194" s="1">
        <f t="shared" si="2"/>
        <v>193</v>
      </c>
      <c r="B194" s="1" t="s">
        <v>2495</v>
      </c>
      <c r="C194" s="1" t="s">
        <v>76</v>
      </c>
      <c r="D194" s="1" t="s">
        <v>2496</v>
      </c>
      <c r="E194" s="1" t="s">
        <v>1794</v>
      </c>
      <c r="F194" s="1" t="s">
        <v>2497</v>
      </c>
      <c r="G194" s="1" t="s">
        <v>2497</v>
      </c>
      <c r="H194" s="1" t="s">
        <v>2498</v>
      </c>
    </row>
    <row r="195" spans="1:8" ht="58" x14ac:dyDescent="0.35">
      <c r="A195" s="1">
        <f t="shared" si="2"/>
        <v>194</v>
      </c>
      <c r="B195" s="1" t="s">
        <v>2499</v>
      </c>
      <c r="C195" s="1" t="s">
        <v>352</v>
      </c>
      <c r="D195" s="1" t="s">
        <v>2500</v>
      </c>
      <c r="E195" s="1" t="s">
        <v>2312</v>
      </c>
      <c r="F195" s="1" t="s">
        <v>2501</v>
      </c>
      <c r="G195" s="1" t="s">
        <v>2501</v>
      </c>
      <c r="H195" s="1" t="s">
        <v>2502</v>
      </c>
    </row>
    <row r="196" spans="1:8" ht="58" x14ac:dyDescent="0.35">
      <c r="A196" s="1">
        <f t="shared" ref="A196:A259" si="3">SUM(A195+1)</f>
        <v>195</v>
      </c>
      <c r="B196" s="1" t="s">
        <v>2503</v>
      </c>
      <c r="C196" s="1" t="s">
        <v>354</v>
      </c>
      <c r="D196" s="1" t="s">
        <v>2504</v>
      </c>
      <c r="E196" s="1" t="s">
        <v>2505</v>
      </c>
      <c r="F196" s="1" t="s">
        <v>2506</v>
      </c>
      <c r="G196" s="1" t="s">
        <v>2506</v>
      </c>
      <c r="H196" s="1" t="s">
        <v>2507</v>
      </c>
    </row>
    <row r="197" spans="1:8" ht="58" x14ac:dyDescent="0.35">
      <c r="A197" s="1">
        <f t="shared" si="3"/>
        <v>196</v>
      </c>
      <c r="B197" s="1" t="s">
        <v>2508</v>
      </c>
      <c r="C197" s="1" t="s">
        <v>76</v>
      </c>
      <c r="D197" s="1" t="s">
        <v>2509</v>
      </c>
      <c r="E197" s="1" t="s">
        <v>2510</v>
      </c>
      <c r="F197" s="1" t="s">
        <v>2511</v>
      </c>
      <c r="G197" s="1" t="s">
        <v>2511</v>
      </c>
      <c r="H197" s="1" t="s">
        <v>2512</v>
      </c>
    </row>
    <row r="198" spans="1:8" ht="58" x14ac:dyDescent="0.35">
      <c r="A198" s="1">
        <f t="shared" si="3"/>
        <v>197</v>
      </c>
      <c r="B198" s="1" t="s">
        <v>2513</v>
      </c>
      <c r="C198" s="1" t="s">
        <v>242</v>
      </c>
      <c r="D198" s="1" t="s">
        <v>2514</v>
      </c>
      <c r="E198" s="1" t="s">
        <v>2515</v>
      </c>
      <c r="F198" s="1" t="s">
        <v>2516</v>
      </c>
      <c r="G198" s="1" t="s">
        <v>2516</v>
      </c>
      <c r="H198" s="1" t="s">
        <v>2517</v>
      </c>
    </row>
    <row r="199" spans="1:8" ht="58" x14ac:dyDescent="0.35">
      <c r="A199" s="1">
        <f t="shared" si="3"/>
        <v>198</v>
      </c>
      <c r="B199" s="1" t="s">
        <v>2518</v>
      </c>
      <c r="C199" s="1" t="s">
        <v>242</v>
      </c>
      <c r="D199" s="1" t="s">
        <v>2519</v>
      </c>
      <c r="E199" s="1" t="s">
        <v>1680</v>
      </c>
      <c r="F199" s="1" t="s">
        <v>2520</v>
      </c>
      <c r="G199" s="1" t="s">
        <v>2520</v>
      </c>
      <c r="H199" s="1" t="s">
        <v>2521</v>
      </c>
    </row>
    <row r="200" spans="1:8" ht="58" x14ac:dyDescent="0.35">
      <c r="A200" s="1">
        <f t="shared" si="3"/>
        <v>199</v>
      </c>
      <c r="B200" s="1" t="s">
        <v>2522</v>
      </c>
      <c r="C200" s="1" t="s">
        <v>242</v>
      </c>
      <c r="D200" s="1" t="s">
        <v>2523</v>
      </c>
      <c r="E200" s="1" t="s">
        <v>2177</v>
      </c>
      <c r="F200" s="1" t="s">
        <v>2524</v>
      </c>
      <c r="G200" s="1" t="s">
        <v>2524</v>
      </c>
      <c r="H200" s="1" t="s">
        <v>2525</v>
      </c>
    </row>
    <row r="201" spans="1:8" ht="43.5" x14ac:dyDescent="0.35">
      <c r="A201" s="1">
        <f t="shared" si="3"/>
        <v>200</v>
      </c>
      <c r="B201" s="1" t="s">
        <v>2526</v>
      </c>
      <c r="C201" s="1" t="s">
        <v>213</v>
      </c>
      <c r="D201" s="1" t="s">
        <v>2527</v>
      </c>
      <c r="E201" s="1" t="s">
        <v>2143</v>
      </c>
      <c r="F201" s="1" t="s">
        <v>2528</v>
      </c>
      <c r="G201" s="1" t="s">
        <v>2528</v>
      </c>
      <c r="H201" s="1" t="s">
        <v>2529</v>
      </c>
    </row>
    <row r="202" spans="1:8" ht="43.5" x14ac:dyDescent="0.35">
      <c r="A202" s="1">
        <f t="shared" si="3"/>
        <v>201</v>
      </c>
      <c r="B202" s="1" t="s">
        <v>2530</v>
      </c>
      <c r="C202" s="1" t="s">
        <v>280</v>
      </c>
      <c r="D202" s="1" t="s">
        <v>2531</v>
      </c>
      <c r="E202" s="1" t="s">
        <v>1990</v>
      </c>
      <c r="F202" s="1" t="s">
        <v>2532</v>
      </c>
      <c r="G202" s="1" t="s">
        <v>2532</v>
      </c>
      <c r="H202" s="1" t="s">
        <v>2533</v>
      </c>
    </row>
    <row r="203" spans="1:8" ht="58" x14ac:dyDescent="0.35">
      <c r="A203" s="1">
        <f t="shared" si="3"/>
        <v>202</v>
      </c>
      <c r="B203" s="1" t="s">
        <v>2534</v>
      </c>
      <c r="C203" s="1" t="s">
        <v>304</v>
      </c>
      <c r="D203" s="1" t="s">
        <v>2535</v>
      </c>
      <c r="E203" s="1" t="s">
        <v>2387</v>
      </c>
      <c r="F203" s="1" t="s">
        <v>2536</v>
      </c>
      <c r="G203" s="1" t="s">
        <v>2536</v>
      </c>
      <c r="H203" s="1" t="s">
        <v>2537</v>
      </c>
    </row>
    <row r="204" spans="1:8" ht="58" x14ac:dyDescent="0.35">
      <c r="A204" s="1">
        <f t="shared" si="3"/>
        <v>203</v>
      </c>
      <c r="B204" s="1" t="s">
        <v>2538</v>
      </c>
      <c r="C204" s="1" t="s">
        <v>253</v>
      </c>
      <c r="D204" s="1" t="s">
        <v>2539</v>
      </c>
      <c r="E204" s="1" t="s">
        <v>2109</v>
      </c>
      <c r="F204" s="1" t="s">
        <v>2540</v>
      </c>
      <c r="G204" s="1" t="s">
        <v>2540</v>
      </c>
      <c r="H204" s="1" t="s">
        <v>2541</v>
      </c>
    </row>
    <row r="205" spans="1:8" ht="58" x14ac:dyDescent="0.35">
      <c r="A205" s="1">
        <f t="shared" si="3"/>
        <v>204</v>
      </c>
      <c r="B205" s="1" t="s">
        <v>2542</v>
      </c>
      <c r="C205" s="1" t="s">
        <v>274</v>
      </c>
      <c r="D205" s="1" t="s">
        <v>2543</v>
      </c>
      <c r="E205" s="1" t="s">
        <v>2510</v>
      </c>
      <c r="F205" s="1" t="s">
        <v>2544</v>
      </c>
      <c r="G205" s="1" t="s">
        <v>2545</v>
      </c>
      <c r="H205" s="1" t="s">
        <v>2546</v>
      </c>
    </row>
    <row r="206" spans="1:8" ht="29" x14ac:dyDescent="0.35">
      <c r="A206" s="1">
        <f t="shared" si="3"/>
        <v>205</v>
      </c>
      <c r="B206" s="1" t="s">
        <v>2547</v>
      </c>
      <c r="C206" s="1" t="s">
        <v>365</v>
      </c>
      <c r="D206" s="1" t="s">
        <v>2548</v>
      </c>
      <c r="E206" s="1" t="s">
        <v>1692</v>
      </c>
      <c r="F206" s="1" t="s">
        <v>2549</v>
      </c>
      <c r="G206" s="1" t="s">
        <v>2549</v>
      </c>
      <c r="H206" s="1" t="s">
        <v>2550</v>
      </c>
    </row>
    <row r="207" spans="1:8" ht="58" x14ac:dyDescent="0.35">
      <c r="A207" s="1">
        <f t="shared" si="3"/>
        <v>206</v>
      </c>
      <c r="B207" s="1" t="s">
        <v>2551</v>
      </c>
      <c r="C207" s="1" t="s">
        <v>367</v>
      </c>
      <c r="D207" s="1" t="s">
        <v>2552</v>
      </c>
      <c r="E207" s="1" t="s">
        <v>2553</v>
      </c>
      <c r="F207" s="1" t="s">
        <v>2554</v>
      </c>
      <c r="G207" s="1" t="s">
        <v>2554</v>
      </c>
      <c r="H207" s="1" t="s">
        <v>2555</v>
      </c>
    </row>
    <row r="208" spans="1:8" ht="58" x14ac:dyDescent="0.35">
      <c r="A208" s="1">
        <f t="shared" si="3"/>
        <v>207</v>
      </c>
      <c r="B208" s="1" t="s">
        <v>2556</v>
      </c>
      <c r="C208" s="1" t="s">
        <v>369</v>
      </c>
      <c r="D208" s="1" t="s">
        <v>2557</v>
      </c>
      <c r="E208" s="1" t="s">
        <v>2558</v>
      </c>
      <c r="F208" s="1" t="s">
        <v>2559</v>
      </c>
      <c r="G208" s="1" t="s">
        <v>2559</v>
      </c>
      <c r="H208" s="1" t="s">
        <v>2560</v>
      </c>
    </row>
    <row r="209" spans="1:8" x14ac:dyDescent="0.35">
      <c r="A209" s="1">
        <f t="shared" si="3"/>
        <v>208</v>
      </c>
      <c r="B209" s="1" t="s">
        <v>2561</v>
      </c>
      <c r="C209" s="1" t="s">
        <v>371</v>
      </c>
      <c r="D209" s="1" t="s">
        <v>2562</v>
      </c>
      <c r="E209" s="1" t="s">
        <v>1596</v>
      </c>
      <c r="F209" s="1" t="s">
        <v>2563</v>
      </c>
      <c r="G209" s="1" t="s">
        <v>2563</v>
      </c>
      <c r="H209" s="1" t="s">
        <v>2564</v>
      </c>
    </row>
    <row r="210" spans="1:8" ht="58" x14ac:dyDescent="0.35">
      <c r="A210" s="1">
        <f t="shared" si="3"/>
        <v>209</v>
      </c>
      <c r="B210" s="1" t="s">
        <v>2565</v>
      </c>
      <c r="C210" s="1" t="s">
        <v>373</v>
      </c>
      <c r="D210" s="1" t="s">
        <v>2566</v>
      </c>
      <c r="E210" s="1" t="s">
        <v>1775</v>
      </c>
      <c r="F210" s="1" t="s">
        <v>2567</v>
      </c>
      <c r="G210" s="1" t="s">
        <v>2567</v>
      </c>
      <c r="H210" s="1" t="s">
        <v>2568</v>
      </c>
    </row>
    <row r="211" spans="1:8" ht="43.5" x14ac:dyDescent="0.35">
      <c r="A211" s="1">
        <f t="shared" si="3"/>
        <v>210</v>
      </c>
      <c r="B211" s="1" t="s">
        <v>2569</v>
      </c>
      <c r="C211" s="1" t="s">
        <v>375</v>
      </c>
      <c r="D211" s="1" t="s">
        <v>2570</v>
      </c>
      <c r="E211" s="1" t="s">
        <v>1663</v>
      </c>
      <c r="F211" s="1" t="s">
        <v>2571</v>
      </c>
      <c r="G211" s="1" t="s">
        <v>2571</v>
      </c>
      <c r="H211" s="1" t="s">
        <v>2572</v>
      </c>
    </row>
    <row r="212" spans="1:8" ht="58" x14ac:dyDescent="0.35">
      <c r="A212" s="1">
        <f t="shared" si="3"/>
        <v>211</v>
      </c>
      <c r="B212" s="1" t="s">
        <v>2573</v>
      </c>
      <c r="C212" s="1" t="s">
        <v>377</v>
      </c>
      <c r="D212" s="1" t="s">
        <v>2574</v>
      </c>
      <c r="E212" s="1" t="s">
        <v>1764</v>
      </c>
      <c r="F212" s="1" t="s">
        <v>2575</v>
      </c>
      <c r="G212" s="1" t="s">
        <v>2575</v>
      </c>
      <c r="H212" s="1" t="s">
        <v>2576</v>
      </c>
    </row>
    <row r="213" spans="1:8" ht="58" x14ac:dyDescent="0.35">
      <c r="A213" s="1">
        <f t="shared" si="3"/>
        <v>212</v>
      </c>
      <c r="B213" s="1" t="s">
        <v>2577</v>
      </c>
      <c r="C213" s="1" t="s">
        <v>379</v>
      </c>
      <c r="D213" s="1" t="s">
        <v>2578</v>
      </c>
      <c r="E213" s="1" t="s">
        <v>2134</v>
      </c>
      <c r="F213" s="1" t="s">
        <v>2579</v>
      </c>
      <c r="G213" s="1" t="s">
        <v>2579</v>
      </c>
      <c r="H213" s="1" t="s">
        <v>2580</v>
      </c>
    </row>
    <row r="214" spans="1:8" ht="58" x14ac:dyDescent="0.35">
      <c r="A214" s="1">
        <f t="shared" si="3"/>
        <v>213</v>
      </c>
      <c r="B214" s="1" t="s">
        <v>2581</v>
      </c>
      <c r="C214" s="1" t="s">
        <v>76</v>
      </c>
      <c r="D214" s="1" t="s">
        <v>2582</v>
      </c>
      <c r="E214" s="1" t="s">
        <v>2114</v>
      </c>
      <c r="F214" s="1" t="s">
        <v>2583</v>
      </c>
      <c r="G214" s="1" t="s">
        <v>2583</v>
      </c>
      <c r="H214" s="1" t="s">
        <v>2584</v>
      </c>
    </row>
    <row r="215" spans="1:8" ht="58" x14ac:dyDescent="0.35">
      <c r="A215" s="1">
        <f t="shared" si="3"/>
        <v>214</v>
      </c>
      <c r="B215" s="1" t="s">
        <v>2585</v>
      </c>
      <c r="C215" s="1" t="s">
        <v>382</v>
      </c>
      <c r="D215" s="1" t="s">
        <v>2586</v>
      </c>
      <c r="E215" s="1" t="s">
        <v>2114</v>
      </c>
      <c r="F215" s="1" t="s">
        <v>2587</v>
      </c>
      <c r="G215" s="1" t="s">
        <v>2587</v>
      </c>
      <c r="H215" s="1" t="s">
        <v>2588</v>
      </c>
    </row>
    <row r="216" spans="1:8" ht="43.5" x14ac:dyDescent="0.35">
      <c r="A216" s="1">
        <f t="shared" si="3"/>
        <v>215</v>
      </c>
      <c r="B216" s="1" t="s">
        <v>2589</v>
      </c>
      <c r="C216" s="1" t="s">
        <v>326</v>
      </c>
      <c r="D216" s="1" t="s">
        <v>2590</v>
      </c>
      <c r="E216" s="1" t="s">
        <v>1999</v>
      </c>
      <c r="F216" s="1" t="s">
        <v>2591</v>
      </c>
      <c r="G216" s="1" t="s">
        <v>2591</v>
      </c>
      <c r="H216" s="1" t="s">
        <v>2592</v>
      </c>
    </row>
    <row r="217" spans="1:8" ht="58" x14ac:dyDescent="0.35">
      <c r="A217" s="1">
        <f t="shared" si="3"/>
        <v>216</v>
      </c>
      <c r="B217" s="1" t="s">
        <v>2593</v>
      </c>
      <c r="C217" s="1" t="s">
        <v>4</v>
      </c>
      <c r="D217" s="1" t="s">
        <v>2594</v>
      </c>
      <c r="E217" s="1" t="s">
        <v>1601</v>
      </c>
      <c r="F217" s="1" t="s">
        <v>2595</v>
      </c>
      <c r="G217" s="1" t="s">
        <v>2595</v>
      </c>
      <c r="H217" s="1" t="s">
        <v>2596</v>
      </c>
    </row>
    <row r="218" spans="1:8" ht="58" x14ac:dyDescent="0.35">
      <c r="A218" s="1">
        <f t="shared" si="3"/>
        <v>217</v>
      </c>
      <c r="B218" s="1" t="s">
        <v>2593</v>
      </c>
      <c r="C218" s="1" t="s">
        <v>4</v>
      </c>
      <c r="D218" s="1" t="s">
        <v>2594</v>
      </c>
      <c r="E218" s="1" t="s">
        <v>1601</v>
      </c>
      <c r="F218" s="1" t="s">
        <v>2595</v>
      </c>
      <c r="G218" s="1" t="s">
        <v>2595</v>
      </c>
      <c r="H218" s="1" t="s">
        <v>2596</v>
      </c>
    </row>
    <row r="219" spans="1:8" ht="58" x14ac:dyDescent="0.35">
      <c r="A219" s="1">
        <f t="shared" si="3"/>
        <v>218</v>
      </c>
      <c r="B219" s="1" t="s">
        <v>2593</v>
      </c>
      <c r="C219" s="1" t="s">
        <v>4</v>
      </c>
      <c r="D219" s="1" t="s">
        <v>2594</v>
      </c>
      <c r="E219" s="1" t="s">
        <v>1601</v>
      </c>
      <c r="F219" s="1" t="s">
        <v>2595</v>
      </c>
      <c r="G219" s="1" t="s">
        <v>2595</v>
      </c>
      <c r="H219" s="1" t="s">
        <v>2596</v>
      </c>
    </row>
    <row r="220" spans="1:8" ht="58" x14ac:dyDescent="0.35">
      <c r="A220" s="1">
        <f t="shared" si="3"/>
        <v>219</v>
      </c>
      <c r="B220" s="1" t="s">
        <v>2593</v>
      </c>
      <c r="C220" s="1" t="s">
        <v>4</v>
      </c>
      <c r="D220" s="1" t="s">
        <v>2594</v>
      </c>
      <c r="E220" s="1" t="s">
        <v>1601</v>
      </c>
      <c r="F220" s="1" t="s">
        <v>2595</v>
      </c>
      <c r="G220" s="1" t="s">
        <v>2595</v>
      </c>
      <c r="H220" s="1" t="s">
        <v>2596</v>
      </c>
    </row>
    <row r="221" spans="1:8" ht="58" x14ac:dyDescent="0.35">
      <c r="A221" s="1">
        <f t="shared" si="3"/>
        <v>220</v>
      </c>
      <c r="B221" s="1" t="s">
        <v>2597</v>
      </c>
      <c r="C221" s="1" t="s">
        <v>242</v>
      </c>
      <c r="D221" s="1" t="s">
        <v>2598</v>
      </c>
      <c r="E221" s="1" t="s">
        <v>2599</v>
      </c>
      <c r="F221" s="1" t="s">
        <v>2600</v>
      </c>
      <c r="G221" s="1" t="s">
        <v>2600</v>
      </c>
      <c r="H221" s="1" t="s">
        <v>2601</v>
      </c>
    </row>
    <row r="222" spans="1:8" ht="43.5" x14ac:dyDescent="0.35">
      <c r="A222" s="1">
        <f t="shared" si="3"/>
        <v>221</v>
      </c>
      <c r="B222" s="1" t="s">
        <v>2602</v>
      </c>
      <c r="C222" s="1" t="s">
        <v>280</v>
      </c>
      <c r="D222" s="1" t="s">
        <v>2603</v>
      </c>
      <c r="E222" s="1" t="s">
        <v>2604</v>
      </c>
      <c r="F222" s="1" t="s">
        <v>2605</v>
      </c>
      <c r="G222" s="1" t="s">
        <v>2605</v>
      </c>
      <c r="H222" s="1" t="s">
        <v>2606</v>
      </c>
    </row>
    <row r="223" spans="1:8" ht="58" x14ac:dyDescent="0.35">
      <c r="A223" s="1">
        <f t="shared" si="3"/>
        <v>222</v>
      </c>
      <c r="B223" s="1" t="s">
        <v>2607</v>
      </c>
      <c r="C223" s="1" t="s">
        <v>391</v>
      </c>
      <c r="D223" s="1" t="s">
        <v>2608</v>
      </c>
      <c r="E223" s="1" t="s">
        <v>2609</v>
      </c>
      <c r="F223" s="1" t="s">
        <v>2610</v>
      </c>
      <c r="G223" s="1" t="s">
        <v>2610</v>
      </c>
      <c r="H223" s="1" t="s">
        <v>2611</v>
      </c>
    </row>
    <row r="224" spans="1:8" ht="58" x14ac:dyDescent="0.35">
      <c r="A224" s="1">
        <f t="shared" si="3"/>
        <v>223</v>
      </c>
      <c r="B224" s="1" t="s">
        <v>2612</v>
      </c>
      <c r="C224" s="1" t="s">
        <v>393</v>
      </c>
      <c r="D224" s="1" t="s">
        <v>2613</v>
      </c>
      <c r="E224" s="1" t="s">
        <v>2272</v>
      </c>
      <c r="F224" s="1" t="s">
        <v>2614</v>
      </c>
      <c r="G224" s="1" t="s">
        <v>2614</v>
      </c>
      <c r="H224" s="1" t="s">
        <v>2615</v>
      </c>
    </row>
    <row r="225" spans="1:8" ht="58" x14ac:dyDescent="0.35">
      <c r="A225" s="1">
        <f t="shared" si="3"/>
        <v>224</v>
      </c>
      <c r="B225" s="1" t="s">
        <v>2616</v>
      </c>
      <c r="C225" s="1" t="s">
        <v>263</v>
      </c>
      <c r="D225" s="1" t="s">
        <v>2617</v>
      </c>
      <c r="E225" s="1" t="s">
        <v>2618</v>
      </c>
      <c r="F225" s="1" t="s">
        <v>2619</v>
      </c>
      <c r="G225" s="1" t="s">
        <v>2619</v>
      </c>
      <c r="H225" s="1" t="s">
        <v>2620</v>
      </c>
    </row>
    <row r="226" spans="1:8" ht="58" x14ac:dyDescent="0.35">
      <c r="A226" s="1">
        <f t="shared" si="3"/>
        <v>225</v>
      </c>
      <c r="B226" s="1" t="s">
        <v>2621</v>
      </c>
      <c r="C226" s="1" t="s">
        <v>396</v>
      </c>
      <c r="D226" s="1" t="s">
        <v>2622</v>
      </c>
      <c r="E226" s="1" t="s">
        <v>2008</v>
      </c>
      <c r="F226" s="1" t="s">
        <v>2623</v>
      </c>
      <c r="G226" s="1" t="s">
        <v>2623</v>
      </c>
      <c r="H226" s="1" t="s">
        <v>2624</v>
      </c>
    </row>
    <row r="227" spans="1:8" ht="58" x14ac:dyDescent="0.35">
      <c r="A227" s="1">
        <f t="shared" si="3"/>
        <v>226</v>
      </c>
      <c r="B227" s="1" t="s">
        <v>2625</v>
      </c>
      <c r="C227" s="1" t="s">
        <v>304</v>
      </c>
      <c r="D227" s="1" t="s">
        <v>2626</v>
      </c>
      <c r="E227" s="1" t="s">
        <v>2627</v>
      </c>
      <c r="F227" s="1" t="s">
        <v>2628</v>
      </c>
      <c r="G227" s="1" t="s">
        <v>2628</v>
      </c>
      <c r="H227" s="1" t="s">
        <v>2629</v>
      </c>
    </row>
    <row r="228" spans="1:8" ht="43.5" x14ac:dyDescent="0.35">
      <c r="A228" s="1">
        <f t="shared" si="3"/>
        <v>227</v>
      </c>
      <c r="B228" s="1" t="s">
        <v>2630</v>
      </c>
      <c r="C228" s="1" t="s">
        <v>213</v>
      </c>
      <c r="D228" s="1" t="s">
        <v>2631</v>
      </c>
      <c r="E228" s="1" t="s">
        <v>1785</v>
      </c>
      <c r="F228" s="1" t="s">
        <v>2632</v>
      </c>
      <c r="G228" s="1" t="s">
        <v>2632</v>
      </c>
      <c r="H228" s="1" t="s">
        <v>2633</v>
      </c>
    </row>
    <row r="229" spans="1:8" ht="43.5" x14ac:dyDescent="0.35">
      <c r="A229" s="1">
        <f t="shared" si="3"/>
        <v>228</v>
      </c>
      <c r="B229" s="1" t="s">
        <v>2634</v>
      </c>
      <c r="C229" s="1" t="s">
        <v>259</v>
      </c>
      <c r="D229" s="1" t="s">
        <v>2635</v>
      </c>
      <c r="E229" s="1" t="s">
        <v>2186</v>
      </c>
      <c r="F229" s="1" t="s">
        <v>2636</v>
      </c>
      <c r="G229" s="1" t="s">
        <v>2636</v>
      </c>
      <c r="H229" s="1" t="s">
        <v>2637</v>
      </c>
    </row>
    <row r="230" spans="1:8" ht="58" x14ac:dyDescent="0.35">
      <c r="A230" s="1">
        <f t="shared" si="3"/>
        <v>229</v>
      </c>
      <c r="B230" s="1" t="s">
        <v>2638</v>
      </c>
      <c r="C230" s="1" t="s">
        <v>401</v>
      </c>
      <c r="D230" s="1" t="s">
        <v>2639</v>
      </c>
      <c r="E230" s="1" t="s">
        <v>2640</v>
      </c>
      <c r="F230" s="1" t="s">
        <v>2641</v>
      </c>
      <c r="G230" s="1" t="s">
        <v>2642</v>
      </c>
      <c r="H230" s="1" t="s">
        <v>2643</v>
      </c>
    </row>
    <row r="231" spans="1:8" ht="58" x14ac:dyDescent="0.35">
      <c r="A231" s="1">
        <f t="shared" si="3"/>
        <v>230</v>
      </c>
      <c r="B231" s="1" t="s">
        <v>2644</v>
      </c>
      <c r="C231" s="1" t="s">
        <v>403</v>
      </c>
      <c r="D231" s="1" t="s">
        <v>2645</v>
      </c>
      <c r="E231" s="1" t="s">
        <v>2092</v>
      </c>
      <c r="F231" s="1" t="s">
        <v>2646</v>
      </c>
      <c r="G231" s="1" t="s">
        <v>2646</v>
      </c>
      <c r="H231" s="1" t="s">
        <v>2647</v>
      </c>
    </row>
    <row r="232" spans="1:8" ht="58" x14ac:dyDescent="0.35">
      <c r="A232" s="1">
        <f t="shared" si="3"/>
        <v>231</v>
      </c>
      <c r="B232" s="1" t="s">
        <v>2648</v>
      </c>
      <c r="C232" s="1" t="s">
        <v>405</v>
      </c>
      <c r="D232" s="1" t="s">
        <v>2649</v>
      </c>
      <c r="E232" s="1" t="s">
        <v>2558</v>
      </c>
      <c r="F232" s="1" t="s">
        <v>2650</v>
      </c>
      <c r="G232" s="1" t="s">
        <v>2650</v>
      </c>
      <c r="H232" s="1" t="s">
        <v>2651</v>
      </c>
    </row>
    <row r="233" spans="1:8" ht="43.5" x14ac:dyDescent="0.35">
      <c r="A233" s="1">
        <f t="shared" si="3"/>
        <v>232</v>
      </c>
      <c r="B233" s="1" t="s">
        <v>2652</v>
      </c>
      <c r="C233" s="1" t="s">
        <v>407</v>
      </c>
      <c r="D233" s="1" t="s">
        <v>2653</v>
      </c>
      <c r="E233" s="1" t="s">
        <v>1686</v>
      </c>
      <c r="F233" s="1" t="s">
        <v>2654</v>
      </c>
      <c r="G233" s="1" t="s">
        <v>2654</v>
      </c>
      <c r="H233" s="1" t="s">
        <v>2655</v>
      </c>
    </row>
    <row r="234" spans="1:8" ht="58" x14ac:dyDescent="0.35">
      <c r="A234" s="1">
        <f t="shared" si="3"/>
        <v>233</v>
      </c>
      <c r="B234" s="1" t="s">
        <v>2656</v>
      </c>
      <c r="C234" s="1" t="s">
        <v>409</v>
      </c>
      <c r="D234" s="1" t="s">
        <v>2657</v>
      </c>
      <c r="E234" s="1" t="s">
        <v>2627</v>
      </c>
      <c r="F234" s="1" t="s">
        <v>2658</v>
      </c>
      <c r="G234" s="1" t="s">
        <v>2658</v>
      </c>
      <c r="H234" s="1" t="s">
        <v>2659</v>
      </c>
    </row>
    <row r="235" spans="1:8" ht="29" x14ac:dyDescent="0.35">
      <c r="A235" s="1">
        <f t="shared" si="3"/>
        <v>234</v>
      </c>
      <c r="B235" s="1" t="s">
        <v>2660</v>
      </c>
      <c r="C235" s="1" t="s">
        <v>411</v>
      </c>
      <c r="D235" s="1" t="s">
        <v>2661</v>
      </c>
      <c r="E235" s="1" t="s">
        <v>1799</v>
      </c>
      <c r="F235" s="1" t="s">
        <v>2662</v>
      </c>
      <c r="G235" s="1" t="s">
        <v>2663</v>
      </c>
      <c r="H235" s="1" t="s">
        <v>2664</v>
      </c>
    </row>
    <row r="236" spans="1:8" ht="29" x14ac:dyDescent="0.35">
      <c r="A236" s="1">
        <f t="shared" si="3"/>
        <v>235</v>
      </c>
      <c r="B236" s="1" t="s">
        <v>2665</v>
      </c>
      <c r="C236" s="1" t="s">
        <v>413</v>
      </c>
      <c r="D236" s="1" t="s">
        <v>2666</v>
      </c>
      <c r="E236" s="1" t="s">
        <v>1730</v>
      </c>
      <c r="F236" s="1" t="s">
        <v>2667</v>
      </c>
      <c r="G236" s="1" t="s">
        <v>2667</v>
      </c>
      <c r="H236" s="1" t="s">
        <v>2668</v>
      </c>
    </row>
    <row r="237" spans="1:8" ht="58" x14ac:dyDescent="0.35">
      <c r="A237" s="1">
        <f t="shared" si="3"/>
        <v>236</v>
      </c>
      <c r="B237" s="1" t="s">
        <v>2669</v>
      </c>
      <c r="C237" s="1" t="s">
        <v>133</v>
      </c>
      <c r="D237" s="1" t="s">
        <v>2670</v>
      </c>
      <c r="E237" s="1" t="s">
        <v>2092</v>
      </c>
      <c r="F237" s="1" t="s">
        <v>2671</v>
      </c>
      <c r="G237" s="1" t="s">
        <v>2671</v>
      </c>
      <c r="H237" s="1" t="s">
        <v>2672</v>
      </c>
    </row>
    <row r="238" spans="1:8" ht="58" x14ac:dyDescent="0.35">
      <c r="A238" s="1">
        <f t="shared" si="3"/>
        <v>237</v>
      </c>
      <c r="B238" s="1" t="s">
        <v>2673</v>
      </c>
      <c r="C238" s="1" t="s">
        <v>382</v>
      </c>
      <c r="D238" s="1" t="s">
        <v>2674</v>
      </c>
      <c r="E238" s="1" t="s">
        <v>1607</v>
      </c>
      <c r="F238" s="1" t="s">
        <v>2675</v>
      </c>
      <c r="G238" s="1" t="s">
        <v>2675</v>
      </c>
      <c r="H238" s="1" t="s">
        <v>2676</v>
      </c>
    </row>
    <row r="239" spans="1:8" ht="43.5" x14ac:dyDescent="0.35">
      <c r="A239" s="1">
        <f t="shared" si="3"/>
        <v>238</v>
      </c>
      <c r="B239" s="1" t="s">
        <v>2677</v>
      </c>
      <c r="C239" s="1" t="s">
        <v>417</v>
      </c>
      <c r="D239" s="1" t="s">
        <v>2678</v>
      </c>
      <c r="E239" s="1" t="s">
        <v>2679</v>
      </c>
      <c r="F239" s="1" t="s">
        <v>2680</v>
      </c>
      <c r="G239" s="1" t="s">
        <v>2680</v>
      </c>
      <c r="H239" s="1" t="s">
        <v>2681</v>
      </c>
    </row>
    <row r="240" spans="1:8" ht="43.5" x14ac:dyDescent="0.35">
      <c r="A240" s="1">
        <f t="shared" si="3"/>
        <v>239</v>
      </c>
      <c r="B240" s="1" t="s">
        <v>2682</v>
      </c>
      <c r="C240" s="1" t="s">
        <v>419</v>
      </c>
      <c r="D240" s="1" t="s">
        <v>2683</v>
      </c>
      <c r="E240" s="1" t="s">
        <v>2684</v>
      </c>
      <c r="F240" s="1" t="s">
        <v>2685</v>
      </c>
      <c r="G240" s="1" t="s">
        <v>2686</v>
      </c>
      <c r="H240" s="1" t="s">
        <v>2687</v>
      </c>
    </row>
    <row r="241" spans="1:8" ht="58" x14ac:dyDescent="0.35">
      <c r="A241" s="1">
        <f t="shared" si="3"/>
        <v>240</v>
      </c>
      <c r="B241" s="1" t="s">
        <v>2688</v>
      </c>
      <c r="C241" s="1" t="s">
        <v>421</v>
      </c>
      <c r="D241" s="1" t="s">
        <v>2689</v>
      </c>
      <c r="E241" s="1" t="s">
        <v>2690</v>
      </c>
      <c r="F241" s="1" t="s">
        <v>2691</v>
      </c>
      <c r="G241" s="1" t="s">
        <v>2691</v>
      </c>
      <c r="H241" s="1" t="s">
        <v>2692</v>
      </c>
    </row>
    <row r="242" spans="1:8" ht="58" x14ac:dyDescent="0.35">
      <c r="A242" s="1">
        <f t="shared" si="3"/>
        <v>241</v>
      </c>
      <c r="B242" s="1" t="s">
        <v>2693</v>
      </c>
      <c r="C242" s="1" t="s">
        <v>379</v>
      </c>
      <c r="D242" s="1" t="s">
        <v>2694</v>
      </c>
      <c r="E242" s="1" t="s">
        <v>2082</v>
      </c>
      <c r="F242" s="1" t="s">
        <v>2695</v>
      </c>
      <c r="G242" s="1" t="s">
        <v>2695</v>
      </c>
      <c r="H242" s="1" t="s">
        <v>2696</v>
      </c>
    </row>
    <row r="243" spans="1:8" ht="29" x14ac:dyDescent="0.35">
      <c r="A243" s="1">
        <f t="shared" si="3"/>
        <v>242</v>
      </c>
      <c r="B243" s="1" t="s">
        <v>2697</v>
      </c>
      <c r="C243" s="1" t="s">
        <v>411</v>
      </c>
      <c r="D243" s="1" t="s">
        <v>2698</v>
      </c>
      <c r="E243" s="1" t="s">
        <v>1613</v>
      </c>
      <c r="F243" s="1" t="s">
        <v>2699</v>
      </c>
      <c r="G243" s="1" t="s">
        <v>2700</v>
      </c>
      <c r="H243" s="1" t="s">
        <v>2701</v>
      </c>
    </row>
    <row r="244" spans="1:8" ht="58" x14ac:dyDescent="0.35">
      <c r="A244" s="1">
        <f t="shared" si="3"/>
        <v>243</v>
      </c>
      <c r="B244" s="1" t="s">
        <v>2702</v>
      </c>
      <c r="C244" s="1" t="s">
        <v>133</v>
      </c>
      <c r="D244" s="1" t="s">
        <v>2703</v>
      </c>
      <c r="E244" s="1" t="s">
        <v>2335</v>
      </c>
      <c r="F244" s="1" t="s">
        <v>2704</v>
      </c>
      <c r="G244" s="1" t="s">
        <v>2704</v>
      </c>
      <c r="H244" s="1" t="s">
        <v>2705</v>
      </c>
    </row>
    <row r="245" spans="1:8" ht="29" x14ac:dyDescent="0.35">
      <c r="A245" s="1">
        <f t="shared" si="3"/>
        <v>244</v>
      </c>
      <c r="B245" s="1" t="s">
        <v>2706</v>
      </c>
      <c r="C245" s="1" t="s">
        <v>426</v>
      </c>
      <c r="D245" s="1" t="s">
        <v>2707</v>
      </c>
      <c r="E245" s="1" t="s">
        <v>1809</v>
      </c>
      <c r="F245" s="1" t="s">
        <v>2707</v>
      </c>
      <c r="G245" s="1" t="s">
        <v>2707</v>
      </c>
      <c r="H245" s="1" t="s">
        <v>2708</v>
      </c>
    </row>
    <row r="246" spans="1:8" ht="58" x14ac:dyDescent="0.35">
      <c r="A246" s="1">
        <f t="shared" si="3"/>
        <v>245</v>
      </c>
      <c r="B246" s="1" t="s">
        <v>2709</v>
      </c>
      <c r="C246" s="1" t="s">
        <v>428</v>
      </c>
      <c r="D246" s="1" t="s">
        <v>2710</v>
      </c>
      <c r="E246" s="1" t="s">
        <v>2092</v>
      </c>
      <c r="F246" s="1" t="s">
        <v>2711</v>
      </c>
      <c r="G246" s="1" t="s">
        <v>2711</v>
      </c>
      <c r="H246" s="1" t="s">
        <v>2712</v>
      </c>
    </row>
    <row r="247" spans="1:8" ht="43.5" x14ac:dyDescent="0.35">
      <c r="A247" s="1">
        <f t="shared" si="3"/>
        <v>246</v>
      </c>
      <c r="B247" s="1" t="s">
        <v>2713</v>
      </c>
      <c r="C247" s="1" t="s">
        <v>137</v>
      </c>
      <c r="D247" s="1" t="s">
        <v>2714</v>
      </c>
      <c r="E247" s="1" t="s">
        <v>1999</v>
      </c>
      <c r="F247" s="1" t="s">
        <v>2715</v>
      </c>
      <c r="G247" s="1" t="s">
        <v>2715</v>
      </c>
      <c r="H247" s="1" t="s">
        <v>2716</v>
      </c>
    </row>
    <row r="248" spans="1:8" ht="29" x14ac:dyDescent="0.35">
      <c r="A248" s="1">
        <f t="shared" si="3"/>
        <v>247</v>
      </c>
      <c r="B248" s="1" t="s">
        <v>2717</v>
      </c>
      <c r="C248" s="1" t="s">
        <v>431</v>
      </c>
      <c r="D248" s="1" t="s">
        <v>2718</v>
      </c>
      <c r="E248" s="1" t="s">
        <v>1799</v>
      </c>
      <c r="F248" s="1" t="s">
        <v>2719</v>
      </c>
      <c r="G248" s="1" t="s">
        <v>2719</v>
      </c>
      <c r="H248" s="1" t="s">
        <v>2720</v>
      </c>
    </row>
    <row r="249" spans="1:8" ht="58" x14ac:dyDescent="0.35">
      <c r="A249" s="1">
        <f t="shared" si="3"/>
        <v>248</v>
      </c>
      <c r="B249" s="1" t="s">
        <v>2721</v>
      </c>
      <c r="C249" s="1" t="s">
        <v>433</v>
      </c>
      <c r="D249" s="1" t="s">
        <v>2722</v>
      </c>
      <c r="E249" s="1" t="s">
        <v>2177</v>
      </c>
      <c r="F249" s="1" t="s">
        <v>2723</v>
      </c>
      <c r="G249" s="1" t="s">
        <v>2723</v>
      </c>
      <c r="H249" s="1" t="s">
        <v>2724</v>
      </c>
    </row>
    <row r="250" spans="1:8" ht="58" x14ac:dyDescent="0.35">
      <c r="A250" s="1">
        <f t="shared" si="3"/>
        <v>249</v>
      </c>
      <c r="B250" s="1" t="s">
        <v>2725</v>
      </c>
      <c r="C250" s="1" t="s">
        <v>435</v>
      </c>
      <c r="D250" s="1" t="s">
        <v>2726</v>
      </c>
      <c r="E250" s="1" t="s">
        <v>1758</v>
      </c>
      <c r="F250" s="1" t="s">
        <v>2727</v>
      </c>
      <c r="G250" s="1" t="s">
        <v>2727</v>
      </c>
      <c r="H250" s="1" t="s">
        <v>2728</v>
      </c>
    </row>
    <row r="251" spans="1:8" ht="58" x14ac:dyDescent="0.35">
      <c r="A251" s="1">
        <f t="shared" si="3"/>
        <v>250</v>
      </c>
      <c r="B251" s="1" t="s">
        <v>2729</v>
      </c>
      <c r="C251" s="1" t="s">
        <v>437</v>
      </c>
      <c r="D251" s="1" t="s">
        <v>2730</v>
      </c>
      <c r="E251" s="1" t="s">
        <v>1629</v>
      </c>
      <c r="F251" s="1" t="s">
        <v>2731</v>
      </c>
      <c r="G251" s="1" t="s">
        <v>2731</v>
      </c>
      <c r="H251" s="1" t="s">
        <v>2732</v>
      </c>
    </row>
    <row r="252" spans="1:8" ht="58" x14ac:dyDescent="0.35">
      <c r="A252" s="1">
        <f t="shared" si="3"/>
        <v>251</v>
      </c>
      <c r="B252" s="1" t="s">
        <v>2733</v>
      </c>
      <c r="C252" s="1" t="s">
        <v>91</v>
      </c>
      <c r="D252" s="1" t="s">
        <v>2734</v>
      </c>
      <c r="E252" s="1" t="s">
        <v>2335</v>
      </c>
      <c r="F252" s="1" t="s">
        <v>2735</v>
      </c>
      <c r="G252" s="1" t="s">
        <v>2735</v>
      </c>
      <c r="H252" s="1" t="s">
        <v>2736</v>
      </c>
    </row>
    <row r="253" spans="1:8" ht="58" x14ac:dyDescent="0.35">
      <c r="A253" s="1">
        <f t="shared" si="3"/>
        <v>252</v>
      </c>
      <c r="B253" s="1" t="s">
        <v>2737</v>
      </c>
      <c r="C253" s="1" t="s">
        <v>440</v>
      </c>
      <c r="D253" s="1" t="s">
        <v>2738</v>
      </c>
      <c r="E253" s="1" t="s">
        <v>1674</v>
      </c>
      <c r="F253" s="1" t="s">
        <v>2739</v>
      </c>
      <c r="G253" s="1" t="s">
        <v>2739</v>
      </c>
      <c r="H253" s="1" t="s">
        <v>2740</v>
      </c>
    </row>
    <row r="254" spans="1:8" ht="58" x14ac:dyDescent="0.35">
      <c r="A254" s="1">
        <f t="shared" si="3"/>
        <v>253</v>
      </c>
      <c r="B254" s="1" t="s">
        <v>2741</v>
      </c>
      <c r="C254" s="1" t="s">
        <v>442</v>
      </c>
      <c r="D254" s="1" t="s">
        <v>2742</v>
      </c>
      <c r="E254" s="1" t="s">
        <v>2743</v>
      </c>
      <c r="F254" s="1" t="s">
        <v>2744</v>
      </c>
      <c r="G254" s="1" t="s">
        <v>2744</v>
      </c>
      <c r="H254" s="1" t="s">
        <v>2745</v>
      </c>
    </row>
    <row r="255" spans="1:8" ht="43.5" x14ac:dyDescent="0.35">
      <c r="A255" s="1">
        <f t="shared" si="3"/>
        <v>254</v>
      </c>
      <c r="B255" s="1" t="s">
        <v>2746</v>
      </c>
      <c r="C255" s="1" t="s">
        <v>442</v>
      </c>
      <c r="D255" s="1" t="s">
        <v>2747</v>
      </c>
      <c r="E255" s="1" t="s">
        <v>2748</v>
      </c>
      <c r="F255" s="1" t="s">
        <v>2749</v>
      </c>
      <c r="G255" s="1" t="s">
        <v>2749</v>
      </c>
      <c r="H255" s="1" t="s">
        <v>2750</v>
      </c>
    </row>
    <row r="256" spans="1:8" ht="58" x14ac:dyDescent="0.35">
      <c r="A256" s="1">
        <f t="shared" si="3"/>
        <v>255</v>
      </c>
      <c r="B256" s="1" t="s">
        <v>2751</v>
      </c>
      <c r="C256" s="1" t="s">
        <v>445</v>
      </c>
      <c r="D256" s="1" t="s">
        <v>2752</v>
      </c>
      <c r="E256" s="1" t="s">
        <v>1680</v>
      </c>
      <c r="F256" s="1" t="s">
        <v>2753</v>
      </c>
      <c r="G256" s="1" t="s">
        <v>2754</v>
      </c>
      <c r="H256" s="1" t="s">
        <v>2755</v>
      </c>
    </row>
    <row r="257" spans="1:8" ht="58" x14ac:dyDescent="0.35">
      <c r="A257" s="1">
        <f t="shared" si="3"/>
        <v>256</v>
      </c>
      <c r="B257" s="1" t="s">
        <v>2756</v>
      </c>
      <c r="C257" s="1" t="s">
        <v>447</v>
      </c>
      <c r="D257" s="1" t="s">
        <v>2757</v>
      </c>
      <c r="E257" s="1" t="s">
        <v>2609</v>
      </c>
      <c r="F257" s="1" t="s">
        <v>2758</v>
      </c>
      <c r="G257" s="1" t="s">
        <v>2758</v>
      </c>
      <c r="H257" s="1" t="s">
        <v>2759</v>
      </c>
    </row>
    <row r="258" spans="1:8" ht="58" x14ac:dyDescent="0.35">
      <c r="A258" s="1">
        <f t="shared" si="3"/>
        <v>257</v>
      </c>
      <c r="B258" s="1" t="s">
        <v>2760</v>
      </c>
      <c r="C258" s="1" t="s">
        <v>449</v>
      </c>
      <c r="D258" s="1" t="s">
        <v>2761</v>
      </c>
      <c r="E258" s="1" t="s">
        <v>2553</v>
      </c>
      <c r="F258" s="1" t="s">
        <v>2762</v>
      </c>
      <c r="G258" s="1" t="s">
        <v>2762</v>
      </c>
      <c r="H258" s="1" t="s">
        <v>2763</v>
      </c>
    </row>
    <row r="259" spans="1:8" ht="58" x14ac:dyDescent="0.35">
      <c r="A259" s="1">
        <f t="shared" si="3"/>
        <v>258</v>
      </c>
      <c r="B259" s="1" t="s">
        <v>2764</v>
      </c>
      <c r="C259" s="1" t="s">
        <v>451</v>
      </c>
      <c r="D259" s="1" t="s">
        <v>2765</v>
      </c>
      <c r="E259" s="1" t="s">
        <v>2069</v>
      </c>
      <c r="F259" s="1" t="s">
        <v>2766</v>
      </c>
      <c r="G259" s="1" t="s">
        <v>2766</v>
      </c>
      <c r="H259" s="1" t="s">
        <v>2767</v>
      </c>
    </row>
    <row r="260" spans="1:8" ht="58" x14ac:dyDescent="0.35">
      <c r="A260" s="1">
        <f t="shared" ref="A260:A323" si="4">SUM(A259+1)</f>
        <v>259</v>
      </c>
      <c r="B260" s="1" t="s">
        <v>2768</v>
      </c>
      <c r="C260" s="1" t="s">
        <v>102</v>
      </c>
      <c r="D260" s="1" t="s">
        <v>2769</v>
      </c>
      <c r="E260" s="1" t="s">
        <v>2558</v>
      </c>
      <c r="F260" s="1" t="s">
        <v>2770</v>
      </c>
      <c r="G260" s="1" t="s">
        <v>2770</v>
      </c>
      <c r="H260" s="1" t="s">
        <v>2771</v>
      </c>
    </row>
    <row r="261" spans="1:8" ht="58" x14ac:dyDescent="0.35">
      <c r="A261" s="1">
        <f t="shared" si="4"/>
        <v>260</v>
      </c>
      <c r="B261" s="1" t="s">
        <v>2772</v>
      </c>
      <c r="C261" s="1" t="s">
        <v>454</v>
      </c>
      <c r="D261" s="1" t="s">
        <v>2773</v>
      </c>
      <c r="E261" s="1" t="s">
        <v>2558</v>
      </c>
      <c r="F261" s="1" t="s">
        <v>2774</v>
      </c>
      <c r="G261" s="1" t="s">
        <v>2774</v>
      </c>
      <c r="H261" s="1" t="s">
        <v>2775</v>
      </c>
    </row>
    <row r="262" spans="1:8" ht="58" x14ac:dyDescent="0.35">
      <c r="A262" s="1">
        <f t="shared" si="4"/>
        <v>261</v>
      </c>
      <c r="B262" s="1" t="s">
        <v>2776</v>
      </c>
      <c r="C262" s="1" t="s">
        <v>456</v>
      </c>
      <c r="D262" s="1" t="s">
        <v>2777</v>
      </c>
      <c r="E262" s="1" t="s">
        <v>2074</v>
      </c>
      <c r="F262" s="1" t="s">
        <v>2778</v>
      </c>
      <c r="G262" s="1" t="s">
        <v>2778</v>
      </c>
      <c r="H262" s="1" t="s">
        <v>2779</v>
      </c>
    </row>
    <row r="263" spans="1:8" ht="43.5" x14ac:dyDescent="0.35">
      <c r="A263" s="1">
        <f t="shared" si="4"/>
        <v>262</v>
      </c>
      <c r="B263" s="1" t="s">
        <v>2780</v>
      </c>
      <c r="C263" s="1" t="s">
        <v>458</v>
      </c>
      <c r="D263" s="1" t="s">
        <v>2781</v>
      </c>
      <c r="E263" s="1" t="s">
        <v>2782</v>
      </c>
      <c r="F263" s="1" t="s">
        <v>2783</v>
      </c>
      <c r="G263" s="1" t="s">
        <v>2784</v>
      </c>
      <c r="H263" s="1" t="s">
        <v>2785</v>
      </c>
    </row>
    <row r="264" spans="1:8" ht="29" x14ac:dyDescent="0.35">
      <c r="A264" s="1">
        <f t="shared" si="4"/>
        <v>263</v>
      </c>
      <c r="B264" s="1" t="s">
        <v>2786</v>
      </c>
      <c r="C264" s="1" t="s">
        <v>460</v>
      </c>
      <c r="D264" s="1" t="s">
        <v>2787</v>
      </c>
      <c r="E264" s="1" t="s">
        <v>1692</v>
      </c>
      <c r="F264" s="1" t="s">
        <v>2788</v>
      </c>
      <c r="G264" s="1" t="s">
        <v>2788</v>
      </c>
      <c r="H264" s="1" t="s">
        <v>2789</v>
      </c>
    </row>
    <row r="265" spans="1:8" ht="58" x14ac:dyDescent="0.35">
      <c r="A265" s="1">
        <f t="shared" si="4"/>
        <v>264</v>
      </c>
      <c r="B265" s="1" t="s">
        <v>2790</v>
      </c>
      <c r="C265" s="1" t="s">
        <v>442</v>
      </c>
      <c r="D265" s="1" t="s">
        <v>2791</v>
      </c>
      <c r="E265" s="1" t="s">
        <v>2782</v>
      </c>
      <c r="F265" s="1" t="s">
        <v>2792</v>
      </c>
      <c r="G265" s="1" t="s">
        <v>2792</v>
      </c>
      <c r="H265" s="1" t="s">
        <v>2793</v>
      </c>
    </row>
    <row r="266" spans="1:8" ht="58" x14ac:dyDescent="0.35">
      <c r="A266" s="1">
        <f t="shared" si="4"/>
        <v>265</v>
      </c>
      <c r="B266" s="1" t="s">
        <v>2794</v>
      </c>
      <c r="C266" s="1" t="s">
        <v>463</v>
      </c>
      <c r="D266" s="1" t="s">
        <v>2795</v>
      </c>
      <c r="E266" s="1" t="s">
        <v>2796</v>
      </c>
      <c r="F266" s="1" t="s">
        <v>2797</v>
      </c>
      <c r="G266" s="1" t="s">
        <v>2797</v>
      </c>
      <c r="H266" s="1" t="s">
        <v>2798</v>
      </c>
    </row>
    <row r="267" spans="1:8" ht="58" x14ac:dyDescent="0.35">
      <c r="A267" s="1">
        <f t="shared" si="4"/>
        <v>266</v>
      </c>
      <c r="B267" s="1" t="s">
        <v>2799</v>
      </c>
      <c r="C267" s="1" t="s">
        <v>463</v>
      </c>
      <c r="D267" s="1" t="s">
        <v>2800</v>
      </c>
      <c r="E267" s="1" t="s">
        <v>2558</v>
      </c>
      <c r="F267" s="1" t="s">
        <v>2801</v>
      </c>
      <c r="G267" s="1" t="s">
        <v>2802</v>
      </c>
      <c r="H267" s="1" t="s">
        <v>2803</v>
      </c>
    </row>
    <row r="268" spans="1:8" ht="58" x14ac:dyDescent="0.35">
      <c r="A268" s="1">
        <f t="shared" si="4"/>
        <v>267</v>
      </c>
      <c r="B268" s="1" t="s">
        <v>2804</v>
      </c>
      <c r="C268" s="1" t="s">
        <v>379</v>
      </c>
      <c r="D268" s="1" t="s">
        <v>2805</v>
      </c>
      <c r="E268" s="1" t="s">
        <v>2806</v>
      </c>
      <c r="F268" s="1" t="s">
        <v>2807</v>
      </c>
      <c r="G268" s="1" t="s">
        <v>2807</v>
      </c>
      <c r="H268" s="1" t="s">
        <v>2808</v>
      </c>
    </row>
    <row r="269" spans="1:8" ht="29" x14ac:dyDescent="0.35">
      <c r="A269" s="1">
        <f t="shared" si="4"/>
        <v>268</v>
      </c>
      <c r="B269" s="1" t="s">
        <v>2809</v>
      </c>
      <c r="C269" s="1" t="s">
        <v>467</v>
      </c>
      <c r="D269" s="1" t="s">
        <v>2810</v>
      </c>
      <c r="E269" s="1" t="s">
        <v>1893</v>
      </c>
      <c r="F269" s="1" t="s">
        <v>2811</v>
      </c>
      <c r="G269" s="1" t="s">
        <v>2812</v>
      </c>
      <c r="H269" s="1" t="s">
        <v>2813</v>
      </c>
    </row>
    <row r="270" spans="1:8" ht="29" x14ac:dyDescent="0.35">
      <c r="A270" s="1">
        <f t="shared" si="4"/>
        <v>269</v>
      </c>
      <c r="B270" s="1" t="s">
        <v>2814</v>
      </c>
      <c r="C270" s="1" t="s">
        <v>467</v>
      </c>
      <c r="D270" s="1" t="s">
        <v>2815</v>
      </c>
      <c r="E270" s="1" t="s">
        <v>1884</v>
      </c>
      <c r="F270" s="1" t="s">
        <v>2816</v>
      </c>
      <c r="G270" s="1" t="s">
        <v>2817</v>
      </c>
      <c r="H270" s="1" t="s">
        <v>2818</v>
      </c>
    </row>
    <row r="271" spans="1:8" ht="58" x14ac:dyDescent="0.35">
      <c r="A271" s="1">
        <f t="shared" si="4"/>
        <v>270</v>
      </c>
      <c r="B271" s="1" t="s">
        <v>2819</v>
      </c>
      <c r="C271" s="1" t="s">
        <v>470</v>
      </c>
      <c r="D271" s="1" t="s">
        <v>2820</v>
      </c>
      <c r="E271" s="1" t="s">
        <v>2609</v>
      </c>
      <c r="F271" s="1" t="s">
        <v>2821</v>
      </c>
      <c r="G271" s="1" t="s">
        <v>2822</v>
      </c>
      <c r="H271" s="1" t="s">
        <v>2823</v>
      </c>
    </row>
    <row r="272" spans="1:8" ht="43.5" x14ac:dyDescent="0.35">
      <c r="A272" s="1">
        <f t="shared" si="4"/>
        <v>271</v>
      </c>
      <c r="B272" s="1" t="s">
        <v>2824</v>
      </c>
      <c r="C272" s="1" t="s">
        <v>472</v>
      </c>
      <c r="D272" s="1" t="s">
        <v>2825</v>
      </c>
      <c r="E272" s="1" t="s">
        <v>2253</v>
      </c>
      <c r="F272" s="1" t="s">
        <v>2826</v>
      </c>
      <c r="G272" s="1" t="s">
        <v>2826</v>
      </c>
      <c r="H272" s="1" t="s">
        <v>2827</v>
      </c>
    </row>
    <row r="273" spans="1:8" ht="58" x14ac:dyDescent="0.35">
      <c r="A273" s="1">
        <f t="shared" si="4"/>
        <v>272</v>
      </c>
      <c r="B273" s="1" t="s">
        <v>2828</v>
      </c>
      <c r="C273" s="1" t="s">
        <v>442</v>
      </c>
      <c r="D273" s="1" t="s">
        <v>2829</v>
      </c>
      <c r="E273" s="1" t="s">
        <v>2599</v>
      </c>
      <c r="F273" s="1" t="s">
        <v>2830</v>
      </c>
      <c r="G273" s="1" t="s">
        <v>2830</v>
      </c>
      <c r="H273" s="1" t="s">
        <v>2831</v>
      </c>
    </row>
    <row r="274" spans="1:8" ht="29" x14ac:dyDescent="0.35">
      <c r="A274" s="1">
        <f t="shared" si="4"/>
        <v>273</v>
      </c>
      <c r="B274" s="1" t="s">
        <v>2832</v>
      </c>
      <c r="C274" s="1" t="s">
        <v>475</v>
      </c>
      <c r="D274" s="1" t="s">
        <v>2833</v>
      </c>
      <c r="E274" s="1" t="s">
        <v>2229</v>
      </c>
      <c r="F274" s="1" t="s">
        <v>2834</v>
      </c>
      <c r="G274" s="1" t="s">
        <v>2834</v>
      </c>
      <c r="H274" s="1" t="s">
        <v>2835</v>
      </c>
    </row>
    <row r="275" spans="1:8" ht="43.5" x14ac:dyDescent="0.35">
      <c r="A275" s="1">
        <f t="shared" si="4"/>
        <v>274</v>
      </c>
      <c r="B275" s="1" t="s">
        <v>2836</v>
      </c>
      <c r="C275" s="1" t="s">
        <v>477</v>
      </c>
      <c r="D275" s="1" t="s">
        <v>2837</v>
      </c>
      <c r="E275" s="1" t="s">
        <v>2164</v>
      </c>
      <c r="F275" s="1" t="s">
        <v>2838</v>
      </c>
      <c r="G275" s="1" t="s">
        <v>2838</v>
      </c>
      <c r="H275" s="1" t="s">
        <v>2839</v>
      </c>
    </row>
    <row r="276" spans="1:8" ht="58" x14ac:dyDescent="0.35">
      <c r="A276" s="1">
        <f t="shared" si="4"/>
        <v>275</v>
      </c>
      <c r="B276" s="1" t="s">
        <v>2840</v>
      </c>
      <c r="C276" s="1" t="s">
        <v>445</v>
      </c>
      <c r="D276" s="1" t="s">
        <v>2841</v>
      </c>
      <c r="E276" s="1" t="s">
        <v>2052</v>
      </c>
      <c r="F276" s="1" t="s">
        <v>2842</v>
      </c>
      <c r="G276" s="1" t="s">
        <v>2842</v>
      </c>
      <c r="H276" s="1" t="s">
        <v>2843</v>
      </c>
    </row>
    <row r="277" spans="1:8" ht="29" x14ac:dyDescent="0.35">
      <c r="A277" s="1">
        <f t="shared" si="4"/>
        <v>276</v>
      </c>
      <c r="B277" s="1" t="s">
        <v>2844</v>
      </c>
      <c r="C277" s="1" t="s">
        <v>480</v>
      </c>
      <c r="D277" s="1" t="s">
        <v>2845</v>
      </c>
      <c r="E277" s="1" t="s">
        <v>1596</v>
      </c>
      <c r="F277" s="1" t="s">
        <v>2845</v>
      </c>
      <c r="G277" s="1" t="s">
        <v>2845</v>
      </c>
      <c r="H277" s="1" t="s">
        <v>2846</v>
      </c>
    </row>
    <row r="278" spans="1:8" ht="58" x14ac:dyDescent="0.35">
      <c r="A278" s="1">
        <f t="shared" si="4"/>
        <v>277</v>
      </c>
      <c r="B278" s="1" t="s">
        <v>2847</v>
      </c>
      <c r="C278" s="1" t="s">
        <v>482</v>
      </c>
      <c r="D278" s="1" t="s">
        <v>2848</v>
      </c>
      <c r="E278" s="1" t="s">
        <v>2599</v>
      </c>
      <c r="F278" s="1" t="s">
        <v>2849</v>
      </c>
      <c r="G278" s="1" t="s">
        <v>2850</v>
      </c>
      <c r="H278" s="1" t="s">
        <v>2851</v>
      </c>
    </row>
    <row r="279" spans="1:8" ht="29" x14ac:dyDescent="0.35">
      <c r="A279" s="1">
        <f t="shared" si="4"/>
        <v>278</v>
      </c>
      <c r="B279" s="1" t="s">
        <v>2852</v>
      </c>
      <c r="C279" s="1" t="s">
        <v>484</v>
      </c>
      <c r="D279" s="1" t="s">
        <v>2853</v>
      </c>
      <c r="E279" s="1" t="s">
        <v>2348</v>
      </c>
      <c r="F279" s="1" t="s">
        <v>2854</v>
      </c>
      <c r="G279" s="1" t="s">
        <v>2854</v>
      </c>
      <c r="H279" s="1" t="s">
        <v>2855</v>
      </c>
    </row>
    <row r="280" spans="1:8" x14ac:dyDescent="0.35">
      <c r="A280" s="1">
        <f t="shared" si="4"/>
        <v>279</v>
      </c>
      <c r="B280" s="1" t="s">
        <v>2856</v>
      </c>
      <c r="C280" s="1" t="s">
        <v>486</v>
      </c>
      <c r="D280" s="1" t="s">
        <v>2857</v>
      </c>
      <c r="E280" s="1" t="s">
        <v>1888</v>
      </c>
      <c r="F280" s="1" t="s">
        <v>2858</v>
      </c>
      <c r="G280" s="1" t="s">
        <v>2858</v>
      </c>
      <c r="H280" s="1" t="s">
        <v>2859</v>
      </c>
    </row>
    <row r="281" spans="1:8" ht="43.5" x14ac:dyDescent="0.35">
      <c r="A281" s="1">
        <f t="shared" si="4"/>
        <v>280</v>
      </c>
      <c r="B281" s="1" t="s">
        <v>2860</v>
      </c>
      <c r="C281" s="1" t="s">
        <v>488</v>
      </c>
      <c r="D281" s="1" t="s">
        <v>2861</v>
      </c>
      <c r="E281" s="1" t="s">
        <v>2862</v>
      </c>
      <c r="F281" s="1" t="s">
        <v>2863</v>
      </c>
      <c r="G281" s="1" t="s">
        <v>2863</v>
      </c>
      <c r="H281" s="1" t="s">
        <v>2864</v>
      </c>
    </row>
    <row r="282" spans="1:8" ht="58" x14ac:dyDescent="0.35">
      <c r="A282" s="1">
        <f t="shared" si="4"/>
        <v>281</v>
      </c>
      <c r="B282" s="1" t="s">
        <v>2865</v>
      </c>
      <c r="C282" s="1" t="s">
        <v>490</v>
      </c>
      <c r="D282" s="1" t="s">
        <v>2866</v>
      </c>
      <c r="E282" s="1" t="s">
        <v>2867</v>
      </c>
      <c r="F282" s="1" t="s">
        <v>2868</v>
      </c>
      <c r="G282" s="1" t="s">
        <v>2869</v>
      </c>
      <c r="H282" s="1" t="s">
        <v>2870</v>
      </c>
    </row>
    <row r="283" spans="1:8" ht="43.5" x14ac:dyDescent="0.35">
      <c r="A283" s="1">
        <f t="shared" si="4"/>
        <v>282</v>
      </c>
      <c r="B283" s="1" t="s">
        <v>2871</v>
      </c>
      <c r="C283" s="1" t="s">
        <v>492</v>
      </c>
      <c r="D283" s="1" t="s">
        <v>2872</v>
      </c>
      <c r="E283" s="1" t="s">
        <v>1669</v>
      </c>
      <c r="F283" s="1" t="s">
        <v>2873</v>
      </c>
      <c r="G283" s="1" t="s">
        <v>2874</v>
      </c>
      <c r="H283" s="1" t="s">
        <v>2875</v>
      </c>
    </row>
    <row r="284" spans="1:8" ht="43.5" x14ac:dyDescent="0.35">
      <c r="A284" s="1">
        <f t="shared" si="4"/>
        <v>283</v>
      </c>
      <c r="B284" s="1" t="s">
        <v>2876</v>
      </c>
      <c r="C284" s="1" t="s">
        <v>494</v>
      </c>
      <c r="D284" s="1" t="s">
        <v>2877</v>
      </c>
      <c r="E284" s="1" t="s">
        <v>2878</v>
      </c>
      <c r="F284" s="1" t="s">
        <v>2879</v>
      </c>
      <c r="G284" s="1" t="s">
        <v>2880</v>
      </c>
      <c r="H284" s="1" t="s">
        <v>2881</v>
      </c>
    </row>
    <row r="285" spans="1:8" ht="29" x14ac:dyDescent="0.35">
      <c r="A285" s="1">
        <f t="shared" si="4"/>
        <v>284</v>
      </c>
      <c r="B285" s="1" t="s">
        <v>2882</v>
      </c>
      <c r="C285" s="1" t="s">
        <v>496</v>
      </c>
      <c r="D285" s="1" t="s">
        <v>2883</v>
      </c>
      <c r="E285" s="1" t="s">
        <v>1799</v>
      </c>
      <c r="F285" s="1" t="s">
        <v>2884</v>
      </c>
      <c r="G285" s="1" t="s">
        <v>2884</v>
      </c>
      <c r="H285" s="1" t="s">
        <v>2885</v>
      </c>
    </row>
    <row r="286" spans="1:8" x14ac:dyDescent="0.35">
      <c r="A286" s="1">
        <f t="shared" si="4"/>
        <v>285</v>
      </c>
      <c r="B286" s="1" t="s">
        <v>2886</v>
      </c>
      <c r="C286" s="1" t="s">
        <v>498</v>
      </c>
      <c r="D286" s="1" t="s">
        <v>2887</v>
      </c>
      <c r="E286" s="1" t="s">
        <v>1596</v>
      </c>
      <c r="F286" s="1" t="s">
        <v>2888</v>
      </c>
      <c r="G286" s="1" t="s">
        <v>2888</v>
      </c>
      <c r="H286" s="1" t="s">
        <v>2888</v>
      </c>
    </row>
    <row r="287" spans="1:8" ht="58" x14ac:dyDescent="0.35">
      <c r="A287" s="1">
        <f t="shared" si="4"/>
        <v>286</v>
      </c>
      <c r="B287" s="1" t="s">
        <v>2889</v>
      </c>
      <c r="C287" s="1" t="s">
        <v>442</v>
      </c>
      <c r="D287" s="1" t="s">
        <v>2890</v>
      </c>
      <c r="E287" s="1" t="s">
        <v>2609</v>
      </c>
      <c r="F287" s="1" t="s">
        <v>2891</v>
      </c>
      <c r="G287" s="1" t="s">
        <v>2891</v>
      </c>
      <c r="H287" s="1" t="s">
        <v>2892</v>
      </c>
    </row>
    <row r="288" spans="1:8" ht="43.5" x14ac:dyDescent="0.35">
      <c r="A288" s="1">
        <f t="shared" si="4"/>
        <v>287</v>
      </c>
      <c r="B288" s="1" t="s">
        <v>2893</v>
      </c>
      <c r="C288" s="1" t="s">
        <v>501</v>
      </c>
      <c r="D288" s="1" t="s">
        <v>2894</v>
      </c>
      <c r="E288" s="1" t="s">
        <v>2878</v>
      </c>
      <c r="F288" s="1" t="s">
        <v>2895</v>
      </c>
      <c r="G288" s="1" t="s">
        <v>2895</v>
      </c>
      <c r="H288" s="1" t="s">
        <v>2896</v>
      </c>
    </row>
    <row r="289" spans="1:8" x14ac:dyDescent="0.35">
      <c r="A289" s="1">
        <f t="shared" si="4"/>
        <v>288</v>
      </c>
      <c r="B289" s="1" t="s">
        <v>2897</v>
      </c>
      <c r="C289" s="1" t="s">
        <v>503</v>
      </c>
      <c r="D289" s="1" t="s">
        <v>2898</v>
      </c>
      <c r="E289" s="1" t="s">
        <v>2899</v>
      </c>
      <c r="F289" s="1" t="s">
        <v>2900</v>
      </c>
      <c r="G289" s="1" t="s">
        <v>2900</v>
      </c>
      <c r="H289" s="1" t="s">
        <v>2901</v>
      </c>
    </row>
    <row r="290" spans="1:8" ht="58" x14ac:dyDescent="0.35">
      <c r="A290" s="1">
        <f t="shared" si="4"/>
        <v>289</v>
      </c>
      <c r="B290" s="1" t="s">
        <v>2902</v>
      </c>
      <c r="C290" s="1" t="s">
        <v>76</v>
      </c>
      <c r="D290" s="1" t="s">
        <v>2903</v>
      </c>
      <c r="E290" s="1" t="s">
        <v>2904</v>
      </c>
      <c r="F290" s="1" t="s">
        <v>2905</v>
      </c>
      <c r="G290" s="1" t="s">
        <v>2905</v>
      </c>
      <c r="H290" s="1" t="s">
        <v>2906</v>
      </c>
    </row>
    <row r="291" spans="1:8" ht="29" x14ac:dyDescent="0.35">
      <c r="A291" s="1">
        <f t="shared" si="4"/>
        <v>290</v>
      </c>
      <c r="B291" s="1" t="s">
        <v>2907</v>
      </c>
      <c r="C291" s="1" t="s">
        <v>506</v>
      </c>
      <c r="D291" s="1" t="s">
        <v>2908</v>
      </c>
      <c r="E291" s="1" t="s">
        <v>1730</v>
      </c>
      <c r="F291" s="1" t="s">
        <v>2909</v>
      </c>
      <c r="G291" s="1" t="s">
        <v>2909</v>
      </c>
      <c r="H291" s="1" t="s">
        <v>2910</v>
      </c>
    </row>
    <row r="292" spans="1:8" ht="58" x14ac:dyDescent="0.35">
      <c r="A292" s="1">
        <f t="shared" si="4"/>
        <v>291</v>
      </c>
      <c r="B292" s="1" t="s">
        <v>2911</v>
      </c>
      <c r="C292" s="1" t="s">
        <v>508</v>
      </c>
      <c r="D292" s="1" t="s">
        <v>2912</v>
      </c>
      <c r="E292" s="1" t="s">
        <v>1669</v>
      </c>
      <c r="F292" s="1" t="s">
        <v>2913</v>
      </c>
      <c r="G292" s="1" t="s">
        <v>2913</v>
      </c>
      <c r="H292" s="1" t="s">
        <v>2914</v>
      </c>
    </row>
    <row r="293" spans="1:8" ht="58" x14ac:dyDescent="0.35">
      <c r="A293" s="1">
        <f t="shared" si="4"/>
        <v>292</v>
      </c>
      <c r="B293" s="1" t="s">
        <v>2915</v>
      </c>
      <c r="C293" s="1" t="s">
        <v>510</v>
      </c>
      <c r="D293" s="1" t="s">
        <v>2916</v>
      </c>
      <c r="E293" s="1" t="s">
        <v>1906</v>
      </c>
      <c r="F293" s="1" t="s">
        <v>2917</v>
      </c>
      <c r="G293" s="1" t="s">
        <v>2917</v>
      </c>
      <c r="H293" s="1" t="s">
        <v>2918</v>
      </c>
    </row>
    <row r="294" spans="1:8" ht="29" x14ac:dyDescent="0.35">
      <c r="A294" s="1">
        <f t="shared" si="4"/>
        <v>293</v>
      </c>
      <c r="B294" s="1" t="s">
        <v>2919</v>
      </c>
      <c r="C294" s="1" t="s">
        <v>512</v>
      </c>
      <c r="D294" s="1" t="s">
        <v>2920</v>
      </c>
      <c r="E294" s="1" t="s">
        <v>2921</v>
      </c>
      <c r="F294" s="1" t="s">
        <v>2922</v>
      </c>
      <c r="G294" s="1" t="s">
        <v>2922</v>
      </c>
      <c r="H294" s="1" t="s">
        <v>2923</v>
      </c>
    </row>
    <row r="295" spans="1:8" ht="58" x14ac:dyDescent="0.35">
      <c r="A295" s="1">
        <f t="shared" si="4"/>
        <v>294</v>
      </c>
      <c r="B295" s="1" t="s">
        <v>2924</v>
      </c>
      <c r="C295" s="1" t="s">
        <v>447</v>
      </c>
      <c r="D295" s="1" t="s">
        <v>2925</v>
      </c>
      <c r="E295" s="1" t="s">
        <v>2599</v>
      </c>
      <c r="F295" s="1" t="s">
        <v>2926</v>
      </c>
      <c r="G295" s="1" t="s">
        <v>2926</v>
      </c>
      <c r="H295" s="1" t="s">
        <v>2927</v>
      </c>
    </row>
    <row r="296" spans="1:8" ht="29" x14ac:dyDescent="0.35">
      <c r="A296" s="1">
        <f t="shared" si="4"/>
        <v>295</v>
      </c>
      <c r="B296" s="1" t="s">
        <v>2928</v>
      </c>
      <c r="C296" s="1" t="s">
        <v>515</v>
      </c>
      <c r="D296" s="1" t="s">
        <v>2929</v>
      </c>
      <c r="E296" s="1" t="s">
        <v>1735</v>
      </c>
      <c r="F296" s="1" t="s">
        <v>2930</v>
      </c>
      <c r="G296" s="1" t="s">
        <v>2930</v>
      </c>
      <c r="H296" s="1" t="s">
        <v>2931</v>
      </c>
    </row>
    <row r="297" spans="1:8" ht="29" x14ac:dyDescent="0.35">
      <c r="A297" s="1">
        <f t="shared" si="4"/>
        <v>296</v>
      </c>
      <c r="B297" s="1" t="s">
        <v>2932</v>
      </c>
      <c r="C297" s="1" t="s">
        <v>517</v>
      </c>
      <c r="D297" s="1" t="s">
        <v>2933</v>
      </c>
      <c r="E297" s="1" t="s">
        <v>2934</v>
      </c>
      <c r="F297" s="1" t="s">
        <v>2935</v>
      </c>
      <c r="G297" s="1" t="s">
        <v>2935</v>
      </c>
      <c r="H297" s="1" t="s">
        <v>2936</v>
      </c>
    </row>
    <row r="298" spans="1:8" ht="29" x14ac:dyDescent="0.35">
      <c r="A298" s="1">
        <f t="shared" si="4"/>
        <v>297</v>
      </c>
      <c r="B298" s="1" t="s">
        <v>2937</v>
      </c>
      <c r="C298" s="1" t="s">
        <v>519</v>
      </c>
      <c r="D298" s="1" t="s">
        <v>2938</v>
      </c>
      <c r="E298" s="1" t="s">
        <v>1692</v>
      </c>
      <c r="F298" s="1" t="s">
        <v>2939</v>
      </c>
      <c r="G298" s="1" t="s">
        <v>2939</v>
      </c>
      <c r="H298" s="1" t="s">
        <v>2940</v>
      </c>
    </row>
    <row r="299" spans="1:8" ht="29" x14ac:dyDescent="0.35">
      <c r="A299" s="1">
        <f t="shared" si="4"/>
        <v>298</v>
      </c>
      <c r="B299" s="1" t="s">
        <v>2941</v>
      </c>
      <c r="C299" s="1" t="s">
        <v>519</v>
      </c>
      <c r="D299" s="1" t="s">
        <v>2942</v>
      </c>
      <c r="E299" s="1" t="s">
        <v>1735</v>
      </c>
      <c r="F299" s="1" t="s">
        <v>2943</v>
      </c>
      <c r="G299" s="1" t="s">
        <v>2943</v>
      </c>
      <c r="H299" s="1" t="s">
        <v>2944</v>
      </c>
    </row>
    <row r="300" spans="1:8" ht="58" x14ac:dyDescent="0.35">
      <c r="A300" s="1">
        <f t="shared" si="4"/>
        <v>299</v>
      </c>
      <c r="B300" s="1" t="s">
        <v>2945</v>
      </c>
      <c r="C300" s="1" t="s">
        <v>522</v>
      </c>
      <c r="D300" s="1" t="s">
        <v>2946</v>
      </c>
      <c r="E300" s="1" t="s">
        <v>2008</v>
      </c>
      <c r="F300" s="1" t="s">
        <v>2947</v>
      </c>
      <c r="G300" s="1" t="s">
        <v>2948</v>
      </c>
      <c r="H300" s="1" t="s">
        <v>2949</v>
      </c>
    </row>
    <row r="301" spans="1:8" ht="58" x14ac:dyDescent="0.35">
      <c r="A301" s="1">
        <f t="shared" si="4"/>
        <v>300</v>
      </c>
      <c r="B301" s="1" t="s">
        <v>2950</v>
      </c>
      <c r="C301" s="1" t="s">
        <v>447</v>
      </c>
      <c r="D301" s="1" t="s">
        <v>2951</v>
      </c>
      <c r="E301" s="1" t="s">
        <v>1775</v>
      </c>
      <c r="F301" s="1" t="s">
        <v>2952</v>
      </c>
      <c r="G301" s="1" t="s">
        <v>2952</v>
      </c>
      <c r="H301" s="1" t="s">
        <v>2953</v>
      </c>
    </row>
    <row r="302" spans="1:8" ht="43.5" x14ac:dyDescent="0.35">
      <c r="A302" s="1">
        <f t="shared" si="4"/>
        <v>301</v>
      </c>
      <c r="B302" s="1" t="s">
        <v>2954</v>
      </c>
      <c r="C302" s="1" t="s">
        <v>525</v>
      </c>
      <c r="D302" s="1" t="s">
        <v>2955</v>
      </c>
      <c r="E302" s="1" t="s">
        <v>1764</v>
      </c>
      <c r="F302" s="1" t="s">
        <v>2956</v>
      </c>
      <c r="G302" s="1" t="s">
        <v>2956</v>
      </c>
      <c r="H302" s="1" t="s">
        <v>2957</v>
      </c>
    </row>
    <row r="303" spans="1:8" ht="58" x14ac:dyDescent="0.35">
      <c r="A303" s="1">
        <f t="shared" si="4"/>
        <v>302</v>
      </c>
      <c r="B303" s="1" t="s">
        <v>2958</v>
      </c>
      <c r="C303" s="1" t="s">
        <v>447</v>
      </c>
      <c r="D303" s="1" t="s">
        <v>2959</v>
      </c>
      <c r="E303" s="1" t="s">
        <v>2442</v>
      </c>
      <c r="F303" s="1" t="s">
        <v>2960</v>
      </c>
      <c r="G303" s="1" t="s">
        <v>2960</v>
      </c>
      <c r="H303" s="1" t="s">
        <v>2961</v>
      </c>
    </row>
    <row r="304" spans="1:8" x14ac:dyDescent="0.35">
      <c r="A304" s="1">
        <f t="shared" si="4"/>
        <v>303</v>
      </c>
      <c r="B304" s="1" t="s">
        <v>2962</v>
      </c>
      <c r="C304" s="1" t="s">
        <v>528</v>
      </c>
      <c r="D304" s="1" t="s">
        <v>2963</v>
      </c>
      <c r="E304" s="1" t="s">
        <v>1596</v>
      </c>
      <c r="F304" s="1" t="s">
        <v>2964</v>
      </c>
      <c r="G304" s="1" t="s">
        <v>2965</v>
      </c>
      <c r="H304" s="1" t="s">
        <v>2966</v>
      </c>
    </row>
    <row r="305" spans="1:8" ht="58" x14ac:dyDescent="0.35">
      <c r="A305" s="1">
        <f t="shared" si="4"/>
        <v>304</v>
      </c>
      <c r="B305" s="1" t="s">
        <v>2967</v>
      </c>
      <c r="C305" s="1" t="s">
        <v>442</v>
      </c>
      <c r="D305" s="1" t="s">
        <v>2968</v>
      </c>
      <c r="E305" s="1" t="s">
        <v>2609</v>
      </c>
      <c r="F305" s="1" t="s">
        <v>2969</v>
      </c>
      <c r="G305" s="1" t="s">
        <v>2969</v>
      </c>
      <c r="H305" s="1" t="s">
        <v>2970</v>
      </c>
    </row>
    <row r="306" spans="1:8" ht="43.5" x14ac:dyDescent="0.35">
      <c r="A306" s="1">
        <f t="shared" si="4"/>
        <v>305</v>
      </c>
      <c r="B306" s="1" t="s">
        <v>2971</v>
      </c>
      <c r="C306" s="1" t="s">
        <v>531</v>
      </c>
      <c r="D306" s="1" t="s">
        <v>2972</v>
      </c>
      <c r="E306" s="1" t="s">
        <v>2782</v>
      </c>
      <c r="F306" s="1" t="s">
        <v>2973</v>
      </c>
      <c r="G306" s="1" t="s">
        <v>2973</v>
      </c>
      <c r="H306" s="1" t="s">
        <v>2974</v>
      </c>
    </row>
    <row r="307" spans="1:8" ht="58" x14ac:dyDescent="0.35">
      <c r="A307" s="1">
        <f t="shared" si="4"/>
        <v>306</v>
      </c>
      <c r="B307" s="1" t="s">
        <v>2975</v>
      </c>
      <c r="C307" s="1" t="s">
        <v>533</v>
      </c>
      <c r="D307" s="1" t="s">
        <v>2976</v>
      </c>
      <c r="E307" s="1" t="s">
        <v>2977</v>
      </c>
      <c r="F307" s="1" t="s">
        <v>2978</v>
      </c>
      <c r="G307" s="1" t="s">
        <v>2979</v>
      </c>
      <c r="H307" s="1" t="s">
        <v>2980</v>
      </c>
    </row>
    <row r="308" spans="1:8" ht="58" x14ac:dyDescent="0.35">
      <c r="A308" s="1">
        <f t="shared" si="4"/>
        <v>307</v>
      </c>
      <c r="B308" s="1" t="s">
        <v>2981</v>
      </c>
      <c r="C308" s="1" t="s">
        <v>535</v>
      </c>
      <c r="D308" s="1" t="s">
        <v>2982</v>
      </c>
      <c r="E308" s="1" t="s">
        <v>2977</v>
      </c>
      <c r="F308" s="1" t="s">
        <v>2983</v>
      </c>
      <c r="G308" s="1" t="s">
        <v>2984</v>
      </c>
      <c r="H308" s="1" t="s">
        <v>2985</v>
      </c>
    </row>
    <row r="309" spans="1:8" ht="43.5" x14ac:dyDescent="0.35">
      <c r="A309" s="1">
        <f t="shared" si="4"/>
        <v>308</v>
      </c>
      <c r="B309" s="1" t="s">
        <v>2986</v>
      </c>
      <c r="C309" s="1" t="s">
        <v>537</v>
      </c>
      <c r="D309" s="1" t="s">
        <v>2987</v>
      </c>
      <c r="E309" s="1" t="s">
        <v>2258</v>
      </c>
      <c r="F309" s="1" t="s">
        <v>2988</v>
      </c>
      <c r="G309" s="1" t="s">
        <v>2988</v>
      </c>
      <c r="H309" s="1" t="s">
        <v>2989</v>
      </c>
    </row>
    <row r="310" spans="1:8" ht="43.5" x14ac:dyDescent="0.35">
      <c r="A310" s="1">
        <f t="shared" si="4"/>
        <v>309</v>
      </c>
      <c r="B310" s="1" t="s">
        <v>2990</v>
      </c>
      <c r="C310" s="1" t="s">
        <v>539</v>
      </c>
      <c r="D310" s="1" t="s">
        <v>2991</v>
      </c>
      <c r="E310" s="1" t="s">
        <v>2164</v>
      </c>
      <c r="F310" s="1" t="s">
        <v>2992</v>
      </c>
      <c r="G310" s="1" t="s">
        <v>2993</v>
      </c>
      <c r="H310" s="1" t="s">
        <v>2994</v>
      </c>
    </row>
    <row r="311" spans="1:8" x14ac:dyDescent="0.35">
      <c r="A311" s="1">
        <f t="shared" si="4"/>
        <v>310</v>
      </c>
      <c r="B311" s="1" t="s">
        <v>2995</v>
      </c>
      <c r="C311" s="1" t="s">
        <v>541</v>
      </c>
      <c r="D311" s="1" t="s">
        <v>2996</v>
      </c>
      <c r="E311" s="1" t="s">
        <v>1804</v>
      </c>
      <c r="F311" s="1" t="s">
        <v>2996</v>
      </c>
      <c r="G311" s="1" t="s">
        <v>2996</v>
      </c>
      <c r="H311" s="1" t="s">
        <v>2997</v>
      </c>
    </row>
    <row r="312" spans="1:8" ht="58" x14ac:dyDescent="0.35">
      <c r="A312" s="1">
        <f t="shared" si="4"/>
        <v>311</v>
      </c>
      <c r="B312" s="1" t="s">
        <v>2998</v>
      </c>
      <c r="C312" s="1" t="s">
        <v>543</v>
      </c>
      <c r="D312" s="1" t="s">
        <v>2999</v>
      </c>
      <c r="E312" s="1" t="s">
        <v>2609</v>
      </c>
      <c r="F312" s="1" t="s">
        <v>3000</v>
      </c>
      <c r="G312" s="1" t="s">
        <v>3000</v>
      </c>
      <c r="H312" s="1" t="s">
        <v>3001</v>
      </c>
    </row>
    <row r="313" spans="1:8" ht="58" x14ac:dyDescent="0.35">
      <c r="A313" s="1">
        <f t="shared" si="4"/>
        <v>312</v>
      </c>
      <c r="B313" s="1" t="s">
        <v>3002</v>
      </c>
      <c r="C313" s="1" t="s">
        <v>545</v>
      </c>
      <c r="D313" s="1" t="s">
        <v>3003</v>
      </c>
      <c r="E313" s="1" t="s">
        <v>2082</v>
      </c>
      <c r="F313" s="1" t="s">
        <v>3004</v>
      </c>
      <c r="G313" s="1" t="s">
        <v>3004</v>
      </c>
      <c r="H313" s="1" t="s">
        <v>3005</v>
      </c>
    </row>
    <row r="314" spans="1:8" ht="43.5" x14ac:dyDescent="0.35">
      <c r="A314" s="1">
        <f t="shared" si="4"/>
        <v>313</v>
      </c>
      <c r="B314" s="1" t="s">
        <v>3006</v>
      </c>
      <c r="C314" s="1" t="s">
        <v>547</v>
      </c>
      <c r="D314" s="1" t="s">
        <v>3007</v>
      </c>
      <c r="E314" s="1" t="s">
        <v>1719</v>
      </c>
      <c r="F314" s="1" t="s">
        <v>3008</v>
      </c>
      <c r="G314" s="1" t="s">
        <v>3008</v>
      </c>
      <c r="H314" s="1" t="s">
        <v>3009</v>
      </c>
    </row>
    <row r="315" spans="1:8" ht="58" x14ac:dyDescent="0.35">
      <c r="A315" s="1">
        <f t="shared" si="4"/>
        <v>314</v>
      </c>
      <c r="B315" s="1" t="s">
        <v>3010</v>
      </c>
      <c r="C315" s="1" t="s">
        <v>549</v>
      </c>
      <c r="D315" s="1" t="s">
        <v>3011</v>
      </c>
      <c r="E315" s="1" t="s">
        <v>3012</v>
      </c>
      <c r="F315" s="1" t="s">
        <v>3013</v>
      </c>
      <c r="G315" s="1" t="s">
        <v>3013</v>
      </c>
      <c r="H315" s="1" t="s">
        <v>3014</v>
      </c>
    </row>
    <row r="316" spans="1:8" ht="29" x14ac:dyDescent="0.35">
      <c r="A316" s="1">
        <f t="shared" si="4"/>
        <v>315</v>
      </c>
      <c r="B316" s="1" t="s">
        <v>3015</v>
      </c>
      <c r="C316" s="1" t="s">
        <v>551</v>
      </c>
      <c r="D316" s="1" t="s">
        <v>3016</v>
      </c>
      <c r="E316" s="1" t="s">
        <v>1844</v>
      </c>
      <c r="F316" s="1" t="s">
        <v>3017</v>
      </c>
      <c r="G316" s="1" t="s">
        <v>3017</v>
      </c>
      <c r="H316" s="1" t="s">
        <v>3018</v>
      </c>
    </row>
    <row r="317" spans="1:8" ht="72.5" x14ac:dyDescent="0.35">
      <c r="A317" s="1">
        <f t="shared" si="4"/>
        <v>316</v>
      </c>
      <c r="B317" s="1" t="s">
        <v>3019</v>
      </c>
      <c r="C317" s="1" t="s">
        <v>555</v>
      </c>
      <c r="D317" s="1" t="s">
        <v>3020</v>
      </c>
      <c r="E317" s="1" t="s">
        <v>3021</v>
      </c>
      <c r="F317" s="1" t="s">
        <v>3022</v>
      </c>
      <c r="G317" s="1" t="s">
        <v>3023</v>
      </c>
      <c r="H317" s="1" t="s">
        <v>3024</v>
      </c>
    </row>
    <row r="318" spans="1:8" ht="43.5" x14ac:dyDescent="0.35">
      <c r="A318" s="1">
        <f t="shared" si="4"/>
        <v>317</v>
      </c>
      <c r="B318" s="1" t="s">
        <v>3025</v>
      </c>
      <c r="C318" s="1" t="s">
        <v>557</v>
      </c>
      <c r="D318" s="1" t="s">
        <v>3026</v>
      </c>
      <c r="E318" s="1" t="s">
        <v>2092</v>
      </c>
      <c r="F318" s="1" t="s">
        <v>3027</v>
      </c>
      <c r="G318" s="1" t="s">
        <v>3028</v>
      </c>
      <c r="H318" s="1" t="s">
        <v>3029</v>
      </c>
    </row>
    <row r="319" spans="1:8" ht="29" x14ac:dyDescent="0.35">
      <c r="A319" s="1">
        <f t="shared" si="4"/>
        <v>318</v>
      </c>
      <c r="B319" s="1" t="s">
        <v>3030</v>
      </c>
      <c r="C319" s="1" t="s">
        <v>559</v>
      </c>
      <c r="D319" s="1" t="s">
        <v>3031</v>
      </c>
      <c r="E319" s="1" t="s">
        <v>2348</v>
      </c>
      <c r="F319" s="1" t="s">
        <v>3032</v>
      </c>
      <c r="G319" s="1" t="s">
        <v>3032</v>
      </c>
      <c r="H319" s="1" t="s">
        <v>3033</v>
      </c>
    </row>
    <row r="320" spans="1:8" ht="58" x14ac:dyDescent="0.35">
      <c r="A320" s="1">
        <f t="shared" si="4"/>
        <v>319</v>
      </c>
      <c r="B320" s="1" t="s">
        <v>3034</v>
      </c>
      <c r="C320" s="1" t="s">
        <v>561</v>
      </c>
      <c r="D320" s="1" t="s">
        <v>3035</v>
      </c>
      <c r="E320" s="1" t="s">
        <v>3036</v>
      </c>
      <c r="F320" s="1" t="s">
        <v>3037</v>
      </c>
      <c r="G320" s="1" t="s">
        <v>3037</v>
      </c>
      <c r="H320" s="1" t="s">
        <v>3038</v>
      </c>
    </row>
    <row r="321" spans="1:8" ht="58" x14ac:dyDescent="0.35">
      <c r="A321" s="1">
        <f t="shared" si="4"/>
        <v>320</v>
      </c>
      <c r="B321" s="1" t="s">
        <v>3039</v>
      </c>
      <c r="C321" s="1" t="s">
        <v>563</v>
      </c>
      <c r="D321" s="1" t="s">
        <v>3040</v>
      </c>
      <c r="E321" s="1" t="s">
        <v>3041</v>
      </c>
      <c r="F321" s="1" t="s">
        <v>3042</v>
      </c>
      <c r="G321" s="1" t="s">
        <v>3042</v>
      </c>
      <c r="H321" s="1" t="s">
        <v>3043</v>
      </c>
    </row>
    <row r="322" spans="1:8" ht="58" x14ac:dyDescent="0.35">
      <c r="A322" s="1">
        <f t="shared" si="4"/>
        <v>321</v>
      </c>
      <c r="B322" s="1" t="s">
        <v>3044</v>
      </c>
      <c r="C322" s="1" t="s">
        <v>565</v>
      </c>
      <c r="D322" s="1" t="s">
        <v>3045</v>
      </c>
      <c r="E322" s="1" t="s">
        <v>2159</v>
      </c>
      <c r="F322" s="1" t="s">
        <v>3046</v>
      </c>
      <c r="G322" s="1" t="s">
        <v>3046</v>
      </c>
      <c r="H322" s="1" t="s">
        <v>3047</v>
      </c>
    </row>
    <row r="323" spans="1:8" ht="58" x14ac:dyDescent="0.35">
      <c r="A323" s="1">
        <f t="shared" si="4"/>
        <v>322</v>
      </c>
      <c r="B323" s="1" t="s">
        <v>3048</v>
      </c>
      <c r="C323" s="1" t="s">
        <v>567</v>
      </c>
      <c r="D323" s="1" t="s">
        <v>3049</v>
      </c>
      <c r="E323" s="1" t="s">
        <v>2312</v>
      </c>
      <c r="F323" s="1" t="s">
        <v>3050</v>
      </c>
      <c r="G323" s="1" t="s">
        <v>3050</v>
      </c>
      <c r="H323" s="1" t="s">
        <v>3051</v>
      </c>
    </row>
    <row r="324" spans="1:8" ht="58" x14ac:dyDescent="0.35">
      <c r="A324" s="1">
        <f t="shared" ref="A324:A387" si="5">SUM(A323+1)</f>
        <v>323</v>
      </c>
      <c r="B324" s="1" t="s">
        <v>3052</v>
      </c>
      <c r="C324" s="1" t="s">
        <v>569</v>
      </c>
      <c r="D324" s="1" t="s">
        <v>3053</v>
      </c>
      <c r="E324" s="1" t="s">
        <v>1629</v>
      </c>
      <c r="F324" s="1" t="s">
        <v>3054</v>
      </c>
      <c r="G324" s="1" t="s">
        <v>3054</v>
      </c>
      <c r="H324" s="1" t="s">
        <v>3055</v>
      </c>
    </row>
    <row r="325" spans="1:8" ht="43.5" x14ac:dyDescent="0.35">
      <c r="A325" s="1">
        <f t="shared" si="5"/>
        <v>324</v>
      </c>
      <c r="B325" s="1" t="s">
        <v>3056</v>
      </c>
      <c r="C325" s="1" t="s">
        <v>571</v>
      </c>
      <c r="D325" s="1" t="s">
        <v>3057</v>
      </c>
      <c r="E325" s="1" t="s">
        <v>1990</v>
      </c>
      <c r="F325" s="1" t="s">
        <v>3058</v>
      </c>
      <c r="G325" s="1" t="s">
        <v>3058</v>
      </c>
      <c r="H325" s="1" t="s">
        <v>3059</v>
      </c>
    </row>
    <row r="326" spans="1:8" ht="29" x14ac:dyDescent="0.35">
      <c r="A326" s="1">
        <f t="shared" si="5"/>
        <v>325</v>
      </c>
      <c r="B326" s="1" t="s">
        <v>3060</v>
      </c>
      <c r="C326" s="1" t="s">
        <v>484</v>
      </c>
      <c r="D326" s="1" t="s">
        <v>3061</v>
      </c>
      <c r="E326" s="1" t="s">
        <v>2348</v>
      </c>
      <c r="F326" s="1" t="s">
        <v>3062</v>
      </c>
      <c r="G326" s="1" t="s">
        <v>3062</v>
      </c>
      <c r="H326" s="1" t="s">
        <v>3063</v>
      </c>
    </row>
    <row r="327" spans="1:8" ht="58" x14ac:dyDescent="0.35">
      <c r="A327" s="1">
        <f t="shared" si="5"/>
        <v>326</v>
      </c>
      <c r="B327" s="1" t="s">
        <v>3064</v>
      </c>
      <c r="C327" s="1" t="s">
        <v>575</v>
      </c>
      <c r="D327" s="1" t="s">
        <v>3065</v>
      </c>
      <c r="E327" s="1" t="s">
        <v>2312</v>
      </c>
      <c r="F327" s="1" t="s">
        <v>3066</v>
      </c>
      <c r="G327" s="1" t="s">
        <v>3066</v>
      </c>
      <c r="H327" s="1" t="s">
        <v>3067</v>
      </c>
    </row>
    <row r="328" spans="1:8" ht="58" x14ac:dyDescent="0.35">
      <c r="A328" s="1">
        <f t="shared" si="5"/>
        <v>327</v>
      </c>
      <c r="B328" s="1" t="s">
        <v>3068</v>
      </c>
      <c r="C328" s="1" t="s">
        <v>577</v>
      </c>
      <c r="D328" s="1" t="s">
        <v>3069</v>
      </c>
      <c r="E328" s="1" t="s">
        <v>3070</v>
      </c>
      <c r="F328" s="1" t="s">
        <v>3071</v>
      </c>
      <c r="G328" s="1" t="s">
        <v>3071</v>
      </c>
      <c r="H328" s="1" t="s">
        <v>3072</v>
      </c>
    </row>
    <row r="329" spans="1:8" ht="43.5" x14ac:dyDescent="0.35">
      <c r="A329" s="1">
        <f t="shared" si="5"/>
        <v>328</v>
      </c>
      <c r="B329" s="1" t="s">
        <v>3073</v>
      </c>
      <c r="C329" s="1" t="s">
        <v>577</v>
      </c>
      <c r="D329" s="1" t="s">
        <v>3074</v>
      </c>
      <c r="E329" s="1" t="s">
        <v>1764</v>
      </c>
      <c r="F329" s="1" t="s">
        <v>3075</v>
      </c>
      <c r="G329" s="1" t="s">
        <v>3075</v>
      </c>
      <c r="H329" s="1" t="s">
        <v>3076</v>
      </c>
    </row>
    <row r="330" spans="1:8" ht="58" x14ac:dyDescent="0.35">
      <c r="A330" s="1">
        <f t="shared" si="5"/>
        <v>329</v>
      </c>
      <c r="B330" s="1" t="s">
        <v>3077</v>
      </c>
      <c r="C330" s="1" t="s">
        <v>435</v>
      </c>
      <c r="D330" s="1" t="s">
        <v>3078</v>
      </c>
      <c r="E330" s="1" t="s">
        <v>3079</v>
      </c>
      <c r="F330" s="1" t="s">
        <v>3080</v>
      </c>
      <c r="G330" s="1" t="s">
        <v>3080</v>
      </c>
      <c r="H330" s="1" t="s">
        <v>3081</v>
      </c>
    </row>
    <row r="331" spans="1:8" ht="58" x14ac:dyDescent="0.35">
      <c r="A331" s="1">
        <f t="shared" si="5"/>
        <v>330</v>
      </c>
      <c r="B331" s="1" t="s">
        <v>3082</v>
      </c>
      <c r="C331" s="1" t="s">
        <v>76</v>
      </c>
      <c r="D331" s="1" t="s">
        <v>3083</v>
      </c>
      <c r="E331" s="1" t="s">
        <v>2796</v>
      </c>
      <c r="F331" s="1" t="s">
        <v>3084</v>
      </c>
      <c r="G331" s="1" t="s">
        <v>3084</v>
      </c>
      <c r="H331" s="1" t="s">
        <v>3085</v>
      </c>
    </row>
    <row r="332" spans="1:8" ht="29" x14ac:dyDescent="0.35">
      <c r="A332" s="1">
        <f t="shared" si="5"/>
        <v>331</v>
      </c>
      <c r="B332" s="1" t="s">
        <v>3086</v>
      </c>
      <c r="C332" s="1" t="s">
        <v>582</v>
      </c>
      <c r="D332" s="1" t="s">
        <v>3087</v>
      </c>
      <c r="E332" s="1" t="s">
        <v>1613</v>
      </c>
      <c r="F332" s="1" t="s">
        <v>3088</v>
      </c>
      <c r="G332" s="1" t="s">
        <v>3089</v>
      </c>
      <c r="H332" s="1" t="s">
        <v>3090</v>
      </c>
    </row>
    <row r="333" spans="1:8" ht="58" x14ac:dyDescent="0.35">
      <c r="A333" s="1">
        <f t="shared" si="5"/>
        <v>332</v>
      </c>
      <c r="B333" s="1" t="s">
        <v>3091</v>
      </c>
      <c r="C333" s="1" t="s">
        <v>584</v>
      </c>
      <c r="D333" s="1" t="s">
        <v>3092</v>
      </c>
      <c r="E333" s="1" t="s">
        <v>3079</v>
      </c>
      <c r="F333" s="1" t="s">
        <v>3093</v>
      </c>
      <c r="G333" s="1" t="s">
        <v>3093</v>
      </c>
      <c r="H333" s="1" t="s">
        <v>3094</v>
      </c>
    </row>
    <row r="334" spans="1:8" ht="43.5" x14ac:dyDescent="0.35">
      <c r="A334" s="1">
        <f t="shared" si="5"/>
        <v>333</v>
      </c>
      <c r="B334" s="1" t="s">
        <v>3095</v>
      </c>
      <c r="C334" s="1" t="s">
        <v>586</v>
      </c>
      <c r="D334" s="1" t="s">
        <v>3096</v>
      </c>
      <c r="E334" s="1" t="s">
        <v>1663</v>
      </c>
      <c r="F334" s="1" t="s">
        <v>3097</v>
      </c>
      <c r="G334" s="1" t="s">
        <v>3098</v>
      </c>
      <c r="H334" s="1" t="s">
        <v>3099</v>
      </c>
    </row>
    <row r="335" spans="1:8" ht="58" x14ac:dyDescent="0.35">
      <c r="A335" s="1">
        <f t="shared" si="5"/>
        <v>334</v>
      </c>
      <c r="B335" s="1" t="s">
        <v>3100</v>
      </c>
      <c r="C335" s="1" t="s">
        <v>588</v>
      </c>
      <c r="D335" s="1" t="s">
        <v>3101</v>
      </c>
      <c r="E335" s="1" t="s">
        <v>2558</v>
      </c>
      <c r="F335" s="1" t="s">
        <v>3102</v>
      </c>
      <c r="G335" s="1" t="s">
        <v>3103</v>
      </c>
      <c r="H335" s="1" t="s">
        <v>3104</v>
      </c>
    </row>
    <row r="336" spans="1:8" ht="58" x14ac:dyDescent="0.35">
      <c r="A336" s="1">
        <f t="shared" si="5"/>
        <v>335</v>
      </c>
      <c r="B336" s="1" t="s">
        <v>3105</v>
      </c>
      <c r="C336" s="1" t="s">
        <v>590</v>
      </c>
      <c r="D336" s="1" t="s">
        <v>3106</v>
      </c>
      <c r="E336" s="1" t="s">
        <v>3107</v>
      </c>
      <c r="F336" s="1" t="s">
        <v>3108</v>
      </c>
      <c r="G336" s="1" t="s">
        <v>3109</v>
      </c>
      <c r="H336" s="1" t="s">
        <v>3110</v>
      </c>
    </row>
    <row r="337" spans="1:8" ht="58" x14ac:dyDescent="0.35">
      <c r="A337" s="1">
        <f t="shared" si="5"/>
        <v>336</v>
      </c>
      <c r="B337" s="1" t="s">
        <v>3111</v>
      </c>
      <c r="C337" s="1" t="s">
        <v>592</v>
      </c>
      <c r="D337" s="1" t="s">
        <v>3112</v>
      </c>
      <c r="E337" s="1" t="s">
        <v>3113</v>
      </c>
      <c r="F337" s="1" t="s">
        <v>3114</v>
      </c>
      <c r="G337" s="1" t="s">
        <v>3114</v>
      </c>
      <c r="H337" s="1" t="s">
        <v>3115</v>
      </c>
    </row>
    <row r="338" spans="1:8" ht="58" x14ac:dyDescent="0.35">
      <c r="A338" s="1">
        <f t="shared" si="5"/>
        <v>337</v>
      </c>
      <c r="B338" s="1" t="s">
        <v>3116</v>
      </c>
      <c r="C338" s="1" t="s">
        <v>594</v>
      </c>
      <c r="D338" s="1" t="s">
        <v>3117</v>
      </c>
      <c r="E338" s="1" t="s">
        <v>3118</v>
      </c>
      <c r="F338" s="1" t="s">
        <v>3119</v>
      </c>
      <c r="G338" s="1" t="s">
        <v>3119</v>
      </c>
      <c r="H338" s="1" t="s">
        <v>3120</v>
      </c>
    </row>
    <row r="339" spans="1:8" ht="58" x14ac:dyDescent="0.35">
      <c r="A339" s="1">
        <f t="shared" si="5"/>
        <v>338</v>
      </c>
      <c r="B339" s="1" t="s">
        <v>3121</v>
      </c>
      <c r="C339" s="1" t="s">
        <v>596</v>
      </c>
      <c r="D339" s="1" t="s">
        <v>3122</v>
      </c>
      <c r="E339" s="1" t="s">
        <v>1853</v>
      </c>
      <c r="F339" s="1" t="s">
        <v>3123</v>
      </c>
      <c r="G339" s="1" t="s">
        <v>3123</v>
      </c>
      <c r="H339" s="1" t="s">
        <v>3124</v>
      </c>
    </row>
    <row r="340" spans="1:8" ht="29" x14ac:dyDescent="0.35">
      <c r="A340" s="1">
        <f t="shared" si="5"/>
        <v>339</v>
      </c>
      <c r="B340" s="1" t="s">
        <v>3125</v>
      </c>
      <c r="C340" s="1" t="s">
        <v>598</v>
      </c>
      <c r="D340" s="1" t="s">
        <v>3126</v>
      </c>
      <c r="E340" s="1" t="s">
        <v>2229</v>
      </c>
      <c r="F340" s="1" t="s">
        <v>3127</v>
      </c>
      <c r="G340" s="1" t="s">
        <v>3127</v>
      </c>
      <c r="H340" s="1" t="s">
        <v>3128</v>
      </c>
    </row>
    <row r="341" spans="1:8" x14ac:dyDescent="0.35">
      <c r="A341" s="1">
        <f t="shared" si="5"/>
        <v>340</v>
      </c>
      <c r="B341" s="1" t="s">
        <v>3129</v>
      </c>
      <c r="C341" s="1" t="s">
        <v>600</v>
      </c>
      <c r="D341" s="1" t="s">
        <v>3130</v>
      </c>
      <c r="E341" s="1" t="s">
        <v>3131</v>
      </c>
      <c r="F341" s="1" t="s">
        <v>3130</v>
      </c>
      <c r="G341" s="1" t="s">
        <v>3130</v>
      </c>
      <c r="H341" s="1" t="s">
        <v>3132</v>
      </c>
    </row>
    <row r="342" spans="1:8" ht="43.5" x14ac:dyDescent="0.35">
      <c r="A342" s="1">
        <f t="shared" si="5"/>
        <v>341</v>
      </c>
      <c r="B342" s="1" t="s">
        <v>3133</v>
      </c>
      <c r="C342" s="1" t="s">
        <v>602</v>
      </c>
      <c r="D342" s="1" t="s">
        <v>3134</v>
      </c>
      <c r="E342" s="1" t="s">
        <v>2862</v>
      </c>
      <c r="F342" s="1" t="s">
        <v>3135</v>
      </c>
      <c r="G342" s="1" t="s">
        <v>3135</v>
      </c>
      <c r="H342" s="1" t="s">
        <v>3136</v>
      </c>
    </row>
    <row r="343" spans="1:8" ht="58" x14ac:dyDescent="0.35">
      <c r="A343" s="1">
        <f t="shared" si="5"/>
        <v>342</v>
      </c>
      <c r="B343" s="1" t="s">
        <v>3137</v>
      </c>
      <c r="C343" s="1" t="s">
        <v>604</v>
      </c>
      <c r="D343" s="1" t="s">
        <v>3138</v>
      </c>
      <c r="E343" s="1" t="s">
        <v>2558</v>
      </c>
      <c r="F343" s="1" t="s">
        <v>3139</v>
      </c>
      <c r="G343" s="1" t="s">
        <v>3139</v>
      </c>
      <c r="H343" s="1" t="s">
        <v>3140</v>
      </c>
    </row>
    <row r="344" spans="1:8" ht="58" x14ac:dyDescent="0.35">
      <c r="A344" s="1">
        <f t="shared" si="5"/>
        <v>343</v>
      </c>
      <c r="B344" s="1" t="s">
        <v>3141</v>
      </c>
      <c r="C344" s="1" t="s">
        <v>606</v>
      </c>
      <c r="D344" s="1" t="s">
        <v>3142</v>
      </c>
      <c r="E344" s="1" t="s">
        <v>2154</v>
      </c>
      <c r="F344" s="1" t="s">
        <v>3143</v>
      </c>
      <c r="G344" s="1" t="s">
        <v>3144</v>
      </c>
      <c r="H344" s="1" t="s">
        <v>3145</v>
      </c>
    </row>
    <row r="345" spans="1:8" ht="29" x14ac:dyDescent="0.35">
      <c r="A345" s="1">
        <f t="shared" si="5"/>
        <v>344</v>
      </c>
      <c r="B345" s="1" t="s">
        <v>3146</v>
      </c>
      <c r="C345" s="1" t="s">
        <v>608</v>
      </c>
      <c r="D345" s="1" t="s">
        <v>3147</v>
      </c>
      <c r="E345" s="1" t="s">
        <v>1785</v>
      </c>
      <c r="F345" s="1" t="s">
        <v>3148</v>
      </c>
      <c r="G345" s="1" t="s">
        <v>3148</v>
      </c>
      <c r="H345" s="1" t="s">
        <v>3149</v>
      </c>
    </row>
    <row r="346" spans="1:8" ht="43.5" x14ac:dyDescent="0.35">
      <c r="A346" s="1">
        <f t="shared" si="5"/>
        <v>345</v>
      </c>
      <c r="B346" s="1" t="s">
        <v>3150</v>
      </c>
      <c r="C346" s="1" t="s">
        <v>610</v>
      </c>
      <c r="D346" s="1" t="s">
        <v>3151</v>
      </c>
      <c r="E346" s="1" t="s">
        <v>1764</v>
      </c>
      <c r="F346" s="1" t="s">
        <v>3152</v>
      </c>
      <c r="G346" s="1" t="s">
        <v>3152</v>
      </c>
      <c r="H346" s="1" t="s">
        <v>3153</v>
      </c>
    </row>
    <row r="347" spans="1:8" ht="29" x14ac:dyDescent="0.35">
      <c r="A347" s="1">
        <f t="shared" si="5"/>
        <v>346</v>
      </c>
      <c r="B347" s="1" t="s">
        <v>3154</v>
      </c>
      <c r="C347" s="1" t="s">
        <v>612</v>
      </c>
      <c r="D347" s="1" t="s">
        <v>3155</v>
      </c>
      <c r="E347" s="1" t="s">
        <v>1799</v>
      </c>
      <c r="F347" s="1" t="s">
        <v>3156</v>
      </c>
      <c r="G347" s="1" t="s">
        <v>3156</v>
      </c>
      <c r="H347" s="1" t="s">
        <v>3157</v>
      </c>
    </row>
    <row r="348" spans="1:8" ht="29" x14ac:dyDescent="0.35">
      <c r="A348" s="1">
        <f t="shared" si="5"/>
        <v>347</v>
      </c>
      <c r="B348" s="1" t="s">
        <v>3158</v>
      </c>
      <c r="C348" s="1" t="s">
        <v>614</v>
      </c>
      <c r="D348" s="1" t="s">
        <v>3159</v>
      </c>
      <c r="E348" s="1" t="s">
        <v>1799</v>
      </c>
      <c r="F348" s="1" t="s">
        <v>3160</v>
      </c>
      <c r="G348" s="1" t="s">
        <v>3160</v>
      </c>
      <c r="H348" s="1" t="s">
        <v>3161</v>
      </c>
    </row>
    <row r="349" spans="1:8" ht="29" x14ac:dyDescent="0.35">
      <c r="A349" s="1">
        <f t="shared" si="5"/>
        <v>348</v>
      </c>
      <c r="B349" s="1" t="s">
        <v>3162</v>
      </c>
      <c r="C349" s="1" t="s">
        <v>614</v>
      </c>
      <c r="D349" s="1" t="s">
        <v>3163</v>
      </c>
      <c r="E349" s="1" t="s">
        <v>1829</v>
      </c>
      <c r="F349" s="1" t="s">
        <v>3164</v>
      </c>
      <c r="G349" s="1" t="s">
        <v>3164</v>
      </c>
      <c r="H349" s="1" t="s">
        <v>3165</v>
      </c>
    </row>
    <row r="350" spans="1:8" ht="58" x14ac:dyDescent="0.35">
      <c r="A350" s="1">
        <f t="shared" si="5"/>
        <v>349</v>
      </c>
      <c r="B350" s="1" t="s">
        <v>3166</v>
      </c>
      <c r="C350" s="1" t="s">
        <v>617</v>
      </c>
      <c r="D350" s="1" t="s">
        <v>3167</v>
      </c>
      <c r="E350" s="1" t="s">
        <v>2505</v>
      </c>
      <c r="F350" s="1" t="s">
        <v>3168</v>
      </c>
      <c r="G350" s="1" t="s">
        <v>3168</v>
      </c>
      <c r="H350" s="1" t="s">
        <v>3169</v>
      </c>
    </row>
    <row r="351" spans="1:8" x14ac:dyDescent="0.35">
      <c r="A351" s="1">
        <f t="shared" si="5"/>
        <v>350</v>
      </c>
      <c r="B351" s="1" t="s">
        <v>3170</v>
      </c>
      <c r="C351" s="1" t="s">
        <v>221</v>
      </c>
      <c r="D351" s="1" t="s">
        <v>3171</v>
      </c>
      <c r="E351" s="1" t="s">
        <v>1804</v>
      </c>
      <c r="F351" s="1" t="s">
        <v>3171</v>
      </c>
      <c r="G351" s="1" t="s">
        <v>3171</v>
      </c>
      <c r="H351" s="1" t="s">
        <v>3172</v>
      </c>
    </row>
    <row r="352" spans="1:8" ht="43.5" x14ac:dyDescent="0.35">
      <c r="A352" s="1">
        <f t="shared" si="5"/>
        <v>351</v>
      </c>
      <c r="B352" s="1" t="s">
        <v>3173</v>
      </c>
      <c r="C352" s="1" t="s">
        <v>620</v>
      </c>
      <c r="D352" s="1" t="s">
        <v>3174</v>
      </c>
      <c r="E352" s="1" t="s">
        <v>2604</v>
      </c>
      <c r="F352" s="1" t="s">
        <v>3175</v>
      </c>
      <c r="G352" s="1" t="s">
        <v>3175</v>
      </c>
      <c r="H352" s="1" t="s">
        <v>3176</v>
      </c>
    </row>
    <row r="353" spans="1:8" ht="29" x14ac:dyDescent="0.35">
      <c r="A353" s="1">
        <f t="shared" si="5"/>
        <v>352</v>
      </c>
      <c r="B353" s="1" t="s">
        <v>3177</v>
      </c>
      <c r="C353" s="1" t="s">
        <v>460</v>
      </c>
      <c r="D353" s="1" t="s">
        <v>3178</v>
      </c>
      <c r="E353" s="1" t="s">
        <v>1844</v>
      </c>
      <c r="F353" s="1" t="s">
        <v>3179</v>
      </c>
      <c r="G353" s="1" t="s">
        <v>3179</v>
      </c>
      <c r="H353" s="1" t="s">
        <v>3180</v>
      </c>
    </row>
    <row r="354" spans="1:8" ht="29" x14ac:dyDescent="0.35">
      <c r="A354" s="1">
        <f t="shared" si="5"/>
        <v>353</v>
      </c>
      <c r="B354" s="1" t="s">
        <v>3181</v>
      </c>
      <c r="C354" s="1" t="s">
        <v>460</v>
      </c>
      <c r="D354" s="1" t="s">
        <v>3182</v>
      </c>
      <c r="E354" s="1" t="s">
        <v>1730</v>
      </c>
      <c r="F354" s="1" t="s">
        <v>3183</v>
      </c>
      <c r="G354" s="1" t="s">
        <v>3183</v>
      </c>
      <c r="H354" s="1" t="s">
        <v>3184</v>
      </c>
    </row>
    <row r="355" spans="1:8" ht="29" x14ac:dyDescent="0.35">
      <c r="A355" s="1">
        <f t="shared" si="5"/>
        <v>354</v>
      </c>
      <c r="B355" s="1" t="s">
        <v>3185</v>
      </c>
      <c r="C355" s="1" t="s">
        <v>460</v>
      </c>
      <c r="D355" s="1" t="s">
        <v>3186</v>
      </c>
      <c r="E355" s="1" t="s">
        <v>1929</v>
      </c>
      <c r="F355" s="1" t="s">
        <v>3187</v>
      </c>
      <c r="G355" s="1" t="s">
        <v>3187</v>
      </c>
      <c r="H355" s="1" t="s">
        <v>3188</v>
      </c>
    </row>
    <row r="356" spans="1:8" ht="29" x14ac:dyDescent="0.35">
      <c r="A356" s="1">
        <f t="shared" si="5"/>
        <v>355</v>
      </c>
      <c r="B356" s="1" t="s">
        <v>3189</v>
      </c>
      <c r="C356" s="1" t="s">
        <v>460</v>
      </c>
      <c r="D356" s="1" t="s">
        <v>3190</v>
      </c>
      <c r="E356" s="1" t="s">
        <v>1929</v>
      </c>
      <c r="F356" s="1" t="s">
        <v>3191</v>
      </c>
      <c r="G356" s="1" t="s">
        <v>3191</v>
      </c>
      <c r="H356" s="1" t="s">
        <v>3192</v>
      </c>
    </row>
    <row r="357" spans="1:8" ht="43.5" x14ac:dyDescent="0.35">
      <c r="A357" s="1">
        <f t="shared" si="5"/>
        <v>356</v>
      </c>
      <c r="B357" s="1" t="s">
        <v>3193</v>
      </c>
      <c r="C357" s="1" t="s">
        <v>620</v>
      </c>
      <c r="D357" s="1" t="s">
        <v>3194</v>
      </c>
      <c r="E357" s="1" t="s">
        <v>1719</v>
      </c>
      <c r="F357" s="1" t="s">
        <v>3195</v>
      </c>
      <c r="G357" s="1" t="s">
        <v>3195</v>
      </c>
      <c r="H357" s="1" t="s">
        <v>3196</v>
      </c>
    </row>
    <row r="358" spans="1:8" ht="29" x14ac:dyDescent="0.35">
      <c r="A358" s="1">
        <f t="shared" si="5"/>
        <v>357</v>
      </c>
      <c r="B358" s="1" t="s">
        <v>3197</v>
      </c>
      <c r="C358" s="1" t="s">
        <v>460</v>
      </c>
      <c r="D358" s="1" t="s">
        <v>3198</v>
      </c>
      <c r="E358" s="1" t="s">
        <v>1730</v>
      </c>
      <c r="F358" s="1" t="s">
        <v>3199</v>
      </c>
      <c r="G358" s="1" t="s">
        <v>3199</v>
      </c>
      <c r="H358" s="1" t="s">
        <v>3200</v>
      </c>
    </row>
    <row r="359" spans="1:8" ht="58" x14ac:dyDescent="0.35">
      <c r="A359" s="1">
        <f t="shared" si="5"/>
        <v>358</v>
      </c>
      <c r="B359" s="1" t="s">
        <v>3201</v>
      </c>
      <c r="C359" s="1" t="s">
        <v>93</v>
      </c>
      <c r="D359" s="1" t="s">
        <v>3202</v>
      </c>
      <c r="E359" s="1" t="s">
        <v>2215</v>
      </c>
      <c r="F359" s="1" t="s">
        <v>3203</v>
      </c>
      <c r="G359" s="1" t="s">
        <v>3203</v>
      </c>
      <c r="H359" s="1" t="s">
        <v>3204</v>
      </c>
    </row>
    <row r="360" spans="1:8" ht="29" x14ac:dyDescent="0.35">
      <c r="A360" s="1">
        <f t="shared" si="5"/>
        <v>359</v>
      </c>
      <c r="B360" s="1" t="s">
        <v>3205</v>
      </c>
      <c r="C360" s="1" t="s">
        <v>629</v>
      </c>
      <c r="D360" s="1" t="s">
        <v>3206</v>
      </c>
      <c r="E360" s="1" t="s">
        <v>1730</v>
      </c>
      <c r="F360" s="1" t="s">
        <v>3207</v>
      </c>
      <c r="G360" s="1" t="s">
        <v>3207</v>
      </c>
      <c r="H360" s="1" t="s">
        <v>3208</v>
      </c>
    </row>
    <row r="361" spans="1:8" ht="29" x14ac:dyDescent="0.35">
      <c r="A361" s="1">
        <f t="shared" si="5"/>
        <v>360</v>
      </c>
      <c r="B361" s="1" t="s">
        <v>3209</v>
      </c>
      <c r="C361" s="1" t="s">
        <v>629</v>
      </c>
      <c r="D361" s="1" t="s">
        <v>3210</v>
      </c>
      <c r="E361" s="1" t="s">
        <v>1692</v>
      </c>
      <c r="F361" s="1" t="s">
        <v>3211</v>
      </c>
      <c r="G361" s="1" t="s">
        <v>3211</v>
      </c>
      <c r="H361" s="1" t="s">
        <v>3212</v>
      </c>
    </row>
    <row r="362" spans="1:8" ht="29" x14ac:dyDescent="0.35">
      <c r="A362" s="1">
        <f t="shared" si="5"/>
        <v>361</v>
      </c>
      <c r="B362" s="1" t="s">
        <v>3213</v>
      </c>
      <c r="C362" s="1" t="s">
        <v>629</v>
      </c>
      <c r="D362" s="1" t="s">
        <v>3214</v>
      </c>
      <c r="E362" s="1" t="s">
        <v>1929</v>
      </c>
      <c r="F362" s="1" t="s">
        <v>3215</v>
      </c>
      <c r="G362" s="1" t="s">
        <v>3215</v>
      </c>
      <c r="H362" s="1" t="s">
        <v>3216</v>
      </c>
    </row>
    <row r="363" spans="1:8" ht="29" x14ac:dyDescent="0.35">
      <c r="A363" s="1">
        <f t="shared" si="5"/>
        <v>362</v>
      </c>
      <c r="B363" s="1" t="s">
        <v>3217</v>
      </c>
      <c r="C363" s="1" t="s">
        <v>629</v>
      </c>
      <c r="D363" s="1" t="s">
        <v>3218</v>
      </c>
      <c r="E363" s="1" t="s">
        <v>1730</v>
      </c>
      <c r="F363" s="1" t="s">
        <v>3219</v>
      </c>
      <c r="G363" s="1" t="s">
        <v>3219</v>
      </c>
      <c r="H363" s="1" t="s">
        <v>3220</v>
      </c>
    </row>
    <row r="364" spans="1:8" ht="43.5" x14ac:dyDescent="0.35">
      <c r="A364" s="1">
        <f t="shared" si="5"/>
        <v>363</v>
      </c>
      <c r="B364" s="1" t="s">
        <v>3221</v>
      </c>
      <c r="C364" s="1" t="s">
        <v>634</v>
      </c>
      <c r="D364" s="1" t="s">
        <v>3222</v>
      </c>
      <c r="E364" s="1" t="s">
        <v>2748</v>
      </c>
      <c r="F364" s="1" t="s">
        <v>3223</v>
      </c>
      <c r="G364" s="1" t="s">
        <v>3223</v>
      </c>
      <c r="H364" s="1" t="s">
        <v>3224</v>
      </c>
    </row>
    <row r="365" spans="1:8" ht="43.5" x14ac:dyDescent="0.35">
      <c r="A365" s="1">
        <f t="shared" si="5"/>
        <v>364</v>
      </c>
      <c r="B365" s="1" t="s">
        <v>3225</v>
      </c>
      <c r="C365" s="1" t="s">
        <v>636</v>
      </c>
      <c r="D365" s="1" t="s">
        <v>3226</v>
      </c>
      <c r="E365" s="1" t="s">
        <v>3227</v>
      </c>
      <c r="F365" s="1" t="s">
        <v>3228</v>
      </c>
      <c r="G365" s="1" t="s">
        <v>3228</v>
      </c>
      <c r="H365" s="1" t="s">
        <v>3229</v>
      </c>
    </row>
    <row r="366" spans="1:8" ht="58" x14ac:dyDescent="0.35">
      <c r="A366" s="1">
        <f t="shared" si="5"/>
        <v>365</v>
      </c>
      <c r="B366" s="1" t="s">
        <v>3230</v>
      </c>
      <c r="C366" s="1" t="s">
        <v>638</v>
      </c>
      <c r="D366" s="1" t="s">
        <v>3231</v>
      </c>
      <c r="E366" s="1" t="s">
        <v>2743</v>
      </c>
      <c r="F366" s="1" t="s">
        <v>3232</v>
      </c>
      <c r="G366" s="1" t="s">
        <v>3232</v>
      </c>
      <c r="H366" s="1" t="s">
        <v>3233</v>
      </c>
    </row>
    <row r="367" spans="1:8" ht="58" x14ac:dyDescent="0.35">
      <c r="A367" s="1">
        <f t="shared" si="5"/>
        <v>366</v>
      </c>
      <c r="B367" s="1" t="s">
        <v>3234</v>
      </c>
      <c r="C367" s="1" t="s">
        <v>330</v>
      </c>
      <c r="D367" s="1" t="s">
        <v>3235</v>
      </c>
      <c r="E367" s="1" t="s">
        <v>1629</v>
      </c>
      <c r="F367" s="1" t="s">
        <v>3236</v>
      </c>
      <c r="G367" s="1" t="s">
        <v>3236</v>
      </c>
      <c r="H367" s="1" t="s">
        <v>3237</v>
      </c>
    </row>
    <row r="368" spans="1:8" ht="43.5" x14ac:dyDescent="0.35">
      <c r="A368" s="1">
        <f t="shared" si="5"/>
        <v>367</v>
      </c>
      <c r="B368" s="1" t="s">
        <v>3238</v>
      </c>
      <c r="C368" s="1" t="s">
        <v>641</v>
      </c>
      <c r="D368" s="1" t="s">
        <v>3239</v>
      </c>
      <c r="E368" s="1" t="s">
        <v>1893</v>
      </c>
      <c r="F368" s="1" t="s">
        <v>3240</v>
      </c>
      <c r="G368" s="1" t="s">
        <v>3240</v>
      </c>
      <c r="H368" s="1" t="s">
        <v>3241</v>
      </c>
    </row>
    <row r="369" spans="1:8" ht="58" x14ac:dyDescent="0.35">
      <c r="A369" s="1">
        <f t="shared" si="5"/>
        <v>368</v>
      </c>
      <c r="B369" s="1" t="s">
        <v>3242</v>
      </c>
      <c r="C369" s="1" t="s">
        <v>643</v>
      </c>
      <c r="D369" s="1" t="s">
        <v>3243</v>
      </c>
      <c r="E369" s="1" t="s">
        <v>3244</v>
      </c>
      <c r="F369" s="1" t="s">
        <v>3245</v>
      </c>
      <c r="G369" s="1" t="s">
        <v>3246</v>
      </c>
      <c r="H369" s="1" t="s">
        <v>3247</v>
      </c>
    </row>
    <row r="370" spans="1:8" ht="29" x14ac:dyDescent="0.35">
      <c r="A370" s="1">
        <f t="shared" si="5"/>
        <v>369</v>
      </c>
      <c r="B370" s="1" t="s">
        <v>3248</v>
      </c>
      <c r="C370" s="1" t="s">
        <v>645</v>
      </c>
      <c r="D370" s="1" t="s">
        <v>3249</v>
      </c>
      <c r="E370" s="1" t="s">
        <v>1799</v>
      </c>
      <c r="F370" s="1" t="s">
        <v>3250</v>
      </c>
      <c r="G370" s="1" t="s">
        <v>3250</v>
      </c>
      <c r="H370" s="1" t="s">
        <v>3251</v>
      </c>
    </row>
    <row r="371" spans="1:8" ht="43.5" x14ac:dyDescent="0.35">
      <c r="A371" s="1">
        <f t="shared" si="5"/>
        <v>370</v>
      </c>
      <c r="B371" s="1" t="s">
        <v>3252</v>
      </c>
      <c r="C371" s="1" t="s">
        <v>647</v>
      </c>
      <c r="D371" s="1" t="s">
        <v>3253</v>
      </c>
      <c r="E371" s="1" t="s">
        <v>1624</v>
      </c>
      <c r="F371" s="1" t="s">
        <v>3254</v>
      </c>
      <c r="G371" s="1" t="s">
        <v>3254</v>
      </c>
      <c r="H371" s="1" t="s">
        <v>3255</v>
      </c>
    </row>
    <row r="372" spans="1:8" ht="43.5" x14ac:dyDescent="0.35">
      <c r="A372" s="1">
        <f t="shared" si="5"/>
        <v>371</v>
      </c>
      <c r="B372" s="1" t="s">
        <v>3256</v>
      </c>
      <c r="C372" s="1" t="s">
        <v>649</v>
      </c>
      <c r="D372" s="1" t="s">
        <v>3257</v>
      </c>
      <c r="E372" s="1" t="s">
        <v>3258</v>
      </c>
      <c r="F372" s="1" t="s">
        <v>3259</v>
      </c>
      <c r="G372" s="1" t="s">
        <v>3259</v>
      </c>
      <c r="H372" s="1" t="s">
        <v>3260</v>
      </c>
    </row>
    <row r="373" spans="1:8" ht="43.5" x14ac:dyDescent="0.35">
      <c r="A373" s="1">
        <f t="shared" si="5"/>
        <v>372</v>
      </c>
      <c r="B373" s="1" t="s">
        <v>3261</v>
      </c>
      <c r="C373" s="1" t="s">
        <v>651</v>
      </c>
      <c r="D373" s="1" t="s">
        <v>3262</v>
      </c>
      <c r="E373" s="1" t="s">
        <v>3263</v>
      </c>
      <c r="F373" s="1" t="s">
        <v>3264</v>
      </c>
      <c r="G373" s="1" t="s">
        <v>3264</v>
      </c>
      <c r="H373" s="1" t="s">
        <v>3265</v>
      </c>
    </row>
    <row r="374" spans="1:8" ht="43.5" x14ac:dyDescent="0.35">
      <c r="A374" s="1">
        <f t="shared" si="5"/>
        <v>373</v>
      </c>
      <c r="B374" s="1" t="s">
        <v>3266</v>
      </c>
      <c r="C374" s="1" t="s">
        <v>653</v>
      </c>
      <c r="D374" s="1" t="s">
        <v>3267</v>
      </c>
      <c r="E374" s="1" t="s">
        <v>1785</v>
      </c>
      <c r="F374" s="1" t="s">
        <v>3268</v>
      </c>
      <c r="G374" s="1" t="s">
        <v>3268</v>
      </c>
      <c r="H374" s="1" t="s">
        <v>3269</v>
      </c>
    </row>
    <row r="375" spans="1:8" ht="43.5" x14ac:dyDescent="0.35">
      <c r="A375" s="1">
        <f t="shared" si="5"/>
        <v>374</v>
      </c>
      <c r="B375" s="1" t="s">
        <v>3270</v>
      </c>
      <c r="C375" s="1" t="s">
        <v>655</v>
      </c>
      <c r="D375" s="1" t="s">
        <v>3271</v>
      </c>
      <c r="E375" s="1" t="s">
        <v>1652</v>
      </c>
      <c r="F375" s="1" t="s">
        <v>3272</v>
      </c>
      <c r="G375" s="1" t="s">
        <v>3272</v>
      </c>
      <c r="H375" s="1" t="s">
        <v>3273</v>
      </c>
    </row>
    <row r="376" spans="1:8" x14ac:dyDescent="0.35">
      <c r="A376" s="1">
        <f t="shared" si="5"/>
        <v>375</v>
      </c>
      <c r="B376" s="1" t="s">
        <v>3274</v>
      </c>
      <c r="C376" s="1" t="s">
        <v>657</v>
      </c>
      <c r="D376" s="1" t="s">
        <v>3275</v>
      </c>
      <c r="E376" s="1" t="s">
        <v>3276</v>
      </c>
      <c r="F376" s="1" t="s">
        <v>3275</v>
      </c>
      <c r="G376" s="1" t="s">
        <v>3275</v>
      </c>
      <c r="H376" s="1" t="s">
        <v>3277</v>
      </c>
    </row>
    <row r="377" spans="1:8" ht="58" x14ac:dyDescent="0.35">
      <c r="A377" s="1">
        <f t="shared" si="5"/>
        <v>376</v>
      </c>
      <c r="B377" s="1" t="s">
        <v>3278</v>
      </c>
      <c r="C377" s="1" t="s">
        <v>274</v>
      </c>
      <c r="D377" s="1" t="s">
        <v>3279</v>
      </c>
      <c r="E377" s="1" t="s">
        <v>2154</v>
      </c>
      <c r="F377" s="1" t="s">
        <v>3280</v>
      </c>
      <c r="G377" s="1" t="s">
        <v>3280</v>
      </c>
      <c r="H377" s="1" t="s">
        <v>3281</v>
      </c>
    </row>
    <row r="378" spans="1:8" ht="58" x14ac:dyDescent="0.35">
      <c r="A378" s="1">
        <f t="shared" si="5"/>
        <v>377</v>
      </c>
      <c r="B378" s="1" t="s">
        <v>3282</v>
      </c>
      <c r="C378" s="1" t="s">
        <v>660</v>
      </c>
      <c r="D378" s="1" t="s">
        <v>3283</v>
      </c>
      <c r="E378" s="1" t="s">
        <v>2114</v>
      </c>
      <c r="F378" s="1" t="s">
        <v>3284</v>
      </c>
      <c r="G378" s="1" t="s">
        <v>3284</v>
      </c>
      <c r="H378" s="1" t="s">
        <v>3285</v>
      </c>
    </row>
    <row r="379" spans="1:8" ht="58" x14ac:dyDescent="0.35">
      <c r="A379" s="1">
        <f t="shared" si="5"/>
        <v>378</v>
      </c>
      <c r="B379" s="1" t="s">
        <v>3286</v>
      </c>
      <c r="C379" s="1" t="s">
        <v>662</v>
      </c>
      <c r="D379" s="1" t="s">
        <v>3287</v>
      </c>
      <c r="E379" s="1" t="s">
        <v>1906</v>
      </c>
      <c r="F379" s="1" t="s">
        <v>3288</v>
      </c>
      <c r="G379" s="1" t="s">
        <v>3288</v>
      </c>
      <c r="H379" s="1" t="s">
        <v>3289</v>
      </c>
    </row>
    <row r="380" spans="1:8" ht="58" x14ac:dyDescent="0.35">
      <c r="A380" s="1">
        <f t="shared" si="5"/>
        <v>379</v>
      </c>
      <c r="B380" s="1" t="s">
        <v>3290</v>
      </c>
      <c r="C380" s="1" t="s">
        <v>664</v>
      </c>
      <c r="D380" s="1" t="s">
        <v>3291</v>
      </c>
      <c r="E380" s="1" t="s">
        <v>2109</v>
      </c>
      <c r="F380" s="1" t="s">
        <v>3292</v>
      </c>
      <c r="G380" s="1" t="s">
        <v>3292</v>
      </c>
      <c r="H380" s="1" t="s">
        <v>3293</v>
      </c>
    </row>
    <row r="381" spans="1:8" ht="43.5" x14ac:dyDescent="0.35">
      <c r="A381" s="1">
        <f t="shared" si="5"/>
        <v>380</v>
      </c>
      <c r="B381" s="1" t="s">
        <v>3294</v>
      </c>
      <c r="C381" s="1" t="s">
        <v>666</v>
      </c>
      <c r="D381" s="1" t="s">
        <v>3295</v>
      </c>
      <c r="E381" s="1" t="s">
        <v>1785</v>
      </c>
      <c r="F381" s="1" t="s">
        <v>3296</v>
      </c>
      <c r="G381" s="1" t="s">
        <v>3296</v>
      </c>
      <c r="H381" s="1" t="s">
        <v>3297</v>
      </c>
    </row>
    <row r="382" spans="1:8" ht="58" x14ac:dyDescent="0.35">
      <c r="A382" s="1">
        <f t="shared" si="5"/>
        <v>381</v>
      </c>
      <c r="B382" s="1" t="s">
        <v>3298</v>
      </c>
      <c r="C382" s="1" t="s">
        <v>668</v>
      </c>
      <c r="D382" s="1" t="s">
        <v>3299</v>
      </c>
      <c r="E382" s="1" t="s">
        <v>1674</v>
      </c>
      <c r="F382" s="1" t="s">
        <v>3300</v>
      </c>
      <c r="G382" s="1" t="s">
        <v>3300</v>
      </c>
      <c r="H382" s="1" t="s">
        <v>3301</v>
      </c>
    </row>
    <row r="383" spans="1:8" x14ac:dyDescent="0.35">
      <c r="A383" s="1">
        <f t="shared" si="5"/>
        <v>382</v>
      </c>
      <c r="B383" s="1" t="s">
        <v>3302</v>
      </c>
      <c r="C383" s="1" t="s">
        <v>671</v>
      </c>
      <c r="D383" s="1" t="s">
        <v>3303</v>
      </c>
      <c r="E383" s="1" t="s">
        <v>1809</v>
      </c>
      <c r="F383" s="1" t="s">
        <v>3303</v>
      </c>
      <c r="G383" s="1" t="s">
        <v>3303</v>
      </c>
      <c r="H383" s="1" t="s">
        <v>3304</v>
      </c>
    </row>
    <row r="384" spans="1:8" ht="43.5" x14ac:dyDescent="0.35">
      <c r="A384" s="1">
        <f t="shared" si="5"/>
        <v>383</v>
      </c>
      <c r="B384" s="1" t="s">
        <v>3305</v>
      </c>
      <c r="C384" s="1" t="s">
        <v>673</v>
      </c>
      <c r="D384" s="1" t="s">
        <v>3306</v>
      </c>
      <c r="E384" s="1" t="s">
        <v>2387</v>
      </c>
      <c r="F384" s="1" t="s">
        <v>3307</v>
      </c>
      <c r="G384" s="1" t="s">
        <v>3308</v>
      </c>
      <c r="H384" s="1" t="s">
        <v>3309</v>
      </c>
    </row>
    <row r="385" spans="1:8" ht="43.5" x14ac:dyDescent="0.35">
      <c r="A385" s="1">
        <f t="shared" si="5"/>
        <v>384</v>
      </c>
      <c r="B385" s="1" t="s">
        <v>3310</v>
      </c>
      <c r="C385" s="1" t="s">
        <v>675</v>
      </c>
      <c r="D385" s="1" t="s">
        <v>3311</v>
      </c>
      <c r="E385" s="1" t="s">
        <v>1785</v>
      </c>
      <c r="F385" s="1" t="s">
        <v>3312</v>
      </c>
      <c r="G385" s="1" t="s">
        <v>3312</v>
      </c>
      <c r="H385" s="1" t="s">
        <v>3313</v>
      </c>
    </row>
    <row r="386" spans="1:8" ht="43.5" x14ac:dyDescent="0.35">
      <c r="A386" s="1">
        <f t="shared" si="5"/>
        <v>385</v>
      </c>
      <c r="B386" s="1" t="s">
        <v>3314</v>
      </c>
      <c r="C386" s="1" t="s">
        <v>677</v>
      </c>
      <c r="D386" s="1" t="s">
        <v>3315</v>
      </c>
      <c r="E386" s="1" t="s">
        <v>1990</v>
      </c>
      <c r="F386" s="1" t="s">
        <v>3316</v>
      </c>
      <c r="G386" s="1" t="s">
        <v>3316</v>
      </c>
      <c r="H386" s="1" t="s">
        <v>3317</v>
      </c>
    </row>
    <row r="387" spans="1:8" ht="58" x14ac:dyDescent="0.35">
      <c r="A387" s="1">
        <f t="shared" si="5"/>
        <v>386</v>
      </c>
      <c r="B387" s="1" t="s">
        <v>3318</v>
      </c>
      <c r="C387" s="1" t="s">
        <v>679</v>
      </c>
      <c r="D387" s="1" t="s">
        <v>3319</v>
      </c>
      <c r="E387" s="1" t="s">
        <v>1758</v>
      </c>
      <c r="F387" s="1" t="s">
        <v>3320</v>
      </c>
      <c r="G387" s="1" t="s">
        <v>3321</v>
      </c>
      <c r="H387" s="1" t="s">
        <v>3322</v>
      </c>
    </row>
    <row r="388" spans="1:8" ht="29" x14ac:dyDescent="0.35">
      <c r="A388" s="1">
        <f t="shared" ref="A388:A451" si="6">SUM(A387+1)</f>
        <v>387</v>
      </c>
      <c r="B388" s="1" t="s">
        <v>3323</v>
      </c>
      <c r="C388" s="1" t="s">
        <v>681</v>
      </c>
      <c r="D388" s="1" t="s">
        <v>3324</v>
      </c>
      <c r="E388" s="1" t="s">
        <v>1844</v>
      </c>
      <c r="F388" s="1" t="s">
        <v>3325</v>
      </c>
      <c r="G388" s="1" t="s">
        <v>3325</v>
      </c>
      <c r="H388" s="1" t="s">
        <v>3326</v>
      </c>
    </row>
    <row r="389" spans="1:8" ht="43.5" x14ac:dyDescent="0.35">
      <c r="A389" s="1">
        <f t="shared" si="6"/>
        <v>388</v>
      </c>
      <c r="B389" s="1" t="s">
        <v>3327</v>
      </c>
      <c r="C389" s="1" t="s">
        <v>683</v>
      </c>
      <c r="D389" s="1" t="s">
        <v>3328</v>
      </c>
      <c r="E389" s="1" t="s">
        <v>3329</v>
      </c>
      <c r="F389" s="1" t="s">
        <v>3330</v>
      </c>
      <c r="G389" s="1" t="s">
        <v>3330</v>
      </c>
      <c r="H389" s="1" t="s">
        <v>3331</v>
      </c>
    </row>
    <row r="390" spans="1:8" ht="58" x14ac:dyDescent="0.35">
      <c r="A390" s="1">
        <f t="shared" si="6"/>
        <v>389</v>
      </c>
      <c r="B390" s="1" t="s">
        <v>3332</v>
      </c>
      <c r="C390" s="1" t="s">
        <v>685</v>
      </c>
      <c r="D390" s="1" t="s">
        <v>3333</v>
      </c>
      <c r="E390" s="1" t="s">
        <v>1607</v>
      </c>
      <c r="F390" s="1" t="s">
        <v>3334</v>
      </c>
      <c r="G390" s="1" t="s">
        <v>3335</v>
      </c>
      <c r="H390" s="1" t="s">
        <v>3336</v>
      </c>
    </row>
    <row r="391" spans="1:8" ht="29" x14ac:dyDescent="0.35">
      <c r="A391" s="1">
        <f t="shared" si="6"/>
        <v>390</v>
      </c>
      <c r="B391" s="1" t="s">
        <v>3337</v>
      </c>
      <c r="C391" s="1" t="s">
        <v>687</v>
      </c>
      <c r="D391" s="1" t="s">
        <v>3338</v>
      </c>
      <c r="E391" s="1" t="s">
        <v>2229</v>
      </c>
      <c r="F391" s="1" t="s">
        <v>3339</v>
      </c>
      <c r="G391" s="1" t="s">
        <v>3339</v>
      </c>
      <c r="H391" s="1" t="s">
        <v>3340</v>
      </c>
    </row>
    <row r="392" spans="1:8" ht="43.5" x14ac:dyDescent="0.35">
      <c r="A392" s="1">
        <f t="shared" si="6"/>
        <v>391</v>
      </c>
      <c r="B392" s="1" t="s">
        <v>3341</v>
      </c>
      <c r="C392" s="1" t="s">
        <v>689</v>
      </c>
      <c r="D392" s="1" t="s">
        <v>3342</v>
      </c>
      <c r="E392" s="1" t="s">
        <v>2748</v>
      </c>
      <c r="F392" s="1" t="s">
        <v>3343</v>
      </c>
      <c r="G392" s="1" t="s">
        <v>3343</v>
      </c>
      <c r="H392" s="1" t="s">
        <v>3344</v>
      </c>
    </row>
    <row r="393" spans="1:8" ht="29" x14ac:dyDescent="0.35">
      <c r="A393" s="1">
        <f t="shared" si="6"/>
        <v>392</v>
      </c>
      <c r="B393" s="1" t="s">
        <v>3345</v>
      </c>
      <c r="C393" s="1" t="s">
        <v>691</v>
      </c>
      <c r="D393" s="1" t="s">
        <v>3346</v>
      </c>
      <c r="E393" s="1" t="s">
        <v>1730</v>
      </c>
      <c r="F393" s="1" t="s">
        <v>3347</v>
      </c>
      <c r="G393" s="1" t="s">
        <v>3348</v>
      </c>
      <c r="H393" s="1" t="s">
        <v>3349</v>
      </c>
    </row>
    <row r="394" spans="1:8" ht="58" x14ac:dyDescent="0.35">
      <c r="A394" s="1">
        <f t="shared" si="6"/>
        <v>393</v>
      </c>
      <c r="B394" s="1" t="s">
        <v>3350</v>
      </c>
      <c r="C394" s="1" t="s">
        <v>693</v>
      </c>
      <c r="D394" s="1" t="s">
        <v>3351</v>
      </c>
      <c r="E394" s="1" t="s">
        <v>2558</v>
      </c>
      <c r="F394" s="1" t="s">
        <v>3352</v>
      </c>
      <c r="G394" s="1" t="s">
        <v>3353</v>
      </c>
      <c r="H394" s="1" t="s">
        <v>3354</v>
      </c>
    </row>
    <row r="395" spans="1:8" ht="43.5" x14ac:dyDescent="0.35">
      <c r="A395" s="1">
        <f t="shared" si="6"/>
        <v>394</v>
      </c>
      <c r="B395" s="1" t="s">
        <v>3359</v>
      </c>
      <c r="C395" s="1" t="s">
        <v>697</v>
      </c>
      <c r="D395" s="1" t="s">
        <v>3360</v>
      </c>
      <c r="E395" s="1" t="s">
        <v>2862</v>
      </c>
      <c r="F395" s="1" t="s">
        <v>3361</v>
      </c>
      <c r="G395" s="1" t="s">
        <v>3361</v>
      </c>
      <c r="H395" s="1" t="s">
        <v>3362</v>
      </c>
    </row>
    <row r="396" spans="1:8" x14ac:dyDescent="0.35">
      <c r="A396" s="1">
        <f t="shared" si="6"/>
        <v>395</v>
      </c>
      <c r="B396" s="1" t="s">
        <v>3355</v>
      </c>
      <c r="C396" s="1" t="s">
        <v>699</v>
      </c>
      <c r="D396" s="1" t="s">
        <v>3356</v>
      </c>
      <c r="E396" s="1" t="s">
        <v>3357</v>
      </c>
      <c r="F396" s="1" t="s">
        <v>3356</v>
      </c>
      <c r="G396" s="1" t="s">
        <v>3356</v>
      </c>
      <c r="H396" s="1" t="s">
        <v>3358</v>
      </c>
    </row>
    <row r="397" spans="1:8" ht="29" x14ac:dyDescent="0.35">
      <c r="A397" s="1">
        <f t="shared" si="6"/>
        <v>396</v>
      </c>
      <c r="B397" s="1" t="s">
        <v>3363</v>
      </c>
      <c r="C397" s="1" t="s">
        <v>701</v>
      </c>
      <c r="D397" s="1" t="s">
        <v>3364</v>
      </c>
      <c r="E397" s="1" t="s">
        <v>3365</v>
      </c>
      <c r="F397" s="1" t="s">
        <v>3364</v>
      </c>
      <c r="G397" s="1" t="s">
        <v>3366</v>
      </c>
      <c r="H397" s="1" t="s">
        <v>3367</v>
      </c>
    </row>
    <row r="398" spans="1:8" ht="58" x14ac:dyDescent="0.35">
      <c r="A398" s="1">
        <f t="shared" si="6"/>
        <v>397</v>
      </c>
      <c r="B398" s="1" t="s">
        <v>3368</v>
      </c>
      <c r="C398" s="1" t="s">
        <v>703</v>
      </c>
      <c r="D398" s="1" t="s">
        <v>3369</v>
      </c>
      <c r="E398" s="1" t="s">
        <v>2299</v>
      </c>
      <c r="F398" s="1" t="s">
        <v>3370</v>
      </c>
      <c r="G398" s="1" t="s">
        <v>3371</v>
      </c>
      <c r="H398" s="1" t="s">
        <v>3372</v>
      </c>
    </row>
    <row r="399" spans="1:8" x14ac:dyDescent="0.35">
      <c r="A399" s="1">
        <f t="shared" si="6"/>
        <v>398</v>
      </c>
      <c r="B399" s="1" t="s">
        <v>3373</v>
      </c>
      <c r="C399" s="1" t="s">
        <v>705</v>
      </c>
      <c r="D399" s="1" t="s">
        <v>3374</v>
      </c>
      <c r="E399" s="1" t="s">
        <v>3131</v>
      </c>
      <c r="F399" s="1" t="s">
        <v>3374</v>
      </c>
      <c r="G399" s="1" t="s">
        <v>3374</v>
      </c>
      <c r="H399" s="1" t="s">
        <v>3375</v>
      </c>
    </row>
    <row r="400" spans="1:8" ht="58" x14ac:dyDescent="0.35">
      <c r="A400" s="1">
        <f t="shared" si="6"/>
        <v>399</v>
      </c>
      <c r="B400" s="1" t="s">
        <v>3376</v>
      </c>
      <c r="C400" s="1" t="s">
        <v>703</v>
      </c>
      <c r="D400" s="1" t="s">
        <v>3377</v>
      </c>
      <c r="E400" s="1" t="s">
        <v>2041</v>
      </c>
      <c r="F400" s="1" t="s">
        <v>3378</v>
      </c>
      <c r="G400" s="1" t="s">
        <v>3378</v>
      </c>
      <c r="H400" s="1" t="s">
        <v>3379</v>
      </c>
    </row>
    <row r="401" spans="1:8" ht="58" x14ac:dyDescent="0.35">
      <c r="A401" s="1">
        <f t="shared" si="6"/>
        <v>400</v>
      </c>
      <c r="B401" s="1" t="s">
        <v>3380</v>
      </c>
      <c r="C401" s="1" t="s">
        <v>157</v>
      </c>
      <c r="D401" s="1" t="s">
        <v>3381</v>
      </c>
      <c r="E401" s="1" t="s">
        <v>2149</v>
      </c>
      <c r="F401" s="1" t="s">
        <v>3382</v>
      </c>
      <c r="G401" s="1" t="s">
        <v>3382</v>
      </c>
      <c r="H401" s="1" t="s">
        <v>3383</v>
      </c>
    </row>
    <row r="402" spans="1:8" ht="29" x14ac:dyDescent="0.35">
      <c r="A402" s="1">
        <f t="shared" si="6"/>
        <v>401</v>
      </c>
      <c r="B402" s="1" t="s">
        <v>3384</v>
      </c>
      <c r="C402" s="1" t="s">
        <v>711</v>
      </c>
      <c r="D402" s="1" t="s">
        <v>3385</v>
      </c>
      <c r="E402" s="1" t="s">
        <v>1735</v>
      </c>
      <c r="F402" s="1" t="s">
        <v>3386</v>
      </c>
      <c r="G402" s="1" t="s">
        <v>3386</v>
      </c>
      <c r="H402" s="1" t="s">
        <v>3387</v>
      </c>
    </row>
    <row r="403" spans="1:8" ht="29" x14ac:dyDescent="0.35">
      <c r="A403" s="1">
        <f t="shared" si="6"/>
        <v>402</v>
      </c>
      <c r="B403" s="1" t="s">
        <v>3388</v>
      </c>
      <c r="C403" s="1" t="s">
        <v>713</v>
      </c>
      <c r="D403" s="1" t="s">
        <v>3389</v>
      </c>
      <c r="E403" s="1" t="s">
        <v>1730</v>
      </c>
      <c r="F403" s="1" t="s">
        <v>3390</v>
      </c>
      <c r="G403" s="1" t="s">
        <v>3390</v>
      </c>
      <c r="H403" s="1" t="s">
        <v>3391</v>
      </c>
    </row>
    <row r="404" spans="1:8" ht="43.5" x14ac:dyDescent="0.35">
      <c r="A404" s="1">
        <f t="shared" si="6"/>
        <v>403</v>
      </c>
      <c r="B404" s="1" t="s">
        <v>3392</v>
      </c>
      <c r="C404" s="1" t="s">
        <v>715</v>
      </c>
      <c r="D404" s="1" t="s">
        <v>3393</v>
      </c>
      <c r="E404" s="1" t="s">
        <v>2210</v>
      </c>
      <c r="F404" s="1" t="s">
        <v>3394</v>
      </c>
      <c r="G404" s="1" t="s">
        <v>3395</v>
      </c>
      <c r="H404" s="1" t="s">
        <v>3396</v>
      </c>
    </row>
    <row r="405" spans="1:8" ht="58" x14ac:dyDescent="0.35">
      <c r="A405" s="1">
        <f t="shared" si="6"/>
        <v>404</v>
      </c>
      <c r="B405" s="1" t="s">
        <v>3397</v>
      </c>
      <c r="C405" s="1" t="s">
        <v>76</v>
      </c>
      <c r="D405" s="1" t="s">
        <v>3398</v>
      </c>
      <c r="E405" s="1" t="s">
        <v>1853</v>
      </c>
      <c r="F405" s="1" t="s">
        <v>3399</v>
      </c>
      <c r="G405" s="1" t="s">
        <v>3399</v>
      </c>
      <c r="H405" s="1" t="s">
        <v>3400</v>
      </c>
    </row>
    <row r="406" spans="1:8" ht="43.5" x14ac:dyDescent="0.35">
      <c r="A406" s="1">
        <f t="shared" si="6"/>
        <v>405</v>
      </c>
      <c r="B406" s="1" t="s">
        <v>3401</v>
      </c>
      <c r="C406" s="1" t="s">
        <v>718</v>
      </c>
      <c r="D406" s="1" t="s">
        <v>3402</v>
      </c>
      <c r="E406" s="1" t="s">
        <v>2748</v>
      </c>
      <c r="F406" s="1" t="s">
        <v>3403</v>
      </c>
      <c r="G406" s="1" t="s">
        <v>3403</v>
      </c>
      <c r="H406" s="1" t="s">
        <v>3404</v>
      </c>
    </row>
    <row r="407" spans="1:8" ht="58" x14ac:dyDescent="0.35">
      <c r="A407" s="1">
        <f t="shared" si="6"/>
        <v>406</v>
      </c>
      <c r="B407" s="1" t="s">
        <v>3405</v>
      </c>
      <c r="C407" s="1" t="s">
        <v>105</v>
      </c>
      <c r="D407" s="1" t="s">
        <v>3406</v>
      </c>
      <c r="E407" s="1" t="s">
        <v>2599</v>
      </c>
      <c r="F407" s="1" t="s">
        <v>3407</v>
      </c>
      <c r="G407" s="1" t="s">
        <v>3407</v>
      </c>
      <c r="H407" s="1" t="s">
        <v>3408</v>
      </c>
    </row>
    <row r="408" spans="1:8" ht="58" x14ac:dyDescent="0.35">
      <c r="A408" s="1">
        <f t="shared" si="6"/>
        <v>407</v>
      </c>
      <c r="B408" s="1" t="s">
        <v>3409</v>
      </c>
      <c r="C408" s="1" t="s">
        <v>721</v>
      </c>
      <c r="D408" s="1" t="s">
        <v>3410</v>
      </c>
      <c r="E408" s="1" t="s">
        <v>2143</v>
      </c>
      <c r="F408" s="1" t="s">
        <v>3411</v>
      </c>
      <c r="G408" s="1" t="s">
        <v>3411</v>
      </c>
      <c r="H408" s="1" t="s">
        <v>3412</v>
      </c>
    </row>
    <row r="409" spans="1:8" ht="58" x14ac:dyDescent="0.35">
      <c r="A409" s="1">
        <f t="shared" si="6"/>
        <v>408</v>
      </c>
      <c r="B409" s="1" t="s">
        <v>3413</v>
      </c>
      <c r="C409" s="1" t="s">
        <v>653</v>
      </c>
      <c r="D409" s="1" t="s">
        <v>3414</v>
      </c>
      <c r="E409" s="1" t="s">
        <v>2640</v>
      </c>
      <c r="F409" s="1" t="s">
        <v>3415</v>
      </c>
      <c r="G409" s="1" t="s">
        <v>3415</v>
      </c>
      <c r="H409" s="1" t="s">
        <v>3416</v>
      </c>
    </row>
    <row r="410" spans="1:8" ht="58" x14ac:dyDescent="0.35">
      <c r="A410" s="1">
        <f t="shared" si="6"/>
        <v>409</v>
      </c>
      <c r="B410" s="1" t="s">
        <v>3417</v>
      </c>
      <c r="C410" s="1" t="s">
        <v>510</v>
      </c>
      <c r="D410" s="1" t="s">
        <v>3418</v>
      </c>
      <c r="E410" s="1" t="s">
        <v>2640</v>
      </c>
      <c r="F410" s="1" t="s">
        <v>3419</v>
      </c>
      <c r="G410" s="1" t="s">
        <v>3419</v>
      </c>
      <c r="H410" s="1" t="s">
        <v>3420</v>
      </c>
    </row>
    <row r="411" spans="1:8" ht="58" x14ac:dyDescent="0.35">
      <c r="A411" s="1">
        <f t="shared" si="6"/>
        <v>410</v>
      </c>
      <c r="B411" s="1" t="s">
        <v>3421</v>
      </c>
      <c r="C411" s="1" t="s">
        <v>172</v>
      </c>
      <c r="D411" s="1" t="s">
        <v>3422</v>
      </c>
      <c r="E411" s="1" t="s">
        <v>2109</v>
      </c>
      <c r="F411" s="1" t="s">
        <v>3423</v>
      </c>
      <c r="G411" s="1" t="s">
        <v>3423</v>
      </c>
      <c r="H411" s="1" t="s">
        <v>3424</v>
      </c>
    </row>
    <row r="412" spans="1:8" x14ac:dyDescent="0.35">
      <c r="A412" s="1">
        <f t="shared" si="6"/>
        <v>411</v>
      </c>
      <c r="B412" s="1" t="s">
        <v>3425</v>
      </c>
      <c r="C412" s="1" t="s">
        <v>726</v>
      </c>
      <c r="D412" s="1" t="s">
        <v>3426</v>
      </c>
      <c r="E412" s="1" t="s">
        <v>1844</v>
      </c>
      <c r="F412" s="1" t="s">
        <v>3427</v>
      </c>
      <c r="G412" s="1" t="s">
        <v>3428</v>
      </c>
      <c r="H412" s="1" t="s">
        <v>3429</v>
      </c>
    </row>
    <row r="413" spans="1:8" ht="58" x14ac:dyDescent="0.35">
      <c r="A413" s="1">
        <f t="shared" si="6"/>
        <v>412</v>
      </c>
      <c r="B413" s="1" t="s">
        <v>3430</v>
      </c>
      <c r="C413" s="1" t="s">
        <v>565</v>
      </c>
      <c r="D413" s="1" t="s">
        <v>3431</v>
      </c>
      <c r="E413" s="1" t="s">
        <v>2082</v>
      </c>
      <c r="F413" s="1" t="s">
        <v>3432</v>
      </c>
      <c r="G413" s="1" t="s">
        <v>3432</v>
      </c>
      <c r="H413" s="1" t="s">
        <v>3433</v>
      </c>
    </row>
    <row r="414" spans="1:8" ht="58" x14ac:dyDescent="0.35">
      <c r="A414" s="1">
        <f t="shared" si="6"/>
        <v>413</v>
      </c>
      <c r="B414" s="1" t="s">
        <v>3434</v>
      </c>
      <c r="C414" s="1" t="s">
        <v>442</v>
      </c>
      <c r="D414" s="1" t="s">
        <v>3435</v>
      </c>
      <c r="E414" s="1" t="s">
        <v>1629</v>
      </c>
      <c r="F414" s="1" t="s">
        <v>3436</v>
      </c>
      <c r="G414" s="1" t="s">
        <v>3436</v>
      </c>
      <c r="H414" s="1" t="s">
        <v>3437</v>
      </c>
    </row>
    <row r="415" spans="1:8" ht="43.5" x14ac:dyDescent="0.35">
      <c r="A415" s="1">
        <f t="shared" si="6"/>
        <v>414</v>
      </c>
      <c r="B415" s="1" t="s">
        <v>3438</v>
      </c>
      <c r="C415" s="1" t="s">
        <v>730</v>
      </c>
      <c r="D415" s="1" t="s">
        <v>3439</v>
      </c>
      <c r="E415" s="1" t="s">
        <v>2253</v>
      </c>
      <c r="F415" s="1" t="s">
        <v>3440</v>
      </c>
      <c r="G415" s="1" t="s">
        <v>3441</v>
      </c>
      <c r="H415" s="1" t="s">
        <v>3442</v>
      </c>
    </row>
    <row r="416" spans="1:8" ht="72.5" x14ac:dyDescent="0.35">
      <c r="A416" s="1">
        <f t="shared" si="6"/>
        <v>415</v>
      </c>
      <c r="B416" s="1" t="s">
        <v>3443</v>
      </c>
      <c r="C416" s="1" t="s">
        <v>732</v>
      </c>
      <c r="D416" s="1" t="s">
        <v>3444</v>
      </c>
      <c r="E416" s="1" t="s">
        <v>3445</v>
      </c>
      <c r="F416" s="1" t="s">
        <v>3446</v>
      </c>
      <c r="G416" s="1" t="s">
        <v>3446</v>
      </c>
      <c r="H416" s="1" t="s">
        <v>3447</v>
      </c>
    </row>
    <row r="417" spans="1:8" ht="29" x14ac:dyDescent="0.35">
      <c r="A417" s="1">
        <f t="shared" si="6"/>
        <v>416</v>
      </c>
      <c r="B417" s="1" t="s">
        <v>3448</v>
      </c>
      <c r="C417" s="1" t="s">
        <v>734</v>
      </c>
      <c r="D417" s="1" t="s">
        <v>3449</v>
      </c>
      <c r="E417" s="1" t="s">
        <v>1799</v>
      </c>
      <c r="F417" s="1" t="s">
        <v>3450</v>
      </c>
      <c r="G417" s="1" t="s">
        <v>3450</v>
      </c>
      <c r="H417" s="1" t="s">
        <v>3451</v>
      </c>
    </row>
    <row r="418" spans="1:8" ht="58" x14ac:dyDescent="0.35">
      <c r="A418" s="1">
        <f t="shared" si="6"/>
        <v>417</v>
      </c>
      <c r="B418" s="1" t="s">
        <v>3452</v>
      </c>
      <c r="C418" s="1" t="s">
        <v>703</v>
      </c>
      <c r="D418" s="1" t="s">
        <v>3453</v>
      </c>
      <c r="E418" s="1" t="s">
        <v>3454</v>
      </c>
      <c r="F418" s="1" t="s">
        <v>3455</v>
      </c>
      <c r="G418" s="1" t="s">
        <v>3455</v>
      </c>
      <c r="H418" s="1" t="s">
        <v>3456</v>
      </c>
    </row>
    <row r="419" spans="1:8" ht="58" x14ac:dyDescent="0.35">
      <c r="A419" s="1">
        <f t="shared" si="6"/>
        <v>418</v>
      </c>
      <c r="B419" s="1" t="s">
        <v>3457</v>
      </c>
      <c r="C419" s="1" t="s">
        <v>737</v>
      </c>
      <c r="D419" s="1" t="s">
        <v>3458</v>
      </c>
      <c r="E419" s="1" t="s">
        <v>3459</v>
      </c>
      <c r="F419" s="1" t="s">
        <v>3460</v>
      </c>
      <c r="G419" s="1" t="s">
        <v>3460</v>
      </c>
      <c r="H419" s="1" t="s">
        <v>3461</v>
      </c>
    </row>
    <row r="420" spans="1:8" ht="43.5" x14ac:dyDescent="0.35">
      <c r="A420" s="1">
        <f t="shared" si="6"/>
        <v>419</v>
      </c>
      <c r="B420" s="1" t="s">
        <v>3462</v>
      </c>
      <c r="C420" s="1" t="s">
        <v>739</v>
      </c>
      <c r="D420" s="1" t="s">
        <v>3463</v>
      </c>
      <c r="E420" s="1" t="s">
        <v>1607</v>
      </c>
      <c r="F420" s="1" t="s">
        <v>3464</v>
      </c>
      <c r="G420" s="1" t="s">
        <v>3464</v>
      </c>
      <c r="H420" s="1" t="s">
        <v>3465</v>
      </c>
    </row>
    <row r="421" spans="1:8" ht="43.5" x14ac:dyDescent="0.35">
      <c r="A421" s="1">
        <f t="shared" si="6"/>
        <v>420</v>
      </c>
      <c r="B421" s="1" t="s">
        <v>3466</v>
      </c>
      <c r="C421" s="1" t="s">
        <v>739</v>
      </c>
      <c r="D421" s="1" t="s">
        <v>3467</v>
      </c>
      <c r="E421" s="1" t="s">
        <v>3468</v>
      </c>
      <c r="F421" s="1" t="s">
        <v>3469</v>
      </c>
      <c r="G421" s="1" t="s">
        <v>3469</v>
      </c>
      <c r="H421" s="1" t="s">
        <v>3470</v>
      </c>
    </row>
    <row r="422" spans="1:8" ht="43.5" x14ac:dyDescent="0.35">
      <c r="A422" s="1">
        <f t="shared" si="6"/>
        <v>421</v>
      </c>
      <c r="B422" s="1" t="s">
        <v>3471</v>
      </c>
      <c r="C422" s="1" t="s">
        <v>742</v>
      </c>
      <c r="D422" s="1" t="s">
        <v>3472</v>
      </c>
      <c r="E422" s="1" t="s">
        <v>1686</v>
      </c>
      <c r="F422" s="1" t="s">
        <v>3473</v>
      </c>
      <c r="G422" s="1" t="s">
        <v>3473</v>
      </c>
      <c r="H422" s="1" t="s">
        <v>3474</v>
      </c>
    </row>
    <row r="423" spans="1:8" ht="58" x14ac:dyDescent="0.35">
      <c r="A423" s="1">
        <f t="shared" si="6"/>
        <v>422</v>
      </c>
      <c r="B423" s="1" t="s">
        <v>3475</v>
      </c>
      <c r="C423" s="1" t="s">
        <v>379</v>
      </c>
      <c r="D423" s="1" t="s">
        <v>3476</v>
      </c>
      <c r="E423" s="1" t="s">
        <v>2159</v>
      </c>
      <c r="F423" s="1" t="s">
        <v>3477</v>
      </c>
      <c r="G423" s="1" t="s">
        <v>3477</v>
      </c>
      <c r="H423" s="1" t="s">
        <v>3478</v>
      </c>
    </row>
    <row r="424" spans="1:8" ht="58" x14ac:dyDescent="0.35">
      <c r="A424" s="1">
        <f t="shared" si="6"/>
        <v>423</v>
      </c>
      <c r="B424" s="1" t="s">
        <v>3479</v>
      </c>
      <c r="C424" s="1" t="s">
        <v>746</v>
      </c>
      <c r="D424" s="1" t="s">
        <v>3480</v>
      </c>
      <c r="E424" s="1" t="s">
        <v>3481</v>
      </c>
      <c r="F424" s="1" t="s">
        <v>3482</v>
      </c>
      <c r="G424" s="1" t="s">
        <v>3482</v>
      </c>
      <c r="H424" s="1" t="s">
        <v>3483</v>
      </c>
    </row>
    <row r="425" spans="1:8" ht="58" x14ac:dyDescent="0.35">
      <c r="A425" s="1">
        <f t="shared" si="6"/>
        <v>424</v>
      </c>
      <c r="B425" s="1" t="s">
        <v>3484</v>
      </c>
      <c r="C425" s="1" t="s">
        <v>748</v>
      </c>
      <c r="D425" s="1" t="s">
        <v>3485</v>
      </c>
      <c r="E425" s="1" t="s">
        <v>2069</v>
      </c>
      <c r="F425" s="1" t="s">
        <v>3486</v>
      </c>
      <c r="G425" s="1" t="s">
        <v>3487</v>
      </c>
      <c r="H425" s="1" t="s">
        <v>3488</v>
      </c>
    </row>
    <row r="426" spans="1:8" ht="43.5" x14ac:dyDescent="0.35">
      <c r="A426" s="1">
        <f t="shared" si="6"/>
        <v>425</v>
      </c>
      <c r="B426" s="1" t="s">
        <v>3489</v>
      </c>
      <c r="C426" s="1" t="s">
        <v>750</v>
      </c>
      <c r="D426" s="1" t="s">
        <v>3490</v>
      </c>
      <c r="E426" s="1" t="s">
        <v>1990</v>
      </c>
      <c r="F426" s="1" t="s">
        <v>3491</v>
      </c>
      <c r="G426" s="1" t="s">
        <v>3491</v>
      </c>
      <c r="H426" s="1" t="s">
        <v>3492</v>
      </c>
    </row>
    <row r="427" spans="1:8" ht="29" x14ac:dyDescent="0.35">
      <c r="A427" s="1">
        <f t="shared" si="6"/>
        <v>426</v>
      </c>
      <c r="B427" s="1" t="s">
        <v>3493</v>
      </c>
      <c r="C427" s="1" t="s">
        <v>752</v>
      </c>
      <c r="D427" s="1" t="s">
        <v>3494</v>
      </c>
      <c r="E427" s="1" t="s">
        <v>2229</v>
      </c>
      <c r="F427" s="1" t="s">
        <v>3495</v>
      </c>
      <c r="G427" s="1" t="s">
        <v>3495</v>
      </c>
      <c r="H427" s="1" t="s">
        <v>3496</v>
      </c>
    </row>
    <row r="428" spans="1:8" ht="58" x14ac:dyDescent="0.35">
      <c r="A428" s="1">
        <f t="shared" si="6"/>
        <v>427</v>
      </c>
      <c r="B428" s="1" t="s">
        <v>3497</v>
      </c>
      <c r="C428" s="1" t="s">
        <v>754</v>
      </c>
      <c r="D428" s="1" t="s">
        <v>3498</v>
      </c>
      <c r="E428" s="1" t="s">
        <v>2609</v>
      </c>
      <c r="F428" s="1" t="s">
        <v>3499</v>
      </c>
      <c r="G428" s="1" t="s">
        <v>3500</v>
      </c>
      <c r="H428" s="1" t="s">
        <v>3501</v>
      </c>
    </row>
    <row r="429" spans="1:8" ht="58" x14ac:dyDescent="0.35">
      <c r="A429" s="1">
        <f t="shared" si="6"/>
        <v>428</v>
      </c>
      <c r="B429" s="1" t="s">
        <v>3502</v>
      </c>
      <c r="C429" s="1" t="s">
        <v>754</v>
      </c>
      <c r="D429" s="1" t="s">
        <v>3503</v>
      </c>
      <c r="E429" s="1" t="s">
        <v>2299</v>
      </c>
      <c r="F429" s="1" t="s">
        <v>3504</v>
      </c>
      <c r="G429" s="1" t="s">
        <v>3505</v>
      </c>
      <c r="H429" s="1" t="s">
        <v>3506</v>
      </c>
    </row>
    <row r="430" spans="1:8" ht="43.5" x14ac:dyDescent="0.35">
      <c r="A430" s="1">
        <f t="shared" si="6"/>
        <v>429</v>
      </c>
      <c r="B430" s="1" t="s">
        <v>3507</v>
      </c>
      <c r="C430" s="1" t="s">
        <v>757</v>
      </c>
      <c r="D430" s="1" t="s">
        <v>3508</v>
      </c>
      <c r="E430" s="1" t="s">
        <v>2782</v>
      </c>
      <c r="F430" s="1" t="s">
        <v>3509</v>
      </c>
      <c r="G430" s="1" t="s">
        <v>3510</v>
      </c>
      <c r="H430" s="1" t="s">
        <v>3511</v>
      </c>
    </row>
    <row r="431" spans="1:8" ht="43.5" x14ac:dyDescent="0.35">
      <c r="A431" s="1">
        <f t="shared" si="6"/>
        <v>430</v>
      </c>
      <c r="B431" s="1" t="s">
        <v>3512</v>
      </c>
      <c r="C431" s="1" t="s">
        <v>442</v>
      </c>
      <c r="D431" s="1" t="s">
        <v>3513</v>
      </c>
      <c r="E431" s="1" t="s">
        <v>1652</v>
      </c>
      <c r="F431" s="1" t="s">
        <v>3514</v>
      </c>
      <c r="G431" s="1" t="s">
        <v>3514</v>
      </c>
      <c r="H431" s="1" t="s">
        <v>3515</v>
      </c>
    </row>
    <row r="432" spans="1:8" ht="43.5" x14ac:dyDescent="0.35">
      <c r="A432" s="1">
        <f t="shared" si="6"/>
        <v>431</v>
      </c>
      <c r="B432" s="1" t="s">
        <v>3516</v>
      </c>
      <c r="C432" s="1" t="s">
        <v>760</v>
      </c>
      <c r="D432" s="1" t="s">
        <v>3517</v>
      </c>
      <c r="E432" s="1" t="s">
        <v>1624</v>
      </c>
      <c r="F432" s="1" t="s">
        <v>3518</v>
      </c>
      <c r="G432" s="1" t="s">
        <v>3519</v>
      </c>
      <c r="H432" s="1" t="s">
        <v>3520</v>
      </c>
    </row>
    <row r="433" spans="1:8" ht="43.5" x14ac:dyDescent="0.35">
      <c r="A433" s="1">
        <f t="shared" si="6"/>
        <v>432</v>
      </c>
      <c r="B433" s="1" t="s">
        <v>3521</v>
      </c>
      <c r="C433" s="1" t="s">
        <v>762</v>
      </c>
      <c r="D433" s="1" t="s">
        <v>3522</v>
      </c>
      <c r="E433" s="1" t="s">
        <v>2272</v>
      </c>
      <c r="F433" s="1" t="s">
        <v>3523</v>
      </c>
      <c r="G433" s="1" t="s">
        <v>3523</v>
      </c>
      <c r="H433" s="1" t="s">
        <v>3524</v>
      </c>
    </row>
    <row r="434" spans="1:8" ht="58" x14ac:dyDescent="0.35">
      <c r="A434" s="1">
        <f t="shared" si="6"/>
        <v>433</v>
      </c>
      <c r="B434" s="1" t="s">
        <v>3525</v>
      </c>
      <c r="C434" s="1" t="s">
        <v>764</v>
      </c>
      <c r="D434" s="1" t="s">
        <v>3526</v>
      </c>
      <c r="E434" s="1" t="s">
        <v>1707</v>
      </c>
      <c r="F434" s="1" t="s">
        <v>3527</v>
      </c>
      <c r="G434" s="1" t="s">
        <v>3527</v>
      </c>
      <c r="H434" s="1" t="s">
        <v>3528</v>
      </c>
    </row>
    <row r="435" spans="1:8" ht="58" x14ac:dyDescent="0.35">
      <c r="A435" s="1">
        <f t="shared" si="6"/>
        <v>434</v>
      </c>
      <c r="B435" s="1" t="s">
        <v>3529</v>
      </c>
      <c r="C435" s="1" t="s">
        <v>766</v>
      </c>
      <c r="D435" s="1" t="s">
        <v>3530</v>
      </c>
      <c r="E435" s="1" t="s">
        <v>1758</v>
      </c>
      <c r="F435" s="1" t="s">
        <v>3531</v>
      </c>
      <c r="G435" s="1" t="s">
        <v>3531</v>
      </c>
      <c r="H435" s="1" t="s">
        <v>3532</v>
      </c>
    </row>
    <row r="436" spans="1:8" ht="58" x14ac:dyDescent="0.35">
      <c r="A436" s="1">
        <f t="shared" si="6"/>
        <v>435</v>
      </c>
      <c r="B436" s="1" t="s">
        <v>3533</v>
      </c>
      <c r="C436" s="1" t="s">
        <v>561</v>
      </c>
      <c r="D436" s="1" t="s">
        <v>3534</v>
      </c>
      <c r="E436" s="1" t="s">
        <v>2335</v>
      </c>
      <c r="F436" s="1" t="s">
        <v>3535</v>
      </c>
      <c r="G436" s="1" t="s">
        <v>3535</v>
      </c>
      <c r="H436" s="1" t="s">
        <v>3536</v>
      </c>
    </row>
    <row r="437" spans="1:8" ht="58" x14ac:dyDescent="0.35">
      <c r="A437" s="1">
        <f t="shared" si="6"/>
        <v>436</v>
      </c>
      <c r="B437" s="1" t="s">
        <v>3537</v>
      </c>
      <c r="C437" s="1" t="s">
        <v>76</v>
      </c>
      <c r="D437" s="1" t="s">
        <v>3538</v>
      </c>
      <c r="E437" s="1" t="s">
        <v>3539</v>
      </c>
      <c r="F437" s="1" t="s">
        <v>3540</v>
      </c>
      <c r="G437" s="1" t="s">
        <v>3540</v>
      </c>
      <c r="H437" s="1" t="s">
        <v>3541</v>
      </c>
    </row>
    <row r="438" spans="1:8" x14ac:dyDescent="0.35">
      <c r="A438" s="1">
        <f t="shared" si="6"/>
        <v>437</v>
      </c>
      <c r="B438" s="1" t="s">
        <v>3542</v>
      </c>
      <c r="C438" s="1" t="s">
        <v>772</v>
      </c>
      <c r="D438" s="1" t="s">
        <v>3543</v>
      </c>
      <c r="E438" s="1" t="s">
        <v>1888</v>
      </c>
      <c r="F438" s="1" t="s">
        <v>3544</v>
      </c>
      <c r="G438" s="1" t="s">
        <v>3544</v>
      </c>
      <c r="H438" s="1" t="s">
        <v>3545</v>
      </c>
    </row>
    <row r="439" spans="1:8" ht="29" x14ac:dyDescent="0.35">
      <c r="A439" s="1">
        <f t="shared" si="6"/>
        <v>438</v>
      </c>
      <c r="B439" s="1" t="s">
        <v>3546</v>
      </c>
      <c r="C439" s="1" t="s">
        <v>772</v>
      </c>
      <c r="D439" s="1" t="s">
        <v>3547</v>
      </c>
      <c r="E439" s="1" t="s">
        <v>3548</v>
      </c>
      <c r="F439" s="1" t="s">
        <v>3549</v>
      </c>
      <c r="G439" s="1" t="s">
        <v>3549</v>
      </c>
      <c r="H439" s="1" t="s">
        <v>3550</v>
      </c>
    </row>
    <row r="440" spans="1:8" ht="29" x14ac:dyDescent="0.35">
      <c r="A440" s="1">
        <f t="shared" si="6"/>
        <v>439</v>
      </c>
      <c r="B440" s="1" t="s">
        <v>3551</v>
      </c>
      <c r="C440" s="1" t="s">
        <v>772</v>
      </c>
      <c r="D440" s="1" t="s">
        <v>3552</v>
      </c>
      <c r="E440" s="1" t="s">
        <v>2234</v>
      </c>
      <c r="F440" s="1" t="s">
        <v>3553</v>
      </c>
      <c r="G440" s="1" t="s">
        <v>3553</v>
      </c>
      <c r="H440" s="1" t="s">
        <v>3554</v>
      </c>
    </row>
    <row r="441" spans="1:8" ht="29" x14ac:dyDescent="0.35">
      <c r="A441" s="1">
        <f t="shared" si="6"/>
        <v>440</v>
      </c>
      <c r="B441" s="1" t="s">
        <v>3555</v>
      </c>
      <c r="C441" s="1" t="s">
        <v>772</v>
      </c>
      <c r="D441" s="1" t="s">
        <v>3556</v>
      </c>
      <c r="E441" s="1" t="s">
        <v>1844</v>
      </c>
      <c r="F441" s="1" t="s">
        <v>3557</v>
      </c>
      <c r="G441" s="1" t="s">
        <v>3557</v>
      </c>
      <c r="H441" s="1" t="s">
        <v>3558</v>
      </c>
    </row>
    <row r="442" spans="1:8" ht="29" x14ac:dyDescent="0.35">
      <c r="A442" s="1">
        <f t="shared" si="6"/>
        <v>441</v>
      </c>
      <c r="B442" s="1" t="s">
        <v>3559</v>
      </c>
      <c r="C442" s="1" t="s">
        <v>772</v>
      </c>
      <c r="D442" s="1" t="s">
        <v>3560</v>
      </c>
      <c r="E442" s="1" t="s">
        <v>3561</v>
      </c>
      <c r="F442" s="1" t="s">
        <v>3562</v>
      </c>
      <c r="G442" s="1" t="s">
        <v>3562</v>
      </c>
      <c r="H442" s="1" t="s">
        <v>3563</v>
      </c>
    </row>
    <row r="443" spans="1:8" ht="58" x14ac:dyDescent="0.35">
      <c r="A443" s="1">
        <f t="shared" si="6"/>
        <v>442</v>
      </c>
      <c r="B443" s="1" t="s">
        <v>3564</v>
      </c>
      <c r="C443" s="1" t="s">
        <v>594</v>
      </c>
      <c r="D443" s="1" t="s">
        <v>3565</v>
      </c>
      <c r="E443" s="1" t="s">
        <v>2977</v>
      </c>
      <c r="F443" s="1" t="s">
        <v>3566</v>
      </c>
      <c r="G443" s="1" t="s">
        <v>3566</v>
      </c>
      <c r="H443" s="1" t="s">
        <v>3567</v>
      </c>
    </row>
    <row r="444" spans="1:8" ht="58" x14ac:dyDescent="0.35">
      <c r="A444" s="1">
        <f t="shared" si="6"/>
        <v>443</v>
      </c>
      <c r="B444" s="1" t="s">
        <v>3568</v>
      </c>
      <c r="C444" s="1" t="s">
        <v>781</v>
      </c>
      <c r="D444" s="1" t="s">
        <v>3569</v>
      </c>
      <c r="E444" s="1" t="s">
        <v>1618</v>
      </c>
      <c r="F444" s="1" t="s">
        <v>3570</v>
      </c>
      <c r="G444" s="1" t="s">
        <v>3571</v>
      </c>
      <c r="H444" s="1" t="s">
        <v>3572</v>
      </c>
    </row>
    <row r="445" spans="1:8" ht="58" x14ac:dyDescent="0.35">
      <c r="A445" s="1">
        <f t="shared" si="6"/>
        <v>444</v>
      </c>
      <c r="B445" s="1" t="s">
        <v>3573</v>
      </c>
      <c r="C445" s="1" t="s">
        <v>783</v>
      </c>
      <c r="D445" s="1" t="s">
        <v>3574</v>
      </c>
      <c r="E445" s="1" t="s">
        <v>3575</v>
      </c>
      <c r="F445" s="1" t="s">
        <v>3576</v>
      </c>
      <c r="G445" s="1" t="s">
        <v>3576</v>
      </c>
      <c r="H445" s="1" t="s">
        <v>3577</v>
      </c>
    </row>
    <row r="446" spans="1:8" ht="29" x14ac:dyDescent="0.35">
      <c r="A446" s="1">
        <f t="shared" si="6"/>
        <v>445</v>
      </c>
      <c r="B446" s="1" t="s">
        <v>3578</v>
      </c>
      <c r="C446" s="1" t="s">
        <v>785</v>
      </c>
      <c r="D446" s="1" t="s">
        <v>3579</v>
      </c>
      <c r="E446" s="1" t="s">
        <v>2229</v>
      </c>
      <c r="F446" s="1" t="s">
        <v>3580</v>
      </c>
      <c r="G446" s="1" t="s">
        <v>3580</v>
      </c>
      <c r="H446" s="1" t="s">
        <v>3581</v>
      </c>
    </row>
    <row r="447" spans="1:8" ht="29" x14ac:dyDescent="0.35">
      <c r="A447" s="1">
        <f t="shared" si="6"/>
        <v>446</v>
      </c>
      <c r="B447" s="1" t="s">
        <v>3582</v>
      </c>
      <c r="C447" s="1" t="s">
        <v>785</v>
      </c>
      <c r="D447" s="1" t="s">
        <v>3583</v>
      </c>
      <c r="E447" s="1" t="s">
        <v>1929</v>
      </c>
      <c r="F447" s="1" t="s">
        <v>3584</v>
      </c>
      <c r="G447" s="1" t="s">
        <v>3584</v>
      </c>
      <c r="H447" s="1" t="s">
        <v>3585</v>
      </c>
    </row>
    <row r="448" spans="1:8" ht="43.5" x14ac:dyDescent="0.35">
      <c r="A448" s="1">
        <f t="shared" si="6"/>
        <v>447</v>
      </c>
      <c r="B448" s="1" t="s">
        <v>3586</v>
      </c>
      <c r="C448" s="1" t="s">
        <v>788</v>
      </c>
      <c r="D448" s="1" t="s">
        <v>3587</v>
      </c>
      <c r="E448" s="1" t="s">
        <v>3588</v>
      </c>
      <c r="F448" s="1" t="s">
        <v>3589</v>
      </c>
      <c r="G448" s="1" t="s">
        <v>3590</v>
      </c>
      <c r="H448" s="1" t="s">
        <v>3590</v>
      </c>
    </row>
    <row r="449" spans="1:8" ht="58" x14ac:dyDescent="0.35">
      <c r="A449" s="1">
        <f t="shared" si="6"/>
        <v>448</v>
      </c>
      <c r="B449" s="1" t="s">
        <v>3591</v>
      </c>
      <c r="C449" s="1" t="s">
        <v>790</v>
      </c>
      <c r="D449" s="1" t="s">
        <v>3592</v>
      </c>
      <c r="E449" s="1" t="s">
        <v>3593</v>
      </c>
      <c r="F449" s="1" t="s">
        <v>3594</v>
      </c>
      <c r="G449" s="1" t="s">
        <v>3595</v>
      </c>
      <c r="H449" s="1" t="s">
        <v>3596</v>
      </c>
    </row>
    <row r="450" spans="1:8" ht="29" x14ac:dyDescent="0.35">
      <c r="A450" s="1">
        <f t="shared" si="6"/>
        <v>449</v>
      </c>
      <c r="B450" s="1" t="s">
        <v>3597</v>
      </c>
      <c r="C450" s="1" t="s">
        <v>792</v>
      </c>
      <c r="D450" s="1" t="s">
        <v>3598</v>
      </c>
      <c r="E450" s="1" t="s">
        <v>1929</v>
      </c>
      <c r="F450" s="1" t="s">
        <v>3599</v>
      </c>
      <c r="G450" s="1" t="s">
        <v>3599</v>
      </c>
      <c r="H450" s="1" t="s">
        <v>3600</v>
      </c>
    </row>
    <row r="451" spans="1:8" ht="43.5" x14ac:dyDescent="0.35">
      <c r="A451" s="1">
        <f t="shared" si="6"/>
        <v>450</v>
      </c>
      <c r="B451" s="1" t="s">
        <v>3601</v>
      </c>
      <c r="C451" s="1" t="s">
        <v>794</v>
      </c>
      <c r="D451" s="1" t="s">
        <v>3602</v>
      </c>
      <c r="E451" s="1" t="s">
        <v>2186</v>
      </c>
      <c r="F451" s="1" t="s">
        <v>3603</v>
      </c>
      <c r="G451" s="1" t="s">
        <v>3603</v>
      </c>
      <c r="H451" s="1" t="s">
        <v>3604</v>
      </c>
    </row>
    <row r="452" spans="1:8" ht="58" x14ac:dyDescent="0.35">
      <c r="A452" s="1">
        <f t="shared" ref="A452:A455" si="7">SUM(A451+1)</f>
        <v>451</v>
      </c>
      <c r="B452" s="1" t="s">
        <v>3605</v>
      </c>
      <c r="C452" s="1" t="s">
        <v>796</v>
      </c>
      <c r="D452" s="1" t="s">
        <v>3606</v>
      </c>
      <c r="E452" s="1" t="s">
        <v>1741</v>
      </c>
      <c r="F452" s="1" t="s">
        <v>3607</v>
      </c>
      <c r="G452" s="1" t="s">
        <v>3607</v>
      </c>
      <c r="H452" s="1" t="s">
        <v>3608</v>
      </c>
    </row>
    <row r="453" spans="1:8" ht="43.5" x14ac:dyDescent="0.35">
      <c r="A453" s="1">
        <f t="shared" si="7"/>
        <v>452</v>
      </c>
      <c r="B453" s="1" t="s">
        <v>3609</v>
      </c>
      <c r="C453" s="1" t="s">
        <v>798</v>
      </c>
      <c r="D453" s="1" t="s">
        <v>3610</v>
      </c>
      <c r="E453" s="1" t="s">
        <v>2604</v>
      </c>
      <c r="F453" s="1" t="s">
        <v>3611</v>
      </c>
      <c r="G453" s="1" t="s">
        <v>3611</v>
      </c>
      <c r="H453" s="1" t="s">
        <v>3612</v>
      </c>
    </row>
    <row r="454" spans="1:8" ht="29" x14ac:dyDescent="0.35">
      <c r="A454" s="1">
        <f t="shared" si="7"/>
        <v>453</v>
      </c>
      <c r="B454" s="1" t="s">
        <v>3613</v>
      </c>
      <c r="C454" s="1" t="s">
        <v>798</v>
      </c>
      <c r="D454" s="1" t="s">
        <v>3614</v>
      </c>
      <c r="E454" s="1" t="s">
        <v>1735</v>
      </c>
      <c r="F454" s="1" t="s">
        <v>3615</v>
      </c>
      <c r="G454" s="1" t="s">
        <v>3615</v>
      </c>
      <c r="H454" s="1" t="s">
        <v>3616</v>
      </c>
    </row>
    <row r="455" spans="1:8" ht="43.5" x14ac:dyDescent="0.35">
      <c r="A455" s="1">
        <f t="shared" si="7"/>
        <v>454</v>
      </c>
      <c r="B455" s="1" t="s">
        <v>3617</v>
      </c>
      <c r="C455" s="1" t="s">
        <v>801</v>
      </c>
      <c r="D455" s="1" t="s">
        <v>3618</v>
      </c>
      <c r="E455" s="1" t="s">
        <v>1785</v>
      </c>
      <c r="F455" s="1" t="s">
        <v>3619</v>
      </c>
      <c r="G455" s="1" t="s">
        <v>3619</v>
      </c>
      <c r="H455" s="1" t="s">
        <v>3620</v>
      </c>
    </row>
  </sheetData>
  <conditionalFormatting sqref="B2:B455">
    <cfRule type="duplicateValues" dxfId="11" priority="22"/>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A1E5B-978C-465D-9C90-77997823B8A9}">
  <dimension ref="A1:I452"/>
  <sheetViews>
    <sheetView topLeftCell="H1" workbookViewId="0">
      <selection activeCell="A2" sqref="A2:A3"/>
    </sheetView>
  </sheetViews>
  <sheetFormatPr defaultRowHeight="14.5" x14ac:dyDescent="0.35"/>
  <cols>
    <col min="1" max="1" width="10.54296875" bestFit="1" customWidth="1"/>
    <col min="2" max="2" width="5.453125" bestFit="1" customWidth="1"/>
    <col min="3" max="3" width="80.7265625" bestFit="1" customWidth="1"/>
    <col min="4" max="4" width="17.1796875" bestFit="1" customWidth="1"/>
    <col min="5" max="5" width="80.7265625" bestFit="1" customWidth="1"/>
    <col min="6" max="6" width="38.90625" bestFit="1" customWidth="1"/>
    <col min="7" max="9" width="80.7265625" bestFit="1" customWidth="1"/>
  </cols>
  <sheetData>
    <row r="1" spans="1:9" x14ac:dyDescent="0.35">
      <c r="A1" t="s">
        <v>3635</v>
      </c>
      <c r="B1" t="s">
        <v>0</v>
      </c>
      <c r="C1" t="s">
        <v>1</v>
      </c>
      <c r="D1" t="s">
        <v>2</v>
      </c>
      <c r="E1" t="s">
        <v>1589</v>
      </c>
      <c r="F1" t="s">
        <v>1590</v>
      </c>
      <c r="G1" t="s">
        <v>1591</v>
      </c>
      <c r="H1" t="s">
        <v>1592</v>
      </c>
      <c r="I1" t="s">
        <v>1593</v>
      </c>
    </row>
    <row r="2" spans="1:9" x14ac:dyDescent="0.35">
      <c r="A2">
        <v>1</v>
      </c>
      <c r="B2">
        <v>1</v>
      </c>
      <c r="C2" t="s">
        <v>1594</v>
      </c>
      <c r="D2" t="s">
        <v>4</v>
      </c>
      <c r="E2" t="s">
        <v>1595</v>
      </c>
      <c r="F2" t="s">
        <v>1596</v>
      </c>
      <c r="G2" t="s">
        <v>1597</v>
      </c>
      <c r="H2" t="s">
        <v>1597</v>
      </c>
      <c r="I2" t="s">
        <v>1598</v>
      </c>
    </row>
    <row r="3" spans="1:9" x14ac:dyDescent="0.35">
      <c r="A3">
        <f>SUM(A2+1)</f>
        <v>2</v>
      </c>
      <c r="B3">
        <v>2</v>
      </c>
      <c r="C3" t="s">
        <v>1599</v>
      </c>
      <c r="D3" t="s">
        <v>6</v>
      </c>
      <c r="E3" t="s">
        <v>1600</v>
      </c>
      <c r="F3" t="s">
        <v>1601</v>
      </c>
      <c r="G3" t="s">
        <v>1602</v>
      </c>
      <c r="H3" t="s">
        <v>3636</v>
      </c>
      <c r="I3" t="s">
        <v>3637</v>
      </c>
    </row>
    <row r="4" spans="1:9" x14ac:dyDescent="0.35">
      <c r="A4">
        <f t="shared" ref="A4:A67" si="0">SUM(A3+1)</f>
        <v>3</v>
      </c>
      <c r="B4">
        <v>3</v>
      </c>
      <c r="C4" t="s">
        <v>1605</v>
      </c>
      <c r="D4" t="s">
        <v>8</v>
      </c>
      <c r="E4" t="s">
        <v>1606</v>
      </c>
      <c r="F4" t="s">
        <v>1607</v>
      </c>
      <c r="G4" t="s">
        <v>1608</v>
      </c>
      <c r="H4" t="s">
        <v>1609</v>
      </c>
      <c r="I4" t="s">
        <v>1610</v>
      </c>
    </row>
    <row r="5" spans="1:9" x14ac:dyDescent="0.35">
      <c r="A5">
        <f t="shared" si="0"/>
        <v>4</v>
      </c>
      <c r="B5">
        <v>4</v>
      </c>
      <c r="C5" t="s">
        <v>1611</v>
      </c>
      <c r="D5" t="s">
        <v>10</v>
      </c>
      <c r="E5" t="s">
        <v>1612</v>
      </c>
      <c r="F5" t="s">
        <v>1613</v>
      </c>
      <c r="G5" t="s">
        <v>1614</v>
      </c>
      <c r="H5" t="s">
        <v>1614</v>
      </c>
      <c r="I5" t="s">
        <v>1615</v>
      </c>
    </row>
    <row r="6" spans="1:9" x14ac:dyDescent="0.35">
      <c r="A6">
        <f t="shared" si="0"/>
        <v>5</v>
      </c>
      <c r="B6">
        <v>5</v>
      </c>
      <c r="C6" t="s">
        <v>1616</v>
      </c>
      <c r="D6" t="s">
        <v>12</v>
      </c>
      <c r="E6" t="s">
        <v>1617</v>
      </c>
      <c r="F6" t="s">
        <v>1618</v>
      </c>
      <c r="G6" t="s">
        <v>1619</v>
      </c>
      <c r="H6" t="s">
        <v>3638</v>
      </c>
      <c r="I6" t="s">
        <v>3639</v>
      </c>
    </row>
    <row r="7" spans="1:9" x14ac:dyDescent="0.35">
      <c r="A7">
        <f t="shared" si="0"/>
        <v>6</v>
      </c>
      <c r="B7">
        <v>6</v>
      </c>
      <c r="C7" t="s">
        <v>1622</v>
      </c>
      <c r="D7" t="s">
        <v>14</v>
      </c>
      <c r="E7" t="s">
        <v>1623</v>
      </c>
      <c r="F7" t="s">
        <v>1624</v>
      </c>
      <c r="G7" t="s">
        <v>1625</v>
      </c>
      <c r="H7" t="s">
        <v>3640</v>
      </c>
      <c r="I7" t="s">
        <v>3641</v>
      </c>
    </row>
    <row r="8" spans="1:9" x14ac:dyDescent="0.35">
      <c r="A8">
        <f t="shared" si="0"/>
        <v>7</v>
      </c>
      <c r="B8">
        <v>7</v>
      </c>
      <c r="C8" t="s">
        <v>1627</v>
      </c>
      <c r="D8" t="s">
        <v>16</v>
      </c>
      <c r="E8" t="s">
        <v>1628</v>
      </c>
      <c r="F8" t="s">
        <v>1629</v>
      </c>
      <c r="G8" t="s">
        <v>1630</v>
      </c>
      <c r="H8" t="s">
        <v>1630</v>
      </c>
      <c r="I8" t="s">
        <v>1631</v>
      </c>
    </row>
    <row r="9" spans="1:9" x14ac:dyDescent="0.35">
      <c r="A9">
        <f t="shared" si="0"/>
        <v>8</v>
      </c>
      <c r="B9">
        <v>8</v>
      </c>
      <c r="C9" t="s">
        <v>1632</v>
      </c>
      <c r="D9" t="s">
        <v>18</v>
      </c>
      <c r="E9" t="s">
        <v>1633</v>
      </c>
      <c r="F9" t="s">
        <v>1634</v>
      </c>
      <c r="G9" t="s">
        <v>1635</v>
      </c>
      <c r="H9" t="s">
        <v>3642</v>
      </c>
      <c r="I9" t="s">
        <v>3643</v>
      </c>
    </row>
    <row r="10" spans="1:9" x14ac:dyDescent="0.35">
      <c r="A10">
        <f t="shared" si="0"/>
        <v>9</v>
      </c>
      <c r="B10">
        <v>9</v>
      </c>
      <c r="C10" t="s">
        <v>1638</v>
      </c>
      <c r="D10" t="s">
        <v>20</v>
      </c>
      <c r="E10" t="s">
        <v>1639</v>
      </c>
      <c r="F10" t="s">
        <v>1640</v>
      </c>
      <c r="G10" t="s">
        <v>1641</v>
      </c>
      <c r="H10" t="s">
        <v>1642</v>
      </c>
      <c r="I10" t="s">
        <v>1643</v>
      </c>
    </row>
    <row r="11" spans="1:9" x14ac:dyDescent="0.35">
      <c r="A11">
        <f t="shared" si="0"/>
        <v>10</v>
      </c>
      <c r="B11">
        <v>10</v>
      </c>
      <c r="C11" t="s">
        <v>1644</v>
      </c>
      <c r="D11" t="s">
        <v>22</v>
      </c>
      <c r="E11" t="s">
        <v>1645</v>
      </c>
      <c r="F11" t="s">
        <v>1646</v>
      </c>
      <c r="G11" t="s">
        <v>1647</v>
      </c>
      <c r="H11" t="s">
        <v>1648</v>
      </c>
      <c r="I11" t="s">
        <v>1649</v>
      </c>
    </row>
    <row r="12" spans="1:9" x14ac:dyDescent="0.35">
      <c r="A12">
        <f t="shared" si="0"/>
        <v>11</v>
      </c>
      <c r="B12">
        <v>11</v>
      </c>
      <c r="C12" t="s">
        <v>1650</v>
      </c>
      <c r="D12" t="s">
        <v>24</v>
      </c>
      <c r="E12" t="s">
        <v>1651</v>
      </c>
      <c r="F12" t="s">
        <v>1652</v>
      </c>
      <c r="G12" t="s">
        <v>1653</v>
      </c>
      <c r="H12" t="s">
        <v>3644</v>
      </c>
      <c r="I12" t="s">
        <v>3645</v>
      </c>
    </row>
    <row r="13" spans="1:9" x14ac:dyDescent="0.35">
      <c r="A13">
        <f t="shared" si="0"/>
        <v>12</v>
      </c>
      <c r="B13">
        <v>12</v>
      </c>
      <c r="C13" t="s">
        <v>1655</v>
      </c>
      <c r="D13" t="s">
        <v>26</v>
      </c>
      <c r="E13" t="s">
        <v>1656</v>
      </c>
      <c r="F13" t="s">
        <v>1657</v>
      </c>
      <c r="G13" t="s">
        <v>1658</v>
      </c>
      <c r="H13" t="s">
        <v>1659</v>
      </c>
      <c r="I13" t="s">
        <v>1660</v>
      </c>
    </row>
    <row r="14" spans="1:9" x14ac:dyDescent="0.35">
      <c r="A14">
        <f t="shared" si="0"/>
        <v>13</v>
      </c>
      <c r="B14">
        <v>13</v>
      </c>
      <c r="C14" t="s">
        <v>1661</v>
      </c>
      <c r="D14" t="s">
        <v>28</v>
      </c>
      <c r="E14" t="s">
        <v>1662</v>
      </c>
      <c r="F14" t="s">
        <v>1663</v>
      </c>
      <c r="G14" t="s">
        <v>1664</v>
      </c>
      <c r="H14" t="s">
        <v>1665</v>
      </c>
      <c r="I14" t="s">
        <v>1666</v>
      </c>
    </row>
    <row r="15" spans="1:9" x14ac:dyDescent="0.35">
      <c r="A15">
        <f t="shared" si="0"/>
        <v>14</v>
      </c>
      <c r="B15">
        <v>15</v>
      </c>
      <c r="C15" t="s">
        <v>1667</v>
      </c>
      <c r="D15" t="s">
        <v>32</v>
      </c>
      <c r="E15" t="s">
        <v>1668</v>
      </c>
      <c r="F15" t="s">
        <v>1669</v>
      </c>
      <c r="G15" t="s">
        <v>1670</v>
      </c>
      <c r="H15" t="s">
        <v>1670</v>
      </c>
      <c r="I15" t="s">
        <v>1671</v>
      </c>
    </row>
    <row r="16" spans="1:9" x14ac:dyDescent="0.35">
      <c r="A16">
        <f t="shared" si="0"/>
        <v>15</v>
      </c>
      <c r="B16">
        <v>16</v>
      </c>
      <c r="C16" t="s">
        <v>1672</v>
      </c>
      <c r="D16" t="s">
        <v>34</v>
      </c>
      <c r="E16" t="s">
        <v>1673</v>
      </c>
      <c r="F16" t="s">
        <v>1674</v>
      </c>
      <c r="G16" t="s">
        <v>1675</v>
      </c>
      <c r="H16" t="s">
        <v>1676</v>
      </c>
      <c r="I16" t="s">
        <v>1677</v>
      </c>
    </row>
    <row r="17" spans="1:9" x14ac:dyDescent="0.35">
      <c r="A17">
        <f t="shared" si="0"/>
        <v>16</v>
      </c>
      <c r="B17">
        <v>17</v>
      </c>
      <c r="C17" t="s">
        <v>1678</v>
      </c>
      <c r="D17" t="s">
        <v>36</v>
      </c>
      <c r="E17" t="s">
        <v>1679</v>
      </c>
      <c r="F17" t="s">
        <v>1680</v>
      </c>
      <c r="G17" t="s">
        <v>1681</v>
      </c>
      <c r="H17" t="s">
        <v>1682</v>
      </c>
      <c r="I17" t="s">
        <v>1683</v>
      </c>
    </row>
    <row r="18" spans="1:9" x14ac:dyDescent="0.35">
      <c r="A18">
        <f t="shared" si="0"/>
        <v>17</v>
      </c>
      <c r="B18">
        <v>18</v>
      </c>
      <c r="C18" t="s">
        <v>1684</v>
      </c>
      <c r="D18" t="s">
        <v>38</v>
      </c>
      <c r="E18" t="s">
        <v>1685</v>
      </c>
      <c r="F18" t="s">
        <v>1686</v>
      </c>
      <c r="G18" t="s">
        <v>1687</v>
      </c>
      <c r="H18" t="s">
        <v>1688</v>
      </c>
      <c r="I18" t="s">
        <v>1689</v>
      </c>
    </row>
    <row r="19" spans="1:9" x14ac:dyDescent="0.35">
      <c r="A19">
        <f t="shared" si="0"/>
        <v>18</v>
      </c>
      <c r="B19">
        <v>19</v>
      </c>
      <c r="C19" t="s">
        <v>1690</v>
      </c>
      <c r="D19" t="s">
        <v>40</v>
      </c>
      <c r="E19" t="s">
        <v>1691</v>
      </c>
      <c r="F19" t="s">
        <v>1692</v>
      </c>
      <c r="G19" t="s">
        <v>1693</v>
      </c>
      <c r="H19" t="s">
        <v>1693</v>
      </c>
      <c r="I19" t="s">
        <v>1694</v>
      </c>
    </row>
    <row r="20" spans="1:9" x14ac:dyDescent="0.35">
      <c r="A20">
        <f t="shared" si="0"/>
        <v>19</v>
      </c>
      <c r="B20">
        <v>20</v>
      </c>
      <c r="C20" t="s">
        <v>1695</v>
      </c>
      <c r="D20" t="s">
        <v>42</v>
      </c>
      <c r="E20" t="s">
        <v>1696</v>
      </c>
      <c r="F20" t="s">
        <v>1697</v>
      </c>
      <c r="G20" t="s">
        <v>1698</v>
      </c>
      <c r="H20" t="s">
        <v>1698</v>
      </c>
      <c r="I20" t="s">
        <v>1699</v>
      </c>
    </row>
    <row r="21" spans="1:9" x14ac:dyDescent="0.35">
      <c r="A21">
        <f t="shared" si="0"/>
        <v>20</v>
      </c>
      <c r="B21">
        <v>21</v>
      </c>
      <c r="C21" t="s">
        <v>1700</v>
      </c>
      <c r="D21" t="s">
        <v>44</v>
      </c>
      <c r="E21" t="s">
        <v>1701</v>
      </c>
      <c r="F21" t="s">
        <v>1702</v>
      </c>
      <c r="G21" t="s">
        <v>1703</v>
      </c>
      <c r="H21" t="s">
        <v>1703</v>
      </c>
      <c r="I21" t="s">
        <v>1704</v>
      </c>
    </row>
    <row r="22" spans="1:9" x14ac:dyDescent="0.35">
      <c r="A22">
        <f t="shared" si="0"/>
        <v>21</v>
      </c>
      <c r="B22">
        <v>22</v>
      </c>
      <c r="C22" t="s">
        <v>1705</v>
      </c>
      <c r="D22" t="s">
        <v>20</v>
      </c>
      <c r="E22" t="s">
        <v>1706</v>
      </c>
      <c r="F22" t="s">
        <v>1707</v>
      </c>
      <c r="G22" t="s">
        <v>1708</v>
      </c>
      <c r="H22" t="s">
        <v>1709</v>
      </c>
      <c r="I22" t="s">
        <v>1710</v>
      </c>
    </row>
    <row r="23" spans="1:9" x14ac:dyDescent="0.35">
      <c r="A23">
        <f t="shared" si="0"/>
        <v>22</v>
      </c>
      <c r="B23">
        <v>23</v>
      </c>
      <c r="C23" t="s">
        <v>1711</v>
      </c>
      <c r="D23" t="s">
        <v>47</v>
      </c>
      <c r="E23" t="s">
        <v>1712</v>
      </c>
      <c r="F23" t="s">
        <v>1713</v>
      </c>
      <c r="G23" t="s">
        <v>1714</v>
      </c>
      <c r="H23" t="s">
        <v>3646</v>
      </c>
      <c r="I23" t="s">
        <v>3647</v>
      </c>
    </row>
    <row r="24" spans="1:9" x14ac:dyDescent="0.35">
      <c r="A24">
        <f t="shared" si="0"/>
        <v>23</v>
      </c>
      <c r="B24">
        <v>24</v>
      </c>
      <c r="C24" t="s">
        <v>1717</v>
      </c>
      <c r="D24" t="s">
        <v>49</v>
      </c>
      <c r="E24" t="s">
        <v>1718</v>
      </c>
      <c r="F24" t="s">
        <v>1719</v>
      </c>
      <c r="G24" t="s">
        <v>1720</v>
      </c>
      <c r="H24" t="s">
        <v>1720</v>
      </c>
      <c r="I24" t="s">
        <v>1721</v>
      </c>
    </row>
    <row r="25" spans="1:9" x14ac:dyDescent="0.35">
      <c r="A25">
        <f t="shared" si="0"/>
        <v>24</v>
      </c>
      <c r="B25">
        <v>25</v>
      </c>
      <c r="C25" t="s">
        <v>1722</v>
      </c>
      <c r="D25" t="s">
        <v>20</v>
      </c>
      <c r="E25" t="s">
        <v>1723</v>
      </c>
      <c r="F25" t="s">
        <v>1724</v>
      </c>
      <c r="G25" t="s">
        <v>1725</v>
      </c>
      <c r="H25" t="s">
        <v>1726</v>
      </c>
      <c r="I25" t="s">
        <v>1727</v>
      </c>
    </row>
    <row r="26" spans="1:9" x14ac:dyDescent="0.35">
      <c r="A26">
        <f t="shared" si="0"/>
        <v>25</v>
      </c>
      <c r="B26">
        <v>26</v>
      </c>
      <c r="C26" t="s">
        <v>1728</v>
      </c>
      <c r="D26" t="s">
        <v>52</v>
      </c>
      <c r="E26" t="s">
        <v>1729</v>
      </c>
      <c r="F26" t="s">
        <v>1730</v>
      </c>
      <c r="G26" t="s">
        <v>1731</v>
      </c>
      <c r="H26" t="s">
        <v>1731</v>
      </c>
      <c r="I26" t="s">
        <v>1732</v>
      </c>
    </row>
    <row r="27" spans="1:9" x14ac:dyDescent="0.35">
      <c r="A27">
        <f t="shared" si="0"/>
        <v>26</v>
      </c>
      <c r="B27">
        <v>27</v>
      </c>
      <c r="C27" t="s">
        <v>1733</v>
      </c>
      <c r="D27" t="s">
        <v>54</v>
      </c>
      <c r="E27" t="s">
        <v>1734</v>
      </c>
      <c r="F27" t="s">
        <v>1735</v>
      </c>
      <c r="G27" t="s">
        <v>1736</v>
      </c>
      <c r="H27" t="s">
        <v>1737</v>
      </c>
      <c r="I27" t="s">
        <v>1738</v>
      </c>
    </row>
    <row r="28" spans="1:9" x14ac:dyDescent="0.35">
      <c r="A28">
        <f t="shared" si="0"/>
        <v>27</v>
      </c>
      <c r="B28">
        <v>28</v>
      </c>
      <c r="C28" t="s">
        <v>1739</v>
      </c>
      <c r="D28" t="s">
        <v>56</v>
      </c>
      <c r="E28" t="s">
        <v>1740</v>
      </c>
      <c r="F28" t="s">
        <v>1741</v>
      </c>
      <c r="G28" t="s">
        <v>1742</v>
      </c>
      <c r="H28" t="s">
        <v>1743</v>
      </c>
      <c r="I28" t="s">
        <v>1744</v>
      </c>
    </row>
    <row r="29" spans="1:9" x14ac:dyDescent="0.35">
      <c r="A29">
        <f t="shared" si="0"/>
        <v>28</v>
      </c>
      <c r="B29">
        <v>29</v>
      </c>
      <c r="C29" t="s">
        <v>1745</v>
      </c>
      <c r="D29" t="s">
        <v>58</v>
      </c>
      <c r="E29" t="s">
        <v>1746</v>
      </c>
      <c r="F29" t="s">
        <v>1747</v>
      </c>
      <c r="G29" t="s">
        <v>1748</v>
      </c>
      <c r="H29" t="s">
        <v>1748</v>
      </c>
      <c r="I29" t="s">
        <v>1749</v>
      </c>
    </row>
    <row r="30" spans="1:9" x14ac:dyDescent="0.35">
      <c r="A30">
        <f t="shared" si="0"/>
        <v>29</v>
      </c>
      <c r="B30">
        <v>30</v>
      </c>
      <c r="C30" t="s">
        <v>1750</v>
      </c>
      <c r="D30" t="s">
        <v>60</v>
      </c>
      <c r="E30" t="s">
        <v>1751</v>
      </c>
      <c r="F30" t="s">
        <v>1752</v>
      </c>
      <c r="G30" t="s">
        <v>1753</v>
      </c>
      <c r="H30" t="s">
        <v>3648</v>
      </c>
      <c r="I30" t="s">
        <v>3649</v>
      </c>
    </row>
    <row r="31" spans="1:9" x14ac:dyDescent="0.35">
      <c r="A31">
        <f t="shared" si="0"/>
        <v>30</v>
      </c>
      <c r="B31">
        <v>31</v>
      </c>
      <c r="C31" t="s">
        <v>1756</v>
      </c>
      <c r="D31" t="s">
        <v>62</v>
      </c>
      <c r="E31" t="s">
        <v>1757</v>
      </c>
      <c r="F31" t="s">
        <v>1758</v>
      </c>
      <c r="G31" t="s">
        <v>1759</v>
      </c>
      <c r="H31" t="s">
        <v>1760</v>
      </c>
      <c r="I31" t="s">
        <v>1761</v>
      </c>
    </row>
    <row r="32" spans="1:9" x14ac:dyDescent="0.35">
      <c r="A32">
        <f t="shared" si="0"/>
        <v>31</v>
      </c>
      <c r="B32">
        <v>32</v>
      </c>
      <c r="C32" t="s">
        <v>1762</v>
      </c>
      <c r="D32" t="s">
        <v>64</v>
      </c>
      <c r="E32" t="s">
        <v>1763</v>
      </c>
      <c r="F32" t="s">
        <v>1764</v>
      </c>
      <c r="G32" t="s">
        <v>1765</v>
      </c>
      <c r="H32" t="s">
        <v>3650</v>
      </c>
      <c r="I32" t="s">
        <v>1767</v>
      </c>
    </row>
    <row r="33" spans="1:9" x14ac:dyDescent="0.35">
      <c r="A33">
        <f t="shared" si="0"/>
        <v>32</v>
      </c>
      <c r="B33">
        <v>33</v>
      </c>
      <c r="C33" t="s">
        <v>1768</v>
      </c>
      <c r="D33" t="s">
        <v>66</v>
      </c>
      <c r="E33" t="s">
        <v>1769</v>
      </c>
      <c r="F33" t="s">
        <v>1770</v>
      </c>
      <c r="G33" t="s">
        <v>1771</v>
      </c>
      <c r="H33" t="s">
        <v>1771</v>
      </c>
      <c r="I33" t="s">
        <v>1772</v>
      </c>
    </row>
    <row r="34" spans="1:9" x14ac:dyDescent="0.35">
      <c r="A34">
        <f t="shared" si="0"/>
        <v>33</v>
      </c>
      <c r="B34">
        <v>34</v>
      </c>
      <c r="C34" t="s">
        <v>1773</v>
      </c>
      <c r="D34" t="s">
        <v>68</v>
      </c>
      <c r="E34" t="s">
        <v>1774</v>
      </c>
      <c r="F34" t="s">
        <v>1775</v>
      </c>
      <c r="G34" t="s">
        <v>1776</v>
      </c>
      <c r="H34" t="s">
        <v>1776</v>
      </c>
      <c r="I34" t="s">
        <v>1777</v>
      </c>
    </row>
    <row r="35" spans="1:9" x14ac:dyDescent="0.35">
      <c r="A35">
        <f t="shared" si="0"/>
        <v>34</v>
      </c>
      <c r="B35">
        <v>35</v>
      </c>
      <c r="C35" t="s">
        <v>1778</v>
      </c>
      <c r="D35" t="s">
        <v>70</v>
      </c>
      <c r="E35" t="s">
        <v>1779</v>
      </c>
      <c r="F35" t="s">
        <v>1780</v>
      </c>
      <c r="G35" t="s">
        <v>1781</v>
      </c>
      <c r="H35" t="s">
        <v>1781</v>
      </c>
      <c r="I35" t="s">
        <v>1782</v>
      </c>
    </row>
    <row r="36" spans="1:9" x14ac:dyDescent="0.35">
      <c r="A36">
        <f t="shared" si="0"/>
        <v>35</v>
      </c>
      <c r="B36">
        <v>36</v>
      </c>
      <c r="C36" t="s">
        <v>1783</v>
      </c>
      <c r="D36" t="s">
        <v>72</v>
      </c>
      <c r="E36" t="s">
        <v>1784</v>
      </c>
      <c r="F36" t="s">
        <v>1785</v>
      </c>
      <c r="G36" t="s">
        <v>1786</v>
      </c>
      <c r="H36" t="s">
        <v>1786</v>
      </c>
      <c r="I36" t="s">
        <v>1787</v>
      </c>
    </row>
    <row r="37" spans="1:9" x14ac:dyDescent="0.35">
      <c r="A37">
        <f t="shared" si="0"/>
        <v>36</v>
      </c>
      <c r="B37">
        <v>37</v>
      </c>
      <c r="C37" t="s">
        <v>1788</v>
      </c>
      <c r="D37" t="s">
        <v>74</v>
      </c>
      <c r="E37" t="s">
        <v>1789</v>
      </c>
      <c r="F37" t="s">
        <v>1730</v>
      </c>
      <c r="G37" t="s">
        <v>1790</v>
      </c>
      <c r="H37" t="s">
        <v>1790</v>
      </c>
      <c r="I37" t="s">
        <v>1791</v>
      </c>
    </row>
    <row r="38" spans="1:9" x14ac:dyDescent="0.35">
      <c r="A38">
        <f t="shared" si="0"/>
        <v>37</v>
      </c>
      <c r="B38">
        <v>38</v>
      </c>
      <c r="C38" t="s">
        <v>1792</v>
      </c>
      <c r="D38" t="s">
        <v>76</v>
      </c>
      <c r="E38" t="s">
        <v>1793</v>
      </c>
      <c r="F38" t="s">
        <v>1794</v>
      </c>
      <c r="G38" t="s">
        <v>1795</v>
      </c>
      <c r="H38" t="s">
        <v>1795</v>
      </c>
      <c r="I38" t="s">
        <v>1796</v>
      </c>
    </row>
    <row r="39" spans="1:9" x14ac:dyDescent="0.35">
      <c r="A39">
        <f t="shared" si="0"/>
        <v>38</v>
      </c>
      <c r="B39">
        <v>39</v>
      </c>
      <c r="C39" t="s">
        <v>1797</v>
      </c>
      <c r="D39" t="s">
        <v>78</v>
      </c>
      <c r="E39" t="s">
        <v>1798</v>
      </c>
      <c r="F39" t="s">
        <v>1799</v>
      </c>
      <c r="G39" t="s">
        <v>1800</v>
      </c>
      <c r="H39" t="s">
        <v>1800</v>
      </c>
      <c r="I39" t="s">
        <v>1801</v>
      </c>
    </row>
    <row r="40" spans="1:9" x14ac:dyDescent="0.35">
      <c r="A40">
        <f t="shared" si="0"/>
        <v>39</v>
      </c>
      <c r="B40">
        <v>40</v>
      </c>
      <c r="C40" t="s">
        <v>1802</v>
      </c>
      <c r="D40" t="s">
        <v>80</v>
      </c>
      <c r="E40" t="s">
        <v>1803</v>
      </c>
      <c r="F40" t="s">
        <v>1804</v>
      </c>
      <c r="G40" t="s">
        <v>1805</v>
      </c>
      <c r="H40" t="s">
        <v>1805</v>
      </c>
      <c r="I40" t="s">
        <v>1806</v>
      </c>
    </row>
    <row r="41" spans="1:9" x14ac:dyDescent="0.35">
      <c r="A41">
        <f t="shared" si="0"/>
        <v>40</v>
      </c>
      <c r="B41">
        <v>41</v>
      </c>
      <c r="C41" t="s">
        <v>1807</v>
      </c>
      <c r="D41" t="s">
        <v>82</v>
      </c>
      <c r="E41" t="s">
        <v>1808</v>
      </c>
      <c r="F41" t="s">
        <v>1809</v>
      </c>
      <c r="G41" t="s">
        <v>1810</v>
      </c>
      <c r="H41" t="s">
        <v>1810</v>
      </c>
      <c r="I41" t="s">
        <v>1811</v>
      </c>
    </row>
    <row r="42" spans="1:9" x14ac:dyDescent="0.35">
      <c r="A42">
        <f t="shared" si="0"/>
        <v>41</v>
      </c>
      <c r="B42">
        <v>42</v>
      </c>
      <c r="C42" t="s">
        <v>1812</v>
      </c>
      <c r="D42" t="s">
        <v>84</v>
      </c>
      <c r="E42" t="s">
        <v>1813</v>
      </c>
      <c r="F42" t="s">
        <v>1692</v>
      </c>
      <c r="G42" t="s">
        <v>1814</v>
      </c>
      <c r="H42" t="s">
        <v>1814</v>
      </c>
      <c r="I42" t="s">
        <v>1815</v>
      </c>
    </row>
    <row r="43" spans="1:9" x14ac:dyDescent="0.35">
      <c r="A43">
        <f t="shared" si="0"/>
        <v>42</v>
      </c>
      <c r="B43">
        <v>43</v>
      </c>
      <c r="C43" t="s">
        <v>1816</v>
      </c>
      <c r="D43" t="s">
        <v>76</v>
      </c>
      <c r="E43" t="s">
        <v>1817</v>
      </c>
      <c r="F43" t="s">
        <v>1818</v>
      </c>
      <c r="G43" t="s">
        <v>1819</v>
      </c>
      <c r="H43" t="s">
        <v>1819</v>
      </c>
      <c r="I43" t="s">
        <v>1820</v>
      </c>
    </row>
    <row r="44" spans="1:9" x14ac:dyDescent="0.35">
      <c r="A44">
        <f t="shared" si="0"/>
        <v>43</v>
      </c>
      <c r="B44">
        <v>44</v>
      </c>
      <c r="C44" t="s">
        <v>1821</v>
      </c>
      <c r="D44" t="s">
        <v>87</v>
      </c>
      <c r="E44" t="s">
        <v>1822</v>
      </c>
      <c r="F44" t="s">
        <v>1823</v>
      </c>
      <c r="G44" t="s">
        <v>1824</v>
      </c>
      <c r="H44" t="s">
        <v>3651</v>
      </c>
      <c r="I44" t="s">
        <v>3652</v>
      </c>
    </row>
    <row r="45" spans="1:9" x14ac:dyDescent="0.35">
      <c r="A45">
        <f t="shared" si="0"/>
        <v>44</v>
      </c>
      <c r="B45">
        <v>45</v>
      </c>
      <c r="C45" t="s">
        <v>1827</v>
      </c>
      <c r="D45" t="s">
        <v>84</v>
      </c>
      <c r="E45" t="s">
        <v>1828</v>
      </c>
      <c r="F45" t="s">
        <v>1829</v>
      </c>
      <c r="G45" t="s">
        <v>1830</v>
      </c>
      <c r="H45" t="s">
        <v>1830</v>
      </c>
      <c r="I45" t="s">
        <v>1831</v>
      </c>
    </row>
    <row r="46" spans="1:9" x14ac:dyDescent="0.35">
      <c r="A46">
        <f t="shared" si="0"/>
        <v>45</v>
      </c>
      <c r="B46">
        <v>46</v>
      </c>
      <c r="C46" t="s">
        <v>1832</v>
      </c>
      <c r="D46" t="s">
        <v>76</v>
      </c>
      <c r="E46" t="s">
        <v>1833</v>
      </c>
      <c r="F46" t="s">
        <v>1834</v>
      </c>
      <c r="G46" t="s">
        <v>1835</v>
      </c>
      <c r="H46" t="s">
        <v>1835</v>
      </c>
      <c r="I46" t="s">
        <v>1836</v>
      </c>
    </row>
    <row r="47" spans="1:9" x14ac:dyDescent="0.35">
      <c r="A47">
        <f t="shared" si="0"/>
        <v>46</v>
      </c>
      <c r="B47">
        <v>47</v>
      </c>
      <c r="C47" t="s">
        <v>1837</v>
      </c>
      <c r="D47" t="s">
        <v>91</v>
      </c>
      <c r="E47" t="s">
        <v>1838</v>
      </c>
      <c r="F47" t="s">
        <v>1839</v>
      </c>
      <c r="G47" t="s">
        <v>1840</v>
      </c>
      <c r="H47" t="s">
        <v>1840</v>
      </c>
      <c r="I47" t="s">
        <v>1841</v>
      </c>
    </row>
    <row r="48" spans="1:9" x14ac:dyDescent="0.35">
      <c r="A48">
        <f t="shared" si="0"/>
        <v>47</v>
      </c>
      <c r="B48">
        <v>48</v>
      </c>
      <c r="C48" t="s">
        <v>1842</v>
      </c>
      <c r="D48" t="s">
        <v>93</v>
      </c>
      <c r="E48" t="s">
        <v>1843</v>
      </c>
      <c r="F48" t="s">
        <v>1844</v>
      </c>
      <c r="G48" t="s">
        <v>1845</v>
      </c>
      <c r="H48" t="s">
        <v>1845</v>
      </c>
      <c r="I48" t="s">
        <v>1846</v>
      </c>
    </row>
    <row r="49" spans="1:9" x14ac:dyDescent="0.35">
      <c r="A49">
        <f t="shared" si="0"/>
        <v>48</v>
      </c>
      <c r="B49">
        <v>49</v>
      </c>
      <c r="C49" t="s">
        <v>1847</v>
      </c>
      <c r="D49" t="s">
        <v>93</v>
      </c>
      <c r="E49" t="s">
        <v>1848</v>
      </c>
      <c r="F49" t="s">
        <v>1804</v>
      </c>
      <c r="G49" t="s">
        <v>1849</v>
      </c>
      <c r="H49" t="s">
        <v>1849</v>
      </c>
      <c r="I49" t="s">
        <v>1850</v>
      </c>
    </row>
    <row r="50" spans="1:9" x14ac:dyDescent="0.35">
      <c r="A50">
        <f t="shared" si="0"/>
        <v>49</v>
      </c>
      <c r="B50">
        <v>50</v>
      </c>
      <c r="C50" t="s">
        <v>1851</v>
      </c>
      <c r="D50" t="s">
        <v>76</v>
      </c>
      <c r="E50" t="s">
        <v>1852</v>
      </c>
      <c r="F50" t="s">
        <v>1853</v>
      </c>
      <c r="G50" t="s">
        <v>1854</v>
      </c>
      <c r="H50" t="s">
        <v>1854</v>
      </c>
      <c r="I50" t="s">
        <v>1855</v>
      </c>
    </row>
    <row r="51" spans="1:9" x14ac:dyDescent="0.35">
      <c r="A51">
        <f t="shared" si="0"/>
        <v>50</v>
      </c>
      <c r="B51">
        <v>51</v>
      </c>
      <c r="C51" t="s">
        <v>1856</v>
      </c>
      <c r="D51" t="s">
        <v>93</v>
      </c>
      <c r="E51" t="s">
        <v>1857</v>
      </c>
      <c r="F51" t="s">
        <v>1596</v>
      </c>
      <c r="G51" t="s">
        <v>1858</v>
      </c>
      <c r="H51" t="s">
        <v>1858</v>
      </c>
      <c r="I51" t="s">
        <v>1859</v>
      </c>
    </row>
    <row r="52" spans="1:9" x14ac:dyDescent="0.35">
      <c r="A52">
        <f t="shared" si="0"/>
        <v>51</v>
      </c>
      <c r="B52">
        <v>52</v>
      </c>
      <c r="C52" t="s">
        <v>1860</v>
      </c>
      <c r="D52" t="s">
        <v>98</v>
      </c>
      <c r="E52" t="s">
        <v>1861</v>
      </c>
      <c r="F52" t="s">
        <v>1692</v>
      </c>
      <c r="G52" t="s">
        <v>1862</v>
      </c>
      <c r="H52" t="s">
        <v>1862</v>
      </c>
      <c r="I52" t="s">
        <v>1863</v>
      </c>
    </row>
    <row r="53" spans="1:9" x14ac:dyDescent="0.35">
      <c r="A53">
        <f t="shared" si="0"/>
        <v>52</v>
      </c>
      <c r="B53">
        <v>53</v>
      </c>
      <c r="C53" t="s">
        <v>1864</v>
      </c>
      <c r="D53" t="s">
        <v>100</v>
      </c>
      <c r="E53" t="s">
        <v>1865</v>
      </c>
      <c r="F53" t="s">
        <v>1730</v>
      </c>
      <c r="G53" t="s">
        <v>1866</v>
      </c>
      <c r="H53" t="s">
        <v>1866</v>
      </c>
      <c r="I53" t="s">
        <v>1867</v>
      </c>
    </row>
    <row r="54" spans="1:9" x14ac:dyDescent="0.35">
      <c r="A54">
        <f t="shared" si="0"/>
        <v>53</v>
      </c>
      <c r="B54">
        <v>54</v>
      </c>
      <c r="C54" t="s">
        <v>1868</v>
      </c>
      <c r="D54" t="s">
        <v>102</v>
      </c>
      <c r="E54" t="s">
        <v>1869</v>
      </c>
      <c r="F54" t="s">
        <v>1596</v>
      </c>
      <c r="G54" t="s">
        <v>1870</v>
      </c>
      <c r="H54" t="s">
        <v>1871</v>
      </c>
      <c r="I54" t="s">
        <v>1872</v>
      </c>
    </row>
    <row r="55" spans="1:9" x14ac:dyDescent="0.35">
      <c r="A55">
        <f t="shared" si="0"/>
        <v>54</v>
      </c>
      <c r="B55">
        <v>55</v>
      </c>
      <c r="C55" t="s">
        <v>1873</v>
      </c>
      <c r="D55" t="s">
        <v>100</v>
      </c>
      <c r="E55" t="s">
        <v>1874</v>
      </c>
      <c r="F55" t="s">
        <v>1804</v>
      </c>
      <c r="G55" t="s">
        <v>1875</v>
      </c>
      <c r="H55" t="s">
        <v>1875</v>
      </c>
      <c r="I55" t="s">
        <v>1876</v>
      </c>
    </row>
    <row r="56" spans="1:9" x14ac:dyDescent="0.35">
      <c r="A56">
        <f t="shared" si="0"/>
        <v>55</v>
      </c>
      <c r="B56">
        <v>56</v>
      </c>
      <c r="C56" t="s">
        <v>1877</v>
      </c>
      <c r="D56" t="s">
        <v>105</v>
      </c>
      <c r="E56" t="s">
        <v>1878</v>
      </c>
      <c r="F56" t="s">
        <v>1879</v>
      </c>
      <c r="G56" t="s">
        <v>1880</v>
      </c>
      <c r="H56" t="s">
        <v>1880</v>
      </c>
      <c r="I56" t="s">
        <v>1881</v>
      </c>
    </row>
    <row r="57" spans="1:9" x14ac:dyDescent="0.35">
      <c r="A57">
        <f t="shared" si="0"/>
        <v>56</v>
      </c>
      <c r="B57">
        <v>58</v>
      </c>
      <c r="C57" t="s">
        <v>1882</v>
      </c>
      <c r="D57" t="s">
        <v>108</v>
      </c>
      <c r="E57" t="s">
        <v>1883</v>
      </c>
      <c r="F57" t="s">
        <v>1884</v>
      </c>
      <c r="G57" t="s">
        <v>1883</v>
      </c>
      <c r="H57" t="s">
        <v>1883</v>
      </c>
      <c r="I57" t="s">
        <v>1885</v>
      </c>
    </row>
    <row r="58" spans="1:9" x14ac:dyDescent="0.35">
      <c r="A58">
        <f t="shared" si="0"/>
        <v>57</v>
      </c>
      <c r="B58">
        <v>59</v>
      </c>
      <c r="C58" t="s">
        <v>1886</v>
      </c>
      <c r="D58" t="s">
        <v>110</v>
      </c>
      <c r="E58" t="s">
        <v>1887</v>
      </c>
      <c r="F58" t="s">
        <v>1888</v>
      </c>
      <c r="G58" t="s">
        <v>1887</v>
      </c>
      <c r="H58" t="s">
        <v>1889</v>
      </c>
      <c r="I58" t="s">
        <v>1890</v>
      </c>
    </row>
    <row r="59" spans="1:9" x14ac:dyDescent="0.35">
      <c r="A59">
        <f t="shared" si="0"/>
        <v>58</v>
      </c>
      <c r="B59">
        <v>60</v>
      </c>
      <c r="C59" t="s">
        <v>1891</v>
      </c>
      <c r="D59" t="s">
        <v>112</v>
      </c>
      <c r="E59" t="s">
        <v>1892</v>
      </c>
      <c r="F59" t="s">
        <v>1893</v>
      </c>
      <c r="G59" t="s">
        <v>1894</v>
      </c>
      <c r="H59" t="s">
        <v>1894</v>
      </c>
      <c r="I59" t="s">
        <v>1895</v>
      </c>
    </row>
    <row r="60" spans="1:9" x14ac:dyDescent="0.35">
      <c r="A60">
        <f t="shared" si="0"/>
        <v>59</v>
      </c>
      <c r="B60">
        <v>61</v>
      </c>
      <c r="C60" t="s">
        <v>1896</v>
      </c>
      <c r="D60" t="s">
        <v>114</v>
      </c>
      <c r="E60" t="s">
        <v>1897</v>
      </c>
      <c r="F60" t="s">
        <v>1596</v>
      </c>
      <c r="G60" t="s">
        <v>1897</v>
      </c>
      <c r="H60" t="s">
        <v>1897</v>
      </c>
      <c r="I60" t="s">
        <v>1898</v>
      </c>
    </row>
    <row r="61" spans="1:9" x14ac:dyDescent="0.35">
      <c r="A61">
        <f t="shared" si="0"/>
        <v>60</v>
      </c>
      <c r="B61">
        <v>62</v>
      </c>
      <c r="C61" t="s">
        <v>1899</v>
      </c>
      <c r="D61" t="s">
        <v>116</v>
      </c>
      <c r="E61" t="s">
        <v>1900</v>
      </c>
      <c r="F61" t="s">
        <v>1829</v>
      </c>
      <c r="G61" t="s">
        <v>1901</v>
      </c>
      <c r="H61" t="s">
        <v>1902</v>
      </c>
      <c r="I61" t="s">
        <v>1903</v>
      </c>
    </row>
    <row r="62" spans="1:9" x14ac:dyDescent="0.35">
      <c r="A62">
        <f t="shared" si="0"/>
        <v>61</v>
      </c>
      <c r="B62">
        <v>64</v>
      </c>
      <c r="C62" t="s">
        <v>1904</v>
      </c>
      <c r="D62" t="s">
        <v>119</v>
      </c>
      <c r="E62" t="s">
        <v>1905</v>
      </c>
      <c r="F62" t="s">
        <v>1906</v>
      </c>
      <c r="G62" t="s">
        <v>1907</v>
      </c>
      <c r="H62" t="s">
        <v>1907</v>
      </c>
      <c r="I62" t="s">
        <v>1908</v>
      </c>
    </row>
    <row r="63" spans="1:9" x14ac:dyDescent="0.35">
      <c r="A63">
        <f t="shared" si="0"/>
        <v>62</v>
      </c>
      <c r="B63">
        <v>65</v>
      </c>
      <c r="C63" t="s">
        <v>1909</v>
      </c>
      <c r="D63" t="s">
        <v>121</v>
      </c>
      <c r="E63" t="s">
        <v>1910</v>
      </c>
      <c r="F63" t="s">
        <v>1652</v>
      </c>
      <c r="G63" t="s">
        <v>1911</v>
      </c>
      <c r="H63" t="s">
        <v>1911</v>
      </c>
      <c r="I63" t="s">
        <v>1912</v>
      </c>
    </row>
    <row r="64" spans="1:9" x14ac:dyDescent="0.35">
      <c r="A64">
        <f t="shared" si="0"/>
        <v>63</v>
      </c>
      <c r="B64">
        <v>66</v>
      </c>
      <c r="C64" t="s">
        <v>1913</v>
      </c>
      <c r="D64" t="s">
        <v>123</v>
      </c>
      <c r="E64" t="s">
        <v>1914</v>
      </c>
      <c r="F64" t="s">
        <v>1915</v>
      </c>
      <c r="G64" t="s">
        <v>1916</v>
      </c>
      <c r="H64" t="s">
        <v>1916</v>
      </c>
      <c r="I64" t="s">
        <v>1917</v>
      </c>
    </row>
    <row r="65" spans="1:9" x14ac:dyDescent="0.35">
      <c r="A65">
        <f t="shared" si="0"/>
        <v>64</v>
      </c>
      <c r="B65">
        <v>67</v>
      </c>
      <c r="C65" t="s">
        <v>1918</v>
      </c>
      <c r="D65" t="s">
        <v>125</v>
      </c>
      <c r="E65" t="s">
        <v>1919</v>
      </c>
      <c r="F65" t="s">
        <v>1920</v>
      </c>
      <c r="G65" t="s">
        <v>1921</v>
      </c>
      <c r="H65" t="s">
        <v>1921</v>
      </c>
      <c r="I65" t="s">
        <v>1922</v>
      </c>
    </row>
    <row r="66" spans="1:9" x14ac:dyDescent="0.35">
      <c r="A66">
        <f t="shared" si="0"/>
        <v>65</v>
      </c>
      <c r="B66">
        <v>68</v>
      </c>
      <c r="C66" t="s">
        <v>1923</v>
      </c>
      <c r="D66" t="s">
        <v>127</v>
      </c>
      <c r="E66" t="s">
        <v>1924</v>
      </c>
      <c r="F66" t="s">
        <v>1624</v>
      </c>
      <c r="G66" t="s">
        <v>1925</v>
      </c>
      <c r="H66" t="s">
        <v>1925</v>
      </c>
      <c r="I66" t="s">
        <v>1926</v>
      </c>
    </row>
    <row r="67" spans="1:9" x14ac:dyDescent="0.35">
      <c r="A67">
        <f t="shared" si="0"/>
        <v>66</v>
      </c>
      <c r="B67">
        <v>69</v>
      </c>
      <c r="C67" t="s">
        <v>1927</v>
      </c>
      <c r="D67" t="s">
        <v>129</v>
      </c>
      <c r="E67" t="s">
        <v>1928</v>
      </c>
      <c r="F67" t="s">
        <v>1929</v>
      </c>
      <c r="G67" t="s">
        <v>1930</v>
      </c>
      <c r="H67" t="s">
        <v>1931</v>
      </c>
      <c r="I67" t="s">
        <v>1932</v>
      </c>
    </row>
    <row r="68" spans="1:9" x14ac:dyDescent="0.35">
      <c r="A68">
        <f t="shared" ref="A68:A131" si="1">SUM(A67+1)</f>
        <v>67</v>
      </c>
      <c r="B68">
        <v>70</v>
      </c>
      <c r="C68" t="s">
        <v>1933</v>
      </c>
      <c r="D68" t="s">
        <v>93</v>
      </c>
      <c r="E68" t="s">
        <v>1934</v>
      </c>
      <c r="F68" t="s">
        <v>1596</v>
      </c>
      <c r="G68" t="s">
        <v>1935</v>
      </c>
      <c r="H68" t="s">
        <v>1935</v>
      </c>
      <c r="I68" t="s">
        <v>1936</v>
      </c>
    </row>
    <row r="69" spans="1:9" x14ac:dyDescent="0.35">
      <c r="A69">
        <f t="shared" si="1"/>
        <v>68</v>
      </c>
      <c r="B69">
        <v>72</v>
      </c>
      <c r="C69" t="s">
        <v>1937</v>
      </c>
      <c r="D69" t="s">
        <v>133</v>
      </c>
      <c r="E69" t="s">
        <v>1938</v>
      </c>
      <c r="F69" t="s">
        <v>1596</v>
      </c>
      <c r="G69" t="s">
        <v>1938</v>
      </c>
      <c r="H69" t="s">
        <v>1938</v>
      </c>
      <c r="I69" t="s">
        <v>1939</v>
      </c>
    </row>
    <row r="70" spans="1:9" x14ac:dyDescent="0.35">
      <c r="A70">
        <f t="shared" si="1"/>
        <v>69</v>
      </c>
      <c r="B70">
        <v>73</v>
      </c>
      <c r="C70" t="s">
        <v>1940</v>
      </c>
      <c r="D70" t="s">
        <v>135</v>
      </c>
      <c r="E70" t="s">
        <v>1941</v>
      </c>
      <c r="F70" t="s">
        <v>1692</v>
      </c>
      <c r="G70" t="s">
        <v>1942</v>
      </c>
      <c r="H70" t="s">
        <v>1942</v>
      </c>
      <c r="I70" t="s">
        <v>1943</v>
      </c>
    </row>
    <row r="71" spans="1:9" x14ac:dyDescent="0.35">
      <c r="A71">
        <f t="shared" si="1"/>
        <v>70</v>
      </c>
      <c r="B71">
        <v>74</v>
      </c>
      <c r="C71" t="s">
        <v>1944</v>
      </c>
      <c r="D71" t="s">
        <v>137</v>
      </c>
      <c r="E71" t="s">
        <v>1945</v>
      </c>
      <c r="F71" t="s">
        <v>1946</v>
      </c>
      <c r="G71" t="s">
        <v>1947</v>
      </c>
      <c r="H71" t="s">
        <v>1947</v>
      </c>
      <c r="I71" t="s">
        <v>1948</v>
      </c>
    </row>
    <row r="72" spans="1:9" x14ac:dyDescent="0.35">
      <c r="A72">
        <f t="shared" si="1"/>
        <v>71</v>
      </c>
      <c r="B72">
        <v>75</v>
      </c>
      <c r="C72" t="s">
        <v>1949</v>
      </c>
      <c r="D72" t="s">
        <v>139</v>
      </c>
      <c r="E72" t="s">
        <v>1950</v>
      </c>
      <c r="F72" t="s">
        <v>1951</v>
      </c>
      <c r="G72" t="s">
        <v>1952</v>
      </c>
      <c r="H72" t="s">
        <v>3653</v>
      </c>
      <c r="I72" t="s">
        <v>3654</v>
      </c>
    </row>
    <row r="73" spans="1:9" x14ac:dyDescent="0.35">
      <c r="A73">
        <f t="shared" si="1"/>
        <v>72</v>
      </c>
      <c r="B73">
        <v>76</v>
      </c>
      <c r="C73" t="s">
        <v>1954</v>
      </c>
      <c r="D73" t="s">
        <v>141</v>
      </c>
      <c r="E73" t="s">
        <v>1955</v>
      </c>
      <c r="F73" t="s">
        <v>1730</v>
      </c>
      <c r="G73" t="s">
        <v>1956</v>
      </c>
      <c r="H73" t="s">
        <v>1956</v>
      </c>
      <c r="I73" t="s">
        <v>1957</v>
      </c>
    </row>
    <row r="74" spans="1:9" x14ac:dyDescent="0.35">
      <c r="A74">
        <f t="shared" si="1"/>
        <v>73</v>
      </c>
      <c r="B74">
        <v>77</v>
      </c>
      <c r="C74" t="s">
        <v>1958</v>
      </c>
      <c r="D74" t="s">
        <v>143</v>
      </c>
      <c r="E74" t="s">
        <v>1959</v>
      </c>
      <c r="F74" t="s">
        <v>1893</v>
      </c>
      <c r="G74" t="s">
        <v>1960</v>
      </c>
      <c r="H74" t="s">
        <v>1960</v>
      </c>
      <c r="I74" t="s">
        <v>1961</v>
      </c>
    </row>
    <row r="75" spans="1:9" x14ac:dyDescent="0.35">
      <c r="A75">
        <f t="shared" si="1"/>
        <v>74</v>
      </c>
      <c r="B75">
        <v>78</v>
      </c>
      <c r="C75" t="s">
        <v>1962</v>
      </c>
      <c r="D75" t="s">
        <v>143</v>
      </c>
      <c r="E75" t="s">
        <v>1963</v>
      </c>
      <c r="F75" t="s">
        <v>1964</v>
      </c>
      <c r="G75" t="s">
        <v>1965</v>
      </c>
      <c r="H75" t="s">
        <v>1965</v>
      </c>
      <c r="I75" t="s">
        <v>1966</v>
      </c>
    </row>
    <row r="76" spans="1:9" x14ac:dyDescent="0.35">
      <c r="A76">
        <f t="shared" si="1"/>
        <v>75</v>
      </c>
      <c r="B76">
        <v>79</v>
      </c>
      <c r="C76" t="s">
        <v>1967</v>
      </c>
      <c r="D76" t="s">
        <v>143</v>
      </c>
      <c r="E76" t="s">
        <v>1968</v>
      </c>
      <c r="F76" t="s">
        <v>1893</v>
      </c>
      <c r="G76" t="s">
        <v>1969</v>
      </c>
      <c r="H76" t="s">
        <v>1969</v>
      </c>
      <c r="I76" t="s">
        <v>1970</v>
      </c>
    </row>
    <row r="77" spans="1:9" x14ac:dyDescent="0.35">
      <c r="A77">
        <f t="shared" si="1"/>
        <v>76</v>
      </c>
      <c r="B77">
        <v>81</v>
      </c>
      <c r="C77" t="s">
        <v>1971</v>
      </c>
      <c r="D77" t="s">
        <v>149</v>
      </c>
      <c r="E77" t="s">
        <v>1972</v>
      </c>
      <c r="F77" t="s">
        <v>1973</v>
      </c>
      <c r="G77" t="s">
        <v>1974</v>
      </c>
      <c r="H77" t="s">
        <v>1974</v>
      </c>
      <c r="I77" t="s">
        <v>1975</v>
      </c>
    </row>
    <row r="78" spans="1:9" x14ac:dyDescent="0.35">
      <c r="A78">
        <f t="shared" si="1"/>
        <v>77</v>
      </c>
      <c r="B78">
        <v>82</v>
      </c>
      <c r="C78" t="s">
        <v>1976</v>
      </c>
      <c r="D78" t="s">
        <v>143</v>
      </c>
      <c r="E78" t="s">
        <v>1977</v>
      </c>
      <c r="F78" t="s">
        <v>1724</v>
      </c>
      <c r="G78" t="s">
        <v>1978</v>
      </c>
      <c r="H78" t="s">
        <v>1978</v>
      </c>
      <c r="I78" t="s">
        <v>1979</v>
      </c>
    </row>
    <row r="79" spans="1:9" x14ac:dyDescent="0.35">
      <c r="A79">
        <f t="shared" si="1"/>
        <v>78</v>
      </c>
      <c r="B79">
        <v>83</v>
      </c>
      <c r="C79" t="s">
        <v>1980</v>
      </c>
      <c r="D79" t="s">
        <v>143</v>
      </c>
      <c r="E79" t="s">
        <v>1981</v>
      </c>
      <c r="F79" t="s">
        <v>1692</v>
      </c>
      <c r="G79" t="s">
        <v>1982</v>
      </c>
      <c r="H79" t="s">
        <v>1982</v>
      </c>
      <c r="I79" t="s">
        <v>1983</v>
      </c>
    </row>
    <row r="80" spans="1:9" x14ac:dyDescent="0.35">
      <c r="A80">
        <f t="shared" si="1"/>
        <v>79</v>
      </c>
      <c r="B80">
        <v>84</v>
      </c>
      <c r="C80" t="s">
        <v>1984</v>
      </c>
      <c r="D80" t="s">
        <v>153</v>
      </c>
      <c r="E80" t="s">
        <v>1985</v>
      </c>
      <c r="F80" t="s">
        <v>1804</v>
      </c>
      <c r="G80" t="s">
        <v>1986</v>
      </c>
      <c r="H80" t="s">
        <v>1986</v>
      </c>
      <c r="I80" t="s">
        <v>1987</v>
      </c>
    </row>
    <row r="81" spans="1:9" x14ac:dyDescent="0.35">
      <c r="A81">
        <f t="shared" si="1"/>
        <v>80</v>
      </c>
      <c r="B81">
        <v>86</v>
      </c>
      <c r="C81" t="s">
        <v>1988</v>
      </c>
      <c r="D81" t="s">
        <v>157</v>
      </c>
      <c r="E81" t="s">
        <v>1989</v>
      </c>
      <c r="F81" t="s">
        <v>1990</v>
      </c>
      <c r="G81" t="s">
        <v>1991</v>
      </c>
      <c r="H81" t="s">
        <v>1991</v>
      </c>
      <c r="I81" t="s">
        <v>1992</v>
      </c>
    </row>
    <row r="82" spans="1:9" x14ac:dyDescent="0.35">
      <c r="A82">
        <f t="shared" si="1"/>
        <v>81</v>
      </c>
      <c r="B82">
        <v>87</v>
      </c>
      <c r="C82" t="s">
        <v>1993</v>
      </c>
      <c r="D82" t="s">
        <v>159</v>
      </c>
      <c r="E82" t="s">
        <v>1994</v>
      </c>
      <c r="F82" t="s">
        <v>1735</v>
      </c>
      <c r="G82" t="s">
        <v>1995</v>
      </c>
      <c r="H82" t="s">
        <v>1995</v>
      </c>
      <c r="I82" t="s">
        <v>1996</v>
      </c>
    </row>
    <row r="83" spans="1:9" x14ac:dyDescent="0.35">
      <c r="A83">
        <f t="shared" si="1"/>
        <v>82</v>
      </c>
      <c r="B83">
        <v>88</v>
      </c>
      <c r="C83" t="s">
        <v>1997</v>
      </c>
      <c r="D83" t="s">
        <v>161</v>
      </c>
      <c r="E83" t="s">
        <v>1998</v>
      </c>
      <c r="F83" t="s">
        <v>1999</v>
      </c>
      <c r="G83" t="s">
        <v>2000</v>
      </c>
      <c r="H83" t="s">
        <v>2000</v>
      </c>
      <c r="I83" t="s">
        <v>2001</v>
      </c>
    </row>
    <row r="84" spans="1:9" x14ac:dyDescent="0.35">
      <c r="A84">
        <f t="shared" si="1"/>
        <v>83</v>
      </c>
      <c r="B84">
        <v>89</v>
      </c>
      <c r="C84" t="s">
        <v>2002</v>
      </c>
      <c r="D84" t="s">
        <v>102</v>
      </c>
      <c r="E84" t="s">
        <v>2003</v>
      </c>
      <c r="F84" t="s">
        <v>1613</v>
      </c>
      <c r="G84" t="s">
        <v>2004</v>
      </c>
      <c r="H84" t="s">
        <v>2004</v>
      </c>
      <c r="I84" t="s">
        <v>2005</v>
      </c>
    </row>
    <row r="85" spans="1:9" x14ac:dyDescent="0.35">
      <c r="A85">
        <f t="shared" si="1"/>
        <v>84</v>
      </c>
      <c r="B85">
        <v>90</v>
      </c>
      <c r="C85" t="s">
        <v>2006</v>
      </c>
      <c r="D85" t="s">
        <v>125</v>
      </c>
      <c r="E85" t="s">
        <v>2007</v>
      </c>
      <c r="F85" t="s">
        <v>2008</v>
      </c>
      <c r="G85" t="s">
        <v>2009</v>
      </c>
      <c r="H85" t="s">
        <v>3655</v>
      </c>
      <c r="I85" t="s">
        <v>3656</v>
      </c>
    </row>
    <row r="86" spans="1:9" x14ac:dyDescent="0.35">
      <c r="A86">
        <f t="shared" si="1"/>
        <v>85</v>
      </c>
      <c r="B86">
        <v>91</v>
      </c>
      <c r="C86" t="s">
        <v>2011</v>
      </c>
      <c r="D86" t="s">
        <v>137</v>
      </c>
      <c r="E86" t="s">
        <v>2012</v>
      </c>
      <c r="F86" t="s">
        <v>1613</v>
      </c>
      <c r="G86" t="s">
        <v>2013</v>
      </c>
      <c r="H86" t="s">
        <v>2014</v>
      </c>
      <c r="I86" t="s">
        <v>2015</v>
      </c>
    </row>
    <row r="87" spans="1:9" x14ac:dyDescent="0.35">
      <c r="A87">
        <f t="shared" si="1"/>
        <v>86</v>
      </c>
      <c r="B87">
        <v>92</v>
      </c>
      <c r="C87" t="s">
        <v>2016</v>
      </c>
      <c r="D87" t="s">
        <v>166</v>
      </c>
      <c r="E87" t="s">
        <v>2017</v>
      </c>
      <c r="F87" t="s">
        <v>1844</v>
      </c>
      <c r="G87" t="s">
        <v>2018</v>
      </c>
      <c r="H87" t="s">
        <v>2018</v>
      </c>
      <c r="I87" t="s">
        <v>2019</v>
      </c>
    </row>
    <row r="88" spans="1:9" x14ac:dyDescent="0.35">
      <c r="A88">
        <f t="shared" si="1"/>
        <v>87</v>
      </c>
      <c r="B88">
        <v>93</v>
      </c>
      <c r="C88" t="s">
        <v>2020</v>
      </c>
      <c r="D88" t="s">
        <v>168</v>
      </c>
      <c r="E88" t="s">
        <v>2021</v>
      </c>
      <c r="F88" t="s">
        <v>2022</v>
      </c>
      <c r="G88" t="s">
        <v>2023</v>
      </c>
      <c r="H88" t="s">
        <v>2024</v>
      </c>
      <c r="I88" t="s">
        <v>2025</v>
      </c>
    </row>
    <row r="89" spans="1:9" x14ac:dyDescent="0.35">
      <c r="A89">
        <f t="shared" si="1"/>
        <v>88</v>
      </c>
      <c r="B89">
        <v>94</v>
      </c>
      <c r="C89" t="s">
        <v>2026</v>
      </c>
      <c r="D89" t="s">
        <v>170</v>
      </c>
      <c r="E89" t="s">
        <v>2027</v>
      </c>
      <c r="F89" t="s">
        <v>1596</v>
      </c>
      <c r="G89" t="s">
        <v>2028</v>
      </c>
      <c r="H89" t="s">
        <v>2028</v>
      </c>
      <c r="I89" t="s">
        <v>2029</v>
      </c>
    </row>
    <row r="90" spans="1:9" x14ac:dyDescent="0.35">
      <c r="A90">
        <f t="shared" si="1"/>
        <v>89</v>
      </c>
      <c r="B90">
        <v>95</v>
      </c>
      <c r="C90" t="s">
        <v>2030</v>
      </c>
      <c r="D90" t="s">
        <v>172</v>
      </c>
      <c r="E90" t="s">
        <v>2031</v>
      </c>
      <c r="F90" t="s">
        <v>1652</v>
      </c>
      <c r="G90" t="s">
        <v>2032</v>
      </c>
      <c r="H90" t="s">
        <v>2032</v>
      </c>
      <c r="I90" t="s">
        <v>2033</v>
      </c>
    </row>
    <row r="91" spans="1:9" x14ac:dyDescent="0.35">
      <c r="A91">
        <f t="shared" si="1"/>
        <v>90</v>
      </c>
      <c r="B91">
        <v>96</v>
      </c>
      <c r="C91" t="s">
        <v>2034</v>
      </c>
      <c r="D91" t="s">
        <v>174</v>
      </c>
      <c r="E91" t="s">
        <v>2035</v>
      </c>
      <c r="F91" t="s">
        <v>2036</v>
      </c>
      <c r="G91" t="s">
        <v>2037</v>
      </c>
      <c r="H91" t="s">
        <v>2037</v>
      </c>
      <c r="I91" t="s">
        <v>2038</v>
      </c>
    </row>
    <row r="92" spans="1:9" x14ac:dyDescent="0.35">
      <c r="A92">
        <f t="shared" si="1"/>
        <v>91</v>
      </c>
      <c r="B92">
        <v>97</v>
      </c>
      <c r="C92" t="s">
        <v>2039</v>
      </c>
      <c r="D92" t="s">
        <v>176</v>
      </c>
      <c r="E92" t="s">
        <v>2040</v>
      </c>
      <c r="F92" t="s">
        <v>2041</v>
      </c>
      <c r="G92" t="s">
        <v>2042</v>
      </c>
      <c r="H92" t="s">
        <v>2043</v>
      </c>
      <c r="I92" t="s">
        <v>2044</v>
      </c>
    </row>
    <row r="93" spans="1:9" x14ac:dyDescent="0.35">
      <c r="A93">
        <f t="shared" si="1"/>
        <v>92</v>
      </c>
      <c r="B93">
        <v>98</v>
      </c>
      <c r="C93" t="s">
        <v>2045</v>
      </c>
      <c r="D93" t="s">
        <v>143</v>
      </c>
      <c r="E93" t="s">
        <v>2046</v>
      </c>
      <c r="F93" t="s">
        <v>1929</v>
      </c>
      <c r="G93" t="s">
        <v>2047</v>
      </c>
      <c r="H93" t="s">
        <v>2048</v>
      </c>
      <c r="I93" t="s">
        <v>2049</v>
      </c>
    </row>
    <row r="94" spans="1:9" x14ac:dyDescent="0.35">
      <c r="A94">
        <f t="shared" si="1"/>
        <v>93</v>
      </c>
      <c r="B94">
        <v>99</v>
      </c>
      <c r="C94" t="s">
        <v>2050</v>
      </c>
      <c r="D94" t="s">
        <v>137</v>
      </c>
      <c r="E94" t="s">
        <v>2051</v>
      </c>
      <c r="F94" t="s">
        <v>2052</v>
      </c>
      <c r="G94" t="s">
        <v>2053</v>
      </c>
      <c r="H94" t="s">
        <v>2053</v>
      </c>
      <c r="I94" t="s">
        <v>2054</v>
      </c>
    </row>
    <row r="95" spans="1:9" x14ac:dyDescent="0.35">
      <c r="A95">
        <f t="shared" si="1"/>
        <v>94</v>
      </c>
      <c r="B95">
        <v>100</v>
      </c>
      <c r="C95" t="s">
        <v>2055</v>
      </c>
      <c r="D95" t="s">
        <v>180</v>
      </c>
      <c r="E95" t="s">
        <v>2056</v>
      </c>
      <c r="F95" t="s">
        <v>2008</v>
      </c>
      <c r="G95" t="s">
        <v>2057</v>
      </c>
      <c r="H95" t="s">
        <v>2057</v>
      </c>
      <c r="I95" t="s">
        <v>2058</v>
      </c>
    </row>
    <row r="96" spans="1:9" x14ac:dyDescent="0.35">
      <c r="A96">
        <f t="shared" si="1"/>
        <v>95</v>
      </c>
      <c r="B96">
        <v>101</v>
      </c>
      <c r="C96" t="s">
        <v>2059</v>
      </c>
      <c r="D96" t="s">
        <v>182</v>
      </c>
      <c r="E96" t="s">
        <v>2060</v>
      </c>
      <c r="F96" t="s">
        <v>1692</v>
      </c>
      <c r="G96" t="s">
        <v>2061</v>
      </c>
      <c r="H96" t="s">
        <v>2061</v>
      </c>
      <c r="I96" t="s">
        <v>2062</v>
      </c>
    </row>
    <row r="97" spans="1:9" x14ac:dyDescent="0.35">
      <c r="A97">
        <f t="shared" si="1"/>
        <v>96</v>
      </c>
      <c r="B97">
        <v>102</v>
      </c>
      <c r="C97" t="s">
        <v>2063</v>
      </c>
      <c r="D97" t="s">
        <v>172</v>
      </c>
      <c r="E97" t="s">
        <v>2064</v>
      </c>
      <c r="F97" t="s">
        <v>1674</v>
      </c>
      <c r="G97" t="s">
        <v>2065</v>
      </c>
      <c r="H97" t="s">
        <v>2065</v>
      </c>
      <c r="I97" t="s">
        <v>2066</v>
      </c>
    </row>
    <row r="98" spans="1:9" x14ac:dyDescent="0.35">
      <c r="A98">
        <f t="shared" si="1"/>
        <v>97</v>
      </c>
      <c r="B98">
        <v>103</v>
      </c>
      <c r="C98" t="s">
        <v>2067</v>
      </c>
      <c r="D98" t="s">
        <v>185</v>
      </c>
      <c r="E98" t="s">
        <v>2068</v>
      </c>
      <c r="F98" t="s">
        <v>2069</v>
      </c>
      <c r="G98" t="s">
        <v>2070</v>
      </c>
      <c r="H98" t="s">
        <v>2070</v>
      </c>
      <c r="I98" t="s">
        <v>2071</v>
      </c>
    </row>
    <row r="99" spans="1:9" x14ac:dyDescent="0.35">
      <c r="A99">
        <f t="shared" si="1"/>
        <v>98</v>
      </c>
      <c r="B99">
        <v>104</v>
      </c>
      <c r="C99" t="s">
        <v>2072</v>
      </c>
      <c r="D99" t="s">
        <v>76</v>
      </c>
      <c r="E99" t="s">
        <v>2073</v>
      </c>
      <c r="F99" t="s">
        <v>2074</v>
      </c>
      <c r="G99" t="s">
        <v>2075</v>
      </c>
      <c r="H99" t="s">
        <v>2075</v>
      </c>
      <c r="I99" t="s">
        <v>2076</v>
      </c>
    </row>
    <row r="100" spans="1:9" x14ac:dyDescent="0.35">
      <c r="A100">
        <f t="shared" si="1"/>
        <v>99</v>
      </c>
      <c r="B100">
        <v>105</v>
      </c>
      <c r="C100" t="s">
        <v>2077</v>
      </c>
      <c r="D100" t="s">
        <v>182</v>
      </c>
      <c r="E100" t="s">
        <v>2078</v>
      </c>
      <c r="F100" t="s">
        <v>1809</v>
      </c>
      <c r="G100" t="s">
        <v>2078</v>
      </c>
      <c r="H100" t="s">
        <v>2078</v>
      </c>
      <c r="I100" t="s">
        <v>2079</v>
      </c>
    </row>
    <row r="101" spans="1:9" x14ac:dyDescent="0.35">
      <c r="A101">
        <f t="shared" si="1"/>
        <v>100</v>
      </c>
      <c r="B101">
        <v>106</v>
      </c>
      <c r="C101" t="s">
        <v>2080</v>
      </c>
      <c r="D101" t="s">
        <v>189</v>
      </c>
      <c r="E101" t="s">
        <v>2081</v>
      </c>
      <c r="F101" t="s">
        <v>2082</v>
      </c>
      <c r="G101" t="s">
        <v>2083</v>
      </c>
      <c r="H101" t="s">
        <v>2084</v>
      </c>
      <c r="I101" t="s">
        <v>2085</v>
      </c>
    </row>
    <row r="102" spans="1:9" x14ac:dyDescent="0.35">
      <c r="A102">
        <f t="shared" si="1"/>
        <v>101</v>
      </c>
      <c r="B102">
        <v>107</v>
      </c>
      <c r="C102" t="s">
        <v>2086</v>
      </c>
      <c r="D102" t="s">
        <v>93</v>
      </c>
      <c r="E102" t="s">
        <v>2087</v>
      </c>
      <c r="F102" t="s">
        <v>1596</v>
      </c>
      <c r="G102" t="s">
        <v>2088</v>
      </c>
      <c r="H102" t="s">
        <v>2088</v>
      </c>
      <c r="I102" t="s">
        <v>2089</v>
      </c>
    </row>
    <row r="103" spans="1:9" x14ac:dyDescent="0.35">
      <c r="A103">
        <f t="shared" si="1"/>
        <v>102</v>
      </c>
      <c r="B103">
        <v>108</v>
      </c>
      <c r="C103" t="s">
        <v>2090</v>
      </c>
      <c r="D103" t="s">
        <v>192</v>
      </c>
      <c r="E103" t="s">
        <v>2091</v>
      </c>
      <c r="F103" t="s">
        <v>2092</v>
      </c>
      <c r="G103" t="s">
        <v>2093</v>
      </c>
      <c r="H103" t="s">
        <v>2093</v>
      </c>
      <c r="I103" t="s">
        <v>2094</v>
      </c>
    </row>
    <row r="104" spans="1:9" x14ac:dyDescent="0.35">
      <c r="A104">
        <f t="shared" si="1"/>
        <v>103</v>
      </c>
      <c r="B104">
        <v>109</v>
      </c>
      <c r="C104" t="s">
        <v>2095</v>
      </c>
      <c r="D104" t="s">
        <v>93</v>
      </c>
      <c r="E104" t="s">
        <v>2096</v>
      </c>
      <c r="F104" t="s">
        <v>1730</v>
      </c>
      <c r="G104" t="s">
        <v>2097</v>
      </c>
      <c r="H104" t="s">
        <v>2097</v>
      </c>
      <c r="I104" t="s">
        <v>2098</v>
      </c>
    </row>
    <row r="105" spans="1:9" x14ac:dyDescent="0.35">
      <c r="A105">
        <f t="shared" si="1"/>
        <v>104</v>
      </c>
      <c r="B105">
        <v>110</v>
      </c>
      <c r="C105" t="s">
        <v>2099</v>
      </c>
      <c r="D105" t="s">
        <v>174</v>
      </c>
      <c r="E105" t="s">
        <v>2100</v>
      </c>
      <c r="F105" t="s">
        <v>1629</v>
      </c>
      <c r="G105" t="s">
        <v>2101</v>
      </c>
      <c r="H105" t="s">
        <v>2101</v>
      </c>
      <c r="I105" t="s">
        <v>2102</v>
      </c>
    </row>
    <row r="106" spans="1:9" x14ac:dyDescent="0.35">
      <c r="A106">
        <f t="shared" si="1"/>
        <v>105</v>
      </c>
      <c r="B106">
        <v>111</v>
      </c>
      <c r="C106" t="s">
        <v>2103</v>
      </c>
      <c r="D106" t="s">
        <v>196</v>
      </c>
      <c r="E106" t="s">
        <v>2104</v>
      </c>
      <c r="F106" t="s">
        <v>1735</v>
      </c>
      <c r="G106" t="s">
        <v>2105</v>
      </c>
      <c r="H106" t="s">
        <v>2105</v>
      </c>
      <c r="I106" t="s">
        <v>2106</v>
      </c>
    </row>
    <row r="107" spans="1:9" x14ac:dyDescent="0.35">
      <c r="A107">
        <f t="shared" si="1"/>
        <v>106</v>
      </c>
      <c r="B107">
        <v>112</v>
      </c>
      <c r="C107" t="s">
        <v>2107</v>
      </c>
      <c r="D107" t="s">
        <v>137</v>
      </c>
      <c r="E107" t="s">
        <v>2108</v>
      </c>
      <c r="F107" t="s">
        <v>2109</v>
      </c>
      <c r="G107" t="s">
        <v>2110</v>
      </c>
      <c r="H107" t="s">
        <v>2110</v>
      </c>
      <c r="I107" t="s">
        <v>2111</v>
      </c>
    </row>
    <row r="108" spans="1:9" x14ac:dyDescent="0.35">
      <c r="A108">
        <f t="shared" si="1"/>
        <v>107</v>
      </c>
      <c r="B108">
        <v>113</v>
      </c>
      <c r="C108" t="s">
        <v>2112</v>
      </c>
      <c r="D108" t="s">
        <v>137</v>
      </c>
      <c r="E108" t="s">
        <v>2113</v>
      </c>
      <c r="F108" t="s">
        <v>2114</v>
      </c>
      <c r="G108" t="s">
        <v>2115</v>
      </c>
      <c r="H108" t="s">
        <v>2115</v>
      </c>
      <c r="I108" t="s">
        <v>2116</v>
      </c>
    </row>
    <row r="109" spans="1:9" x14ac:dyDescent="0.35">
      <c r="A109">
        <f t="shared" si="1"/>
        <v>108</v>
      </c>
      <c r="B109">
        <v>114</v>
      </c>
      <c r="C109" t="s">
        <v>2117</v>
      </c>
      <c r="D109" t="s">
        <v>200</v>
      </c>
      <c r="E109" t="s">
        <v>2118</v>
      </c>
      <c r="F109" t="s">
        <v>1724</v>
      </c>
      <c r="G109" t="s">
        <v>2119</v>
      </c>
      <c r="H109" t="s">
        <v>3657</v>
      </c>
      <c r="I109" t="s">
        <v>3658</v>
      </c>
    </row>
    <row r="110" spans="1:9" x14ac:dyDescent="0.35">
      <c r="A110">
        <f t="shared" si="1"/>
        <v>109</v>
      </c>
      <c r="B110">
        <v>115</v>
      </c>
      <c r="C110" t="s">
        <v>2121</v>
      </c>
      <c r="D110" t="s">
        <v>202</v>
      </c>
      <c r="E110" t="s">
        <v>2122</v>
      </c>
      <c r="F110" t="s">
        <v>1596</v>
      </c>
      <c r="G110" t="s">
        <v>2123</v>
      </c>
      <c r="H110" t="s">
        <v>2123</v>
      </c>
      <c r="I110" t="s">
        <v>2124</v>
      </c>
    </row>
    <row r="111" spans="1:9" x14ac:dyDescent="0.35">
      <c r="A111">
        <f t="shared" si="1"/>
        <v>110</v>
      </c>
      <c r="B111">
        <v>116</v>
      </c>
      <c r="C111" t="s">
        <v>2125</v>
      </c>
      <c r="D111" t="s">
        <v>202</v>
      </c>
      <c r="E111" t="s">
        <v>2126</v>
      </c>
      <c r="F111" t="s">
        <v>1888</v>
      </c>
      <c r="G111" t="s">
        <v>2126</v>
      </c>
      <c r="H111" t="s">
        <v>2126</v>
      </c>
      <c r="I111" t="s">
        <v>2127</v>
      </c>
    </row>
    <row r="112" spans="1:9" x14ac:dyDescent="0.35">
      <c r="A112">
        <f t="shared" si="1"/>
        <v>111</v>
      </c>
      <c r="B112">
        <v>117</v>
      </c>
      <c r="C112" t="s">
        <v>2128</v>
      </c>
      <c r="D112" t="s">
        <v>205</v>
      </c>
      <c r="E112" t="s">
        <v>2129</v>
      </c>
      <c r="F112" t="s">
        <v>1730</v>
      </c>
      <c r="G112" t="s">
        <v>2130</v>
      </c>
      <c r="H112" t="s">
        <v>2130</v>
      </c>
      <c r="I112" t="s">
        <v>2131</v>
      </c>
    </row>
    <row r="113" spans="1:9" x14ac:dyDescent="0.35">
      <c r="A113">
        <f t="shared" si="1"/>
        <v>112</v>
      </c>
      <c r="B113">
        <v>118</v>
      </c>
      <c r="C113" t="s">
        <v>2132</v>
      </c>
      <c r="D113" t="s">
        <v>207</v>
      </c>
      <c r="E113" t="s">
        <v>2133</v>
      </c>
      <c r="F113" t="s">
        <v>2134</v>
      </c>
      <c r="G113" t="s">
        <v>2135</v>
      </c>
      <c r="H113" t="s">
        <v>2135</v>
      </c>
      <c r="I113" t="s">
        <v>2136</v>
      </c>
    </row>
    <row r="114" spans="1:9" x14ac:dyDescent="0.35">
      <c r="A114">
        <f t="shared" si="1"/>
        <v>113</v>
      </c>
      <c r="B114">
        <v>119</v>
      </c>
      <c r="C114" t="s">
        <v>2137</v>
      </c>
      <c r="D114" t="s">
        <v>209</v>
      </c>
      <c r="E114" t="s">
        <v>2138</v>
      </c>
      <c r="F114" t="s">
        <v>1844</v>
      </c>
      <c r="G114" t="s">
        <v>2139</v>
      </c>
      <c r="H114" t="s">
        <v>2139</v>
      </c>
      <c r="I114" t="s">
        <v>2140</v>
      </c>
    </row>
    <row r="115" spans="1:9" x14ac:dyDescent="0.35">
      <c r="A115">
        <f t="shared" si="1"/>
        <v>114</v>
      </c>
      <c r="B115">
        <v>120</v>
      </c>
      <c r="C115" t="s">
        <v>2141</v>
      </c>
      <c r="D115" t="s">
        <v>211</v>
      </c>
      <c r="E115" t="s">
        <v>2142</v>
      </c>
      <c r="F115" t="s">
        <v>2143</v>
      </c>
      <c r="G115" t="s">
        <v>2144</v>
      </c>
      <c r="H115" t="s">
        <v>2145</v>
      </c>
      <c r="I115" t="s">
        <v>2146</v>
      </c>
    </row>
    <row r="116" spans="1:9" x14ac:dyDescent="0.35">
      <c r="A116">
        <f t="shared" si="1"/>
        <v>115</v>
      </c>
      <c r="B116">
        <v>121</v>
      </c>
      <c r="C116" t="s">
        <v>2147</v>
      </c>
      <c r="D116" t="s">
        <v>213</v>
      </c>
      <c r="E116" t="s">
        <v>2148</v>
      </c>
      <c r="F116" t="s">
        <v>2149</v>
      </c>
      <c r="G116" t="s">
        <v>2150</v>
      </c>
      <c r="H116" t="s">
        <v>2150</v>
      </c>
      <c r="I116" t="s">
        <v>2151</v>
      </c>
    </row>
    <row r="117" spans="1:9" x14ac:dyDescent="0.35">
      <c r="A117">
        <f t="shared" si="1"/>
        <v>116</v>
      </c>
      <c r="B117">
        <v>122</v>
      </c>
      <c r="C117" t="s">
        <v>2152</v>
      </c>
      <c r="D117" t="s">
        <v>215</v>
      </c>
      <c r="E117" t="s">
        <v>2153</v>
      </c>
      <c r="F117" t="s">
        <v>2154</v>
      </c>
      <c r="G117" t="s">
        <v>2155</v>
      </c>
      <c r="H117" t="s">
        <v>2155</v>
      </c>
      <c r="I117" t="s">
        <v>2156</v>
      </c>
    </row>
    <row r="118" spans="1:9" x14ac:dyDescent="0.35">
      <c r="A118">
        <f t="shared" si="1"/>
        <v>117</v>
      </c>
      <c r="B118">
        <v>123</v>
      </c>
      <c r="C118" t="s">
        <v>2157</v>
      </c>
      <c r="D118" t="s">
        <v>217</v>
      </c>
      <c r="E118" t="s">
        <v>2158</v>
      </c>
      <c r="F118" t="s">
        <v>2159</v>
      </c>
      <c r="G118" t="s">
        <v>2160</v>
      </c>
      <c r="H118" t="s">
        <v>2160</v>
      </c>
      <c r="I118" t="s">
        <v>2161</v>
      </c>
    </row>
    <row r="119" spans="1:9" x14ac:dyDescent="0.35">
      <c r="A119">
        <f t="shared" si="1"/>
        <v>118</v>
      </c>
      <c r="B119">
        <v>124</v>
      </c>
      <c r="C119" t="s">
        <v>2162</v>
      </c>
      <c r="D119" t="s">
        <v>219</v>
      </c>
      <c r="E119" t="s">
        <v>2163</v>
      </c>
      <c r="F119" t="s">
        <v>2164</v>
      </c>
      <c r="G119" t="s">
        <v>2165</v>
      </c>
      <c r="H119" t="s">
        <v>2165</v>
      </c>
      <c r="I119" t="s">
        <v>2166</v>
      </c>
    </row>
    <row r="120" spans="1:9" x14ac:dyDescent="0.35">
      <c r="A120">
        <f t="shared" si="1"/>
        <v>119</v>
      </c>
      <c r="B120">
        <v>125</v>
      </c>
      <c r="C120" t="s">
        <v>2167</v>
      </c>
      <c r="D120" t="s">
        <v>221</v>
      </c>
      <c r="E120" t="s">
        <v>2168</v>
      </c>
      <c r="F120" t="s">
        <v>1804</v>
      </c>
      <c r="G120" t="s">
        <v>2169</v>
      </c>
      <c r="H120" t="s">
        <v>2169</v>
      </c>
      <c r="I120" t="s">
        <v>2170</v>
      </c>
    </row>
    <row r="121" spans="1:9" x14ac:dyDescent="0.35">
      <c r="A121">
        <f t="shared" si="1"/>
        <v>120</v>
      </c>
      <c r="B121">
        <v>126</v>
      </c>
      <c r="C121" t="s">
        <v>2171</v>
      </c>
      <c r="D121" t="s">
        <v>223</v>
      </c>
      <c r="E121" t="s">
        <v>2172</v>
      </c>
      <c r="F121" t="s">
        <v>2109</v>
      </c>
      <c r="G121" t="s">
        <v>2173</v>
      </c>
      <c r="H121" t="s">
        <v>2173</v>
      </c>
      <c r="I121" t="s">
        <v>2174</v>
      </c>
    </row>
    <row r="122" spans="1:9" x14ac:dyDescent="0.35">
      <c r="A122">
        <f t="shared" si="1"/>
        <v>121</v>
      </c>
      <c r="B122">
        <v>127</v>
      </c>
      <c r="C122" t="s">
        <v>2175</v>
      </c>
      <c r="D122" t="s">
        <v>225</v>
      </c>
      <c r="E122" t="s">
        <v>2176</v>
      </c>
      <c r="F122" t="s">
        <v>2177</v>
      </c>
      <c r="G122" t="s">
        <v>2178</v>
      </c>
      <c r="H122" t="s">
        <v>2178</v>
      </c>
      <c r="I122" t="s">
        <v>2179</v>
      </c>
    </row>
    <row r="123" spans="1:9" x14ac:dyDescent="0.35">
      <c r="A123">
        <f t="shared" si="1"/>
        <v>122</v>
      </c>
      <c r="B123">
        <v>128</v>
      </c>
      <c r="C123" t="s">
        <v>2180</v>
      </c>
      <c r="D123" t="s">
        <v>227</v>
      </c>
      <c r="E123" t="s">
        <v>2181</v>
      </c>
      <c r="F123" t="s">
        <v>1804</v>
      </c>
      <c r="G123" t="s">
        <v>2182</v>
      </c>
      <c r="H123" t="s">
        <v>2182</v>
      </c>
      <c r="I123" t="s">
        <v>2183</v>
      </c>
    </row>
    <row r="124" spans="1:9" x14ac:dyDescent="0.35">
      <c r="A124">
        <f t="shared" si="1"/>
        <v>123</v>
      </c>
      <c r="B124">
        <v>129</v>
      </c>
      <c r="C124" t="s">
        <v>2184</v>
      </c>
      <c r="D124" t="s">
        <v>229</v>
      </c>
      <c r="E124" t="s">
        <v>2185</v>
      </c>
      <c r="F124" t="s">
        <v>2186</v>
      </c>
      <c r="G124" t="s">
        <v>2187</v>
      </c>
      <c r="H124" t="s">
        <v>2187</v>
      </c>
      <c r="I124" t="s">
        <v>2188</v>
      </c>
    </row>
    <row r="125" spans="1:9" x14ac:dyDescent="0.35">
      <c r="A125">
        <f t="shared" si="1"/>
        <v>124</v>
      </c>
      <c r="B125">
        <v>130</v>
      </c>
      <c r="C125" t="s">
        <v>2189</v>
      </c>
      <c r="D125" t="s">
        <v>231</v>
      </c>
      <c r="E125" t="s">
        <v>2190</v>
      </c>
      <c r="F125" t="s">
        <v>2191</v>
      </c>
      <c r="G125" t="s">
        <v>2192</v>
      </c>
      <c r="H125" t="s">
        <v>2192</v>
      </c>
      <c r="I125" t="s">
        <v>2193</v>
      </c>
    </row>
    <row r="126" spans="1:9" x14ac:dyDescent="0.35">
      <c r="A126">
        <f t="shared" si="1"/>
        <v>125</v>
      </c>
      <c r="B126">
        <v>131</v>
      </c>
      <c r="C126" t="s">
        <v>2194</v>
      </c>
      <c r="D126" t="s">
        <v>233</v>
      </c>
      <c r="E126" t="s">
        <v>2195</v>
      </c>
      <c r="F126" t="s">
        <v>2196</v>
      </c>
      <c r="G126" t="s">
        <v>2197</v>
      </c>
      <c r="H126" t="s">
        <v>2197</v>
      </c>
      <c r="I126" t="s">
        <v>2198</v>
      </c>
    </row>
    <row r="127" spans="1:9" x14ac:dyDescent="0.35">
      <c r="A127">
        <f t="shared" si="1"/>
        <v>126</v>
      </c>
      <c r="B127">
        <v>132</v>
      </c>
      <c r="C127" t="s">
        <v>2199</v>
      </c>
      <c r="D127" t="s">
        <v>235</v>
      </c>
      <c r="E127" t="s">
        <v>2200</v>
      </c>
      <c r="F127" t="s">
        <v>1692</v>
      </c>
      <c r="G127" t="s">
        <v>2201</v>
      </c>
      <c r="H127" t="s">
        <v>2201</v>
      </c>
      <c r="I127" t="s">
        <v>2202</v>
      </c>
    </row>
    <row r="128" spans="1:9" x14ac:dyDescent="0.35">
      <c r="A128">
        <f t="shared" si="1"/>
        <v>127</v>
      </c>
      <c r="B128">
        <v>133</v>
      </c>
      <c r="C128" t="s">
        <v>2203</v>
      </c>
      <c r="D128" t="s">
        <v>237</v>
      </c>
      <c r="E128" t="s">
        <v>2204</v>
      </c>
      <c r="F128" t="s">
        <v>2205</v>
      </c>
      <c r="G128" t="s">
        <v>2206</v>
      </c>
      <c r="H128" t="s">
        <v>2206</v>
      </c>
      <c r="I128" t="s">
        <v>2207</v>
      </c>
    </row>
    <row r="129" spans="1:9" x14ac:dyDescent="0.35">
      <c r="A129">
        <f t="shared" si="1"/>
        <v>128</v>
      </c>
      <c r="B129">
        <v>134</v>
      </c>
      <c r="C129" t="s">
        <v>2208</v>
      </c>
      <c r="D129" t="s">
        <v>4</v>
      </c>
      <c r="E129" t="s">
        <v>2209</v>
      </c>
      <c r="F129" t="s">
        <v>2210</v>
      </c>
      <c r="G129" t="s">
        <v>2211</v>
      </c>
      <c r="H129" t="s">
        <v>2211</v>
      </c>
      <c r="I129" t="s">
        <v>2212</v>
      </c>
    </row>
    <row r="130" spans="1:9" x14ac:dyDescent="0.35">
      <c r="A130">
        <f t="shared" si="1"/>
        <v>129</v>
      </c>
      <c r="B130">
        <v>135</v>
      </c>
      <c r="C130" t="s">
        <v>2213</v>
      </c>
      <c r="D130" t="s">
        <v>242</v>
      </c>
      <c r="E130" t="s">
        <v>2214</v>
      </c>
      <c r="F130" t="s">
        <v>2215</v>
      </c>
      <c r="G130" t="s">
        <v>2216</v>
      </c>
      <c r="H130" t="s">
        <v>2216</v>
      </c>
      <c r="I130" t="s">
        <v>2217</v>
      </c>
    </row>
    <row r="131" spans="1:9" x14ac:dyDescent="0.35">
      <c r="A131">
        <f t="shared" si="1"/>
        <v>130</v>
      </c>
      <c r="B131">
        <v>136</v>
      </c>
      <c r="C131" t="s">
        <v>2218</v>
      </c>
      <c r="D131" t="s">
        <v>244</v>
      </c>
      <c r="E131" t="s">
        <v>2219</v>
      </c>
      <c r="F131" t="s">
        <v>1624</v>
      </c>
      <c r="G131" t="s">
        <v>2220</v>
      </c>
      <c r="H131" t="s">
        <v>2220</v>
      </c>
      <c r="I131" t="s">
        <v>2221</v>
      </c>
    </row>
    <row r="132" spans="1:9" x14ac:dyDescent="0.35">
      <c r="A132">
        <f t="shared" ref="A132:A195" si="2">SUM(A131+1)</f>
        <v>131</v>
      </c>
      <c r="B132">
        <v>137</v>
      </c>
      <c r="C132" t="s">
        <v>2222</v>
      </c>
      <c r="D132" t="s">
        <v>246</v>
      </c>
      <c r="E132" t="s">
        <v>2223</v>
      </c>
      <c r="F132" t="s">
        <v>2154</v>
      </c>
      <c r="G132" t="s">
        <v>2224</v>
      </c>
      <c r="H132" t="s">
        <v>2225</v>
      </c>
      <c r="I132" t="s">
        <v>2226</v>
      </c>
    </row>
    <row r="133" spans="1:9" x14ac:dyDescent="0.35">
      <c r="A133">
        <f t="shared" si="2"/>
        <v>132</v>
      </c>
      <c r="B133">
        <v>138</v>
      </c>
      <c r="C133" t="s">
        <v>2227</v>
      </c>
      <c r="D133" t="s">
        <v>137</v>
      </c>
      <c r="E133" t="s">
        <v>2228</v>
      </c>
      <c r="F133" t="s">
        <v>2229</v>
      </c>
      <c r="G133" t="s">
        <v>2230</v>
      </c>
      <c r="H133" t="s">
        <v>2230</v>
      </c>
      <c r="I133" t="s">
        <v>2231</v>
      </c>
    </row>
    <row r="134" spans="1:9" x14ac:dyDescent="0.35">
      <c r="A134">
        <f t="shared" si="2"/>
        <v>133</v>
      </c>
      <c r="B134">
        <v>139</v>
      </c>
      <c r="C134" t="s">
        <v>2232</v>
      </c>
      <c r="D134" t="s">
        <v>249</v>
      </c>
      <c r="E134" t="s">
        <v>2233</v>
      </c>
      <c r="F134" t="s">
        <v>2234</v>
      </c>
      <c r="G134" t="s">
        <v>2235</v>
      </c>
      <c r="H134" t="s">
        <v>2235</v>
      </c>
      <c r="I134" t="s">
        <v>2236</v>
      </c>
    </row>
    <row r="135" spans="1:9" x14ac:dyDescent="0.35">
      <c r="A135">
        <f t="shared" si="2"/>
        <v>134</v>
      </c>
      <c r="B135">
        <v>140</v>
      </c>
      <c r="C135" t="s">
        <v>2237</v>
      </c>
      <c r="D135" t="s">
        <v>251</v>
      </c>
      <c r="E135" t="s">
        <v>2238</v>
      </c>
      <c r="F135" t="s">
        <v>2082</v>
      </c>
      <c r="G135" t="s">
        <v>2239</v>
      </c>
      <c r="H135" t="s">
        <v>2240</v>
      </c>
      <c r="I135" t="s">
        <v>2241</v>
      </c>
    </row>
    <row r="136" spans="1:9" x14ac:dyDescent="0.35">
      <c r="A136">
        <f t="shared" si="2"/>
        <v>135</v>
      </c>
      <c r="B136">
        <v>141</v>
      </c>
      <c r="C136" t="s">
        <v>2242</v>
      </c>
      <c r="D136" t="s">
        <v>253</v>
      </c>
      <c r="E136" t="s">
        <v>2243</v>
      </c>
      <c r="F136" t="s">
        <v>2229</v>
      </c>
      <c r="G136" t="s">
        <v>2244</v>
      </c>
      <c r="H136" t="s">
        <v>2244</v>
      </c>
      <c r="I136" t="s">
        <v>2245</v>
      </c>
    </row>
    <row r="137" spans="1:9" x14ac:dyDescent="0.35">
      <c r="A137">
        <f t="shared" si="2"/>
        <v>136</v>
      </c>
      <c r="B137">
        <v>142</v>
      </c>
      <c r="C137" t="s">
        <v>2246</v>
      </c>
      <c r="D137" t="s">
        <v>255</v>
      </c>
      <c r="E137" t="s">
        <v>2247</v>
      </c>
      <c r="F137" t="s">
        <v>2248</v>
      </c>
      <c r="G137" t="s">
        <v>2249</v>
      </c>
      <c r="H137" t="s">
        <v>2249</v>
      </c>
      <c r="I137" t="s">
        <v>2250</v>
      </c>
    </row>
    <row r="138" spans="1:9" x14ac:dyDescent="0.35">
      <c r="A138">
        <f t="shared" si="2"/>
        <v>137</v>
      </c>
      <c r="B138">
        <v>143</v>
      </c>
      <c r="C138" t="s">
        <v>2251</v>
      </c>
      <c r="D138" t="s">
        <v>213</v>
      </c>
      <c r="E138" t="s">
        <v>2252</v>
      </c>
      <c r="F138" t="s">
        <v>2253</v>
      </c>
      <c r="G138" t="s">
        <v>2254</v>
      </c>
      <c r="H138" t="s">
        <v>2254</v>
      </c>
      <c r="I138" t="s">
        <v>2255</v>
      </c>
    </row>
    <row r="139" spans="1:9" x14ac:dyDescent="0.35">
      <c r="A139">
        <f t="shared" si="2"/>
        <v>138</v>
      </c>
      <c r="B139">
        <v>144</v>
      </c>
      <c r="C139" t="s">
        <v>2256</v>
      </c>
      <c r="D139" t="s">
        <v>213</v>
      </c>
      <c r="E139" t="s">
        <v>2257</v>
      </c>
      <c r="F139" t="s">
        <v>2258</v>
      </c>
      <c r="G139" t="s">
        <v>2259</v>
      </c>
      <c r="H139" t="s">
        <v>2259</v>
      </c>
      <c r="I139" t="s">
        <v>2260</v>
      </c>
    </row>
    <row r="140" spans="1:9" x14ac:dyDescent="0.35">
      <c r="A140">
        <f t="shared" si="2"/>
        <v>139</v>
      </c>
      <c r="B140">
        <v>145</v>
      </c>
      <c r="C140" t="s">
        <v>2261</v>
      </c>
      <c r="D140" t="s">
        <v>259</v>
      </c>
      <c r="E140" t="s">
        <v>2262</v>
      </c>
      <c r="F140" t="s">
        <v>2069</v>
      </c>
      <c r="G140" t="s">
        <v>2263</v>
      </c>
      <c r="H140" t="s">
        <v>2263</v>
      </c>
      <c r="I140" t="s">
        <v>2264</v>
      </c>
    </row>
    <row r="141" spans="1:9" x14ac:dyDescent="0.35">
      <c r="A141">
        <f t="shared" si="2"/>
        <v>140</v>
      </c>
      <c r="B141">
        <v>146</v>
      </c>
      <c r="C141" t="s">
        <v>2265</v>
      </c>
      <c r="D141" t="s">
        <v>261</v>
      </c>
      <c r="E141" t="s">
        <v>2266</v>
      </c>
      <c r="F141" t="s">
        <v>2267</v>
      </c>
      <c r="G141" t="s">
        <v>2268</v>
      </c>
      <c r="H141" t="s">
        <v>2268</v>
      </c>
      <c r="I141" t="s">
        <v>2269</v>
      </c>
    </row>
    <row r="142" spans="1:9" x14ac:dyDescent="0.35">
      <c r="A142">
        <f t="shared" si="2"/>
        <v>141</v>
      </c>
      <c r="B142">
        <v>147</v>
      </c>
      <c r="C142" t="s">
        <v>2270</v>
      </c>
      <c r="D142" t="s">
        <v>263</v>
      </c>
      <c r="E142" t="s">
        <v>2271</v>
      </c>
      <c r="F142" t="s">
        <v>2272</v>
      </c>
      <c r="G142" t="s">
        <v>2273</v>
      </c>
      <c r="H142" t="s">
        <v>2273</v>
      </c>
      <c r="I142" t="s">
        <v>2274</v>
      </c>
    </row>
    <row r="143" spans="1:9" x14ac:dyDescent="0.35">
      <c r="A143">
        <f t="shared" si="2"/>
        <v>142</v>
      </c>
      <c r="B143">
        <v>148</v>
      </c>
      <c r="C143" t="s">
        <v>2275</v>
      </c>
      <c r="D143" t="s">
        <v>265</v>
      </c>
      <c r="E143" t="s">
        <v>2276</v>
      </c>
      <c r="F143" t="s">
        <v>1596</v>
      </c>
      <c r="G143" t="s">
        <v>2277</v>
      </c>
      <c r="H143" t="s">
        <v>2277</v>
      </c>
      <c r="I143" t="s">
        <v>2278</v>
      </c>
    </row>
    <row r="144" spans="1:9" x14ac:dyDescent="0.35">
      <c r="A144">
        <f t="shared" si="2"/>
        <v>143</v>
      </c>
      <c r="B144">
        <v>149</v>
      </c>
      <c r="C144" t="s">
        <v>2279</v>
      </c>
      <c r="D144" t="s">
        <v>267</v>
      </c>
      <c r="E144" t="s">
        <v>2280</v>
      </c>
      <c r="F144" t="s">
        <v>1657</v>
      </c>
      <c r="G144" t="s">
        <v>2281</v>
      </c>
      <c r="H144" t="s">
        <v>2281</v>
      </c>
      <c r="I144" t="s">
        <v>2282</v>
      </c>
    </row>
    <row r="145" spans="1:9" x14ac:dyDescent="0.35">
      <c r="A145">
        <f t="shared" si="2"/>
        <v>144</v>
      </c>
      <c r="B145">
        <v>150</v>
      </c>
      <c r="C145" t="s">
        <v>2283</v>
      </c>
      <c r="D145" t="s">
        <v>269</v>
      </c>
      <c r="E145" t="s">
        <v>2284</v>
      </c>
      <c r="F145" t="s">
        <v>2285</v>
      </c>
      <c r="G145" t="s">
        <v>2286</v>
      </c>
      <c r="H145" t="s">
        <v>3659</v>
      </c>
      <c r="I145" t="s">
        <v>3660</v>
      </c>
    </row>
    <row r="146" spans="1:9" x14ac:dyDescent="0.35">
      <c r="A146">
        <f t="shared" si="2"/>
        <v>145</v>
      </c>
      <c r="B146">
        <v>151</v>
      </c>
      <c r="C146" t="s">
        <v>2288</v>
      </c>
      <c r="D146" t="s">
        <v>249</v>
      </c>
      <c r="E146" t="s">
        <v>2289</v>
      </c>
      <c r="F146" t="s">
        <v>2290</v>
      </c>
      <c r="G146" t="s">
        <v>2291</v>
      </c>
      <c r="H146" t="s">
        <v>2291</v>
      </c>
      <c r="I146" t="s">
        <v>2292</v>
      </c>
    </row>
    <row r="147" spans="1:9" x14ac:dyDescent="0.35">
      <c r="A147">
        <f t="shared" si="2"/>
        <v>146</v>
      </c>
      <c r="B147">
        <v>152</v>
      </c>
      <c r="C147" t="s">
        <v>2293</v>
      </c>
      <c r="D147" t="s">
        <v>272</v>
      </c>
      <c r="E147" t="s">
        <v>2294</v>
      </c>
      <c r="F147" t="s">
        <v>1596</v>
      </c>
      <c r="G147" t="s">
        <v>2295</v>
      </c>
      <c r="H147" t="s">
        <v>2295</v>
      </c>
      <c r="I147" t="s">
        <v>2296</v>
      </c>
    </row>
    <row r="148" spans="1:9" x14ac:dyDescent="0.35">
      <c r="A148">
        <f t="shared" si="2"/>
        <v>147</v>
      </c>
      <c r="B148">
        <v>153</v>
      </c>
      <c r="C148" t="s">
        <v>2297</v>
      </c>
      <c r="D148" t="s">
        <v>274</v>
      </c>
      <c r="E148" t="s">
        <v>2298</v>
      </c>
      <c r="F148" t="s">
        <v>2299</v>
      </c>
      <c r="G148" t="s">
        <v>2300</v>
      </c>
      <c r="H148" t="s">
        <v>2300</v>
      </c>
      <c r="I148" t="s">
        <v>2301</v>
      </c>
    </row>
    <row r="149" spans="1:9" x14ac:dyDescent="0.35">
      <c r="A149">
        <f t="shared" si="2"/>
        <v>148</v>
      </c>
      <c r="B149">
        <v>154</v>
      </c>
      <c r="C149" t="s">
        <v>2302</v>
      </c>
      <c r="D149" t="s">
        <v>276</v>
      </c>
      <c r="E149" t="s">
        <v>2303</v>
      </c>
      <c r="F149" t="s">
        <v>1624</v>
      </c>
      <c r="G149" t="s">
        <v>2304</v>
      </c>
      <c r="H149" t="s">
        <v>2304</v>
      </c>
      <c r="I149" t="s">
        <v>2305</v>
      </c>
    </row>
    <row r="150" spans="1:9" x14ac:dyDescent="0.35">
      <c r="A150">
        <f t="shared" si="2"/>
        <v>149</v>
      </c>
      <c r="B150">
        <v>155</v>
      </c>
      <c r="C150" t="s">
        <v>2306</v>
      </c>
      <c r="D150" t="s">
        <v>143</v>
      </c>
      <c r="E150" t="s">
        <v>2307</v>
      </c>
      <c r="F150" t="s">
        <v>1735</v>
      </c>
      <c r="G150" t="s">
        <v>2308</v>
      </c>
      <c r="H150" t="s">
        <v>2308</v>
      </c>
      <c r="I150" t="s">
        <v>2309</v>
      </c>
    </row>
    <row r="151" spans="1:9" x14ac:dyDescent="0.35">
      <c r="A151">
        <f t="shared" si="2"/>
        <v>150</v>
      </c>
      <c r="B151">
        <v>156</v>
      </c>
      <c r="C151" t="s">
        <v>2310</v>
      </c>
      <c r="D151" t="s">
        <v>174</v>
      </c>
      <c r="E151" t="s">
        <v>2311</v>
      </c>
      <c r="F151" t="s">
        <v>2312</v>
      </c>
      <c r="G151" t="s">
        <v>2313</v>
      </c>
      <c r="H151" t="s">
        <v>2313</v>
      </c>
      <c r="I151" t="s">
        <v>2314</v>
      </c>
    </row>
    <row r="152" spans="1:9" x14ac:dyDescent="0.35">
      <c r="A152">
        <f t="shared" si="2"/>
        <v>151</v>
      </c>
      <c r="B152">
        <v>157</v>
      </c>
      <c r="C152" t="s">
        <v>2315</v>
      </c>
      <c r="D152" t="s">
        <v>280</v>
      </c>
      <c r="E152" t="s">
        <v>2316</v>
      </c>
      <c r="F152" t="s">
        <v>1893</v>
      </c>
      <c r="G152" t="s">
        <v>2317</v>
      </c>
      <c r="H152" t="s">
        <v>2317</v>
      </c>
      <c r="I152" t="s">
        <v>2318</v>
      </c>
    </row>
    <row r="153" spans="1:9" x14ac:dyDescent="0.35">
      <c r="A153">
        <f t="shared" si="2"/>
        <v>152</v>
      </c>
      <c r="B153">
        <v>158</v>
      </c>
      <c r="C153" t="s">
        <v>2319</v>
      </c>
      <c r="D153" t="s">
        <v>282</v>
      </c>
      <c r="E153" t="s">
        <v>2320</v>
      </c>
      <c r="F153" t="s">
        <v>1799</v>
      </c>
      <c r="G153" t="s">
        <v>2321</v>
      </c>
      <c r="H153" t="s">
        <v>2321</v>
      </c>
      <c r="I153" t="s">
        <v>2322</v>
      </c>
    </row>
    <row r="154" spans="1:9" x14ac:dyDescent="0.35">
      <c r="A154">
        <f t="shared" si="2"/>
        <v>153</v>
      </c>
      <c r="B154">
        <v>159</v>
      </c>
      <c r="C154" t="s">
        <v>2323</v>
      </c>
      <c r="D154" t="s">
        <v>143</v>
      </c>
      <c r="E154" t="s">
        <v>2324</v>
      </c>
      <c r="F154" t="s">
        <v>2325</v>
      </c>
      <c r="G154" t="s">
        <v>2326</v>
      </c>
      <c r="H154" t="s">
        <v>2326</v>
      </c>
      <c r="I154" t="s">
        <v>2327</v>
      </c>
    </row>
    <row r="155" spans="1:9" x14ac:dyDescent="0.35">
      <c r="A155">
        <f t="shared" si="2"/>
        <v>154</v>
      </c>
      <c r="B155">
        <v>160</v>
      </c>
      <c r="C155" t="s">
        <v>2328</v>
      </c>
      <c r="D155" t="s">
        <v>285</v>
      </c>
      <c r="E155" t="s">
        <v>2329</v>
      </c>
      <c r="F155" t="s">
        <v>1990</v>
      </c>
      <c r="G155" t="s">
        <v>2330</v>
      </c>
      <c r="H155" t="s">
        <v>2331</v>
      </c>
      <c r="I155" t="s">
        <v>2332</v>
      </c>
    </row>
    <row r="156" spans="1:9" x14ac:dyDescent="0.35">
      <c r="A156">
        <f t="shared" si="2"/>
        <v>155</v>
      </c>
      <c r="B156">
        <v>161</v>
      </c>
      <c r="C156" t="s">
        <v>2333</v>
      </c>
      <c r="D156" t="s">
        <v>223</v>
      </c>
      <c r="E156" t="s">
        <v>2334</v>
      </c>
      <c r="F156" t="s">
        <v>2335</v>
      </c>
      <c r="G156" t="s">
        <v>2336</v>
      </c>
      <c r="H156" t="s">
        <v>2336</v>
      </c>
      <c r="I156" t="s">
        <v>2337</v>
      </c>
    </row>
    <row r="157" spans="1:9" x14ac:dyDescent="0.35">
      <c r="A157">
        <f t="shared" si="2"/>
        <v>156</v>
      </c>
      <c r="B157">
        <v>162</v>
      </c>
      <c r="C157" t="s">
        <v>2338</v>
      </c>
      <c r="D157" t="s">
        <v>217</v>
      </c>
      <c r="E157" t="s">
        <v>2339</v>
      </c>
      <c r="F157" t="s">
        <v>1990</v>
      </c>
      <c r="G157" t="s">
        <v>2340</v>
      </c>
      <c r="H157" t="s">
        <v>2340</v>
      </c>
      <c r="I157" t="s">
        <v>2341</v>
      </c>
    </row>
    <row r="158" spans="1:9" x14ac:dyDescent="0.35">
      <c r="A158">
        <f t="shared" si="2"/>
        <v>157</v>
      </c>
      <c r="B158">
        <v>163</v>
      </c>
      <c r="C158" t="s">
        <v>2342</v>
      </c>
      <c r="D158" t="s">
        <v>289</v>
      </c>
      <c r="E158" t="s">
        <v>2343</v>
      </c>
      <c r="F158" t="s">
        <v>1893</v>
      </c>
      <c r="G158" t="s">
        <v>2344</v>
      </c>
      <c r="H158" t="s">
        <v>2344</v>
      </c>
      <c r="I158" t="s">
        <v>2345</v>
      </c>
    </row>
    <row r="159" spans="1:9" x14ac:dyDescent="0.35">
      <c r="A159">
        <f t="shared" si="2"/>
        <v>158</v>
      </c>
      <c r="B159">
        <v>164</v>
      </c>
      <c r="C159" t="s">
        <v>2346</v>
      </c>
      <c r="D159" t="s">
        <v>291</v>
      </c>
      <c r="E159" t="s">
        <v>2347</v>
      </c>
      <c r="F159" t="s">
        <v>2348</v>
      </c>
      <c r="G159" t="s">
        <v>2349</v>
      </c>
      <c r="H159" t="s">
        <v>2349</v>
      </c>
      <c r="I159" t="s">
        <v>2350</v>
      </c>
    </row>
    <row r="160" spans="1:9" x14ac:dyDescent="0.35">
      <c r="A160">
        <f t="shared" si="2"/>
        <v>159</v>
      </c>
      <c r="B160">
        <v>165</v>
      </c>
      <c r="C160" t="s">
        <v>2351</v>
      </c>
      <c r="D160" t="s">
        <v>276</v>
      </c>
      <c r="E160" t="s">
        <v>2352</v>
      </c>
      <c r="F160" t="s">
        <v>1624</v>
      </c>
      <c r="G160" t="s">
        <v>2353</v>
      </c>
      <c r="H160" t="s">
        <v>3661</v>
      </c>
      <c r="I160" t="s">
        <v>3662</v>
      </c>
    </row>
    <row r="161" spans="1:9" x14ac:dyDescent="0.35">
      <c r="A161">
        <f t="shared" si="2"/>
        <v>160</v>
      </c>
      <c r="B161">
        <v>166</v>
      </c>
      <c r="C161" t="s">
        <v>2355</v>
      </c>
      <c r="D161" t="s">
        <v>294</v>
      </c>
      <c r="E161" t="s">
        <v>2356</v>
      </c>
      <c r="F161" t="s">
        <v>2357</v>
      </c>
      <c r="G161" t="s">
        <v>2358</v>
      </c>
      <c r="H161" t="s">
        <v>2359</v>
      </c>
      <c r="I161" t="s">
        <v>2360</v>
      </c>
    </row>
    <row r="162" spans="1:9" x14ac:dyDescent="0.35">
      <c r="A162">
        <f t="shared" si="2"/>
        <v>161</v>
      </c>
      <c r="B162">
        <v>167</v>
      </c>
      <c r="C162" t="s">
        <v>2361</v>
      </c>
      <c r="D162" t="s">
        <v>296</v>
      </c>
      <c r="E162" t="s">
        <v>2362</v>
      </c>
      <c r="F162" t="s">
        <v>1730</v>
      </c>
      <c r="G162" t="s">
        <v>2363</v>
      </c>
      <c r="H162" t="s">
        <v>2363</v>
      </c>
      <c r="I162" t="s">
        <v>2364</v>
      </c>
    </row>
    <row r="163" spans="1:9" x14ac:dyDescent="0.35">
      <c r="A163">
        <f t="shared" si="2"/>
        <v>162</v>
      </c>
      <c r="B163">
        <v>168</v>
      </c>
      <c r="C163" t="s">
        <v>2365</v>
      </c>
      <c r="D163" t="s">
        <v>280</v>
      </c>
      <c r="E163" t="s">
        <v>2366</v>
      </c>
      <c r="F163" t="s">
        <v>1999</v>
      </c>
      <c r="G163" t="s">
        <v>2367</v>
      </c>
      <c r="H163" t="s">
        <v>2367</v>
      </c>
      <c r="I163" t="s">
        <v>2368</v>
      </c>
    </row>
    <row r="164" spans="1:9" x14ac:dyDescent="0.35">
      <c r="A164">
        <f t="shared" si="2"/>
        <v>163</v>
      </c>
      <c r="B164">
        <v>169</v>
      </c>
      <c r="C164" t="s">
        <v>2369</v>
      </c>
      <c r="D164" t="s">
        <v>76</v>
      </c>
      <c r="E164" t="s">
        <v>2370</v>
      </c>
      <c r="F164" t="s">
        <v>2154</v>
      </c>
      <c r="G164" t="s">
        <v>2371</v>
      </c>
      <c r="H164" t="s">
        <v>2371</v>
      </c>
      <c r="I164" t="s">
        <v>2372</v>
      </c>
    </row>
    <row r="165" spans="1:9" x14ac:dyDescent="0.35">
      <c r="A165">
        <f t="shared" si="2"/>
        <v>164</v>
      </c>
      <c r="B165">
        <v>170</v>
      </c>
      <c r="C165" t="s">
        <v>2373</v>
      </c>
      <c r="D165" t="s">
        <v>213</v>
      </c>
      <c r="E165" t="s">
        <v>2374</v>
      </c>
      <c r="F165" t="s">
        <v>2272</v>
      </c>
      <c r="G165" t="s">
        <v>2375</v>
      </c>
      <c r="H165" t="s">
        <v>2375</v>
      </c>
      <c r="I165" t="s">
        <v>2376</v>
      </c>
    </row>
    <row r="166" spans="1:9" x14ac:dyDescent="0.35">
      <c r="A166">
        <f t="shared" si="2"/>
        <v>165</v>
      </c>
      <c r="B166">
        <v>171</v>
      </c>
      <c r="C166" t="s">
        <v>2377</v>
      </c>
      <c r="D166" t="s">
        <v>213</v>
      </c>
      <c r="E166" t="s">
        <v>2378</v>
      </c>
      <c r="F166" t="s">
        <v>1624</v>
      </c>
      <c r="G166" t="s">
        <v>2379</v>
      </c>
      <c r="H166" t="s">
        <v>2379</v>
      </c>
      <c r="I166" t="s">
        <v>2380</v>
      </c>
    </row>
    <row r="167" spans="1:9" x14ac:dyDescent="0.35">
      <c r="A167">
        <f t="shared" si="2"/>
        <v>166</v>
      </c>
      <c r="B167">
        <v>172</v>
      </c>
      <c r="C167" t="s">
        <v>2381</v>
      </c>
      <c r="D167" t="s">
        <v>280</v>
      </c>
      <c r="E167" t="s">
        <v>2382</v>
      </c>
      <c r="F167" t="s">
        <v>1893</v>
      </c>
      <c r="G167" t="s">
        <v>2383</v>
      </c>
      <c r="H167" t="s">
        <v>2383</v>
      </c>
      <c r="I167" t="s">
        <v>2384</v>
      </c>
    </row>
    <row r="168" spans="1:9" x14ac:dyDescent="0.35">
      <c r="A168">
        <f t="shared" si="2"/>
        <v>167</v>
      </c>
      <c r="B168">
        <v>173</v>
      </c>
      <c r="C168" t="s">
        <v>2385</v>
      </c>
      <c r="D168" t="s">
        <v>253</v>
      </c>
      <c r="E168" t="s">
        <v>2386</v>
      </c>
      <c r="F168" t="s">
        <v>2387</v>
      </c>
      <c r="G168" t="s">
        <v>2388</v>
      </c>
      <c r="H168" t="s">
        <v>2388</v>
      </c>
      <c r="I168" t="s">
        <v>2389</v>
      </c>
    </row>
    <row r="169" spans="1:9" x14ac:dyDescent="0.35">
      <c r="A169">
        <f t="shared" si="2"/>
        <v>168</v>
      </c>
      <c r="B169">
        <v>174</v>
      </c>
      <c r="C169" t="s">
        <v>2390</v>
      </c>
      <c r="D169" t="s">
        <v>304</v>
      </c>
      <c r="E169" t="s">
        <v>2391</v>
      </c>
      <c r="F169" t="s">
        <v>2149</v>
      </c>
      <c r="G169" t="s">
        <v>2392</v>
      </c>
      <c r="H169" t="s">
        <v>2392</v>
      </c>
      <c r="I169" t="s">
        <v>2393</v>
      </c>
    </row>
    <row r="170" spans="1:9" x14ac:dyDescent="0.35">
      <c r="A170">
        <f t="shared" si="2"/>
        <v>169</v>
      </c>
      <c r="B170">
        <v>175</v>
      </c>
      <c r="C170" t="s">
        <v>2394</v>
      </c>
      <c r="D170" t="s">
        <v>304</v>
      </c>
      <c r="E170" t="s">
        <v>2395</v>
      </c>
      <c r="F170" t="s">
        <v>2164</v>
      </c>
      <c r="G170" t="s">
        <v>2396</v>
      </c>
      <c r="H170" t="s">
        <v>2396</v>
      </c>
      <c r="I170" t="s">
        <v>2397</v>
      </c>
    </row>
    <row r="171" spans="1:9" x14ac:dyDescent="0.35">
      <c r="A171">
        <f t="shared" si="2"/>
        <v>170</v>
      </c>
      <c r="B171">
        <v>176</v>
      </c>
      <c r="C171" t="s">
        <v>2398</v>
      </c>
      <c r="D171" t="s">
        <v>143</v>
      </c>
      <c r="E171" t="s">
        <v>2399</v>
      </c>
      <c r="F171" t="s">
        <v>1990</v>
      </c>
      <c r="G171" t="s">
        <v>2400</v>
      </c>
      <c r="H171" t="s">
        <v>2400</v>
      </c>
      <c r="I171" t="s">
        <v>2401</v>
      </c>
    </row>
    <row r="172" spans="1:9" x14ac:dyDescent="0.35">
      <c r="A172">
        <f t="shared" si="2"/>
        <v>171</v>
      </c>
      <c r="B172">
        <v>177</v>
      </c>
      <c r="C172" t="s">
        <v>2402</v>
      </c>
      <c r="D172" t="s">
        <v>308</v>
      </c>
      <c r="E172" t="s">
        <v>2403</v>
      </c>
      <c r="F172" t="s">
        <v>2229</v>
      </c>
      <c r="G172" t="s">
        <v>2404</v>
      </c>
      <c r="H172" t="s">
        <v>2404</v>
      </c>
      <c r="I172" t="s">
        <v>2405</v>
      </c>
    </row>
    <row r="173" spans="1:9" x14ac:dyDescent="0.35">
      <c r="A173">
        <f t="shared" si="2"/>
        <v>172</v>
      </c>
      <c r="B173">
        <v>178</v>
      </c>
      <c r="C173" t="s">
        <v>2406</v>
      </c>
      <c r="D173" t="s">
        <v>310</v>
      </c>
      <c r="E173" t="s">
        <v>2407</v>
      </c>
      <c r="F173" t="s">
        <v>1823</v>
      </c>
      <c r="G173" t="s">
        <v>2408</v>
      </c>
      <c r="H173" t="s">
        <v>2408</v>
      </c>
      <c r="I173" t="s">
        <v>2409</v>
      </c>
    </row>
    <row r="174" spans="1:9" x14ac:dyDescent="0.35">
      <c r="A174">
        <f t="shared" si="2"/>
        <v>173</v>
      </c>
      <c r="B174">
        <v>179</v>
      </c>
      <c r="C174" t="s">
        <v>2410</v>
      </c>
      <c r="D174" t="s">
        <v>312</v>
      </c>
      <c r="E174" t="s">
        <v>2411</v>
      </c>
      <c r="F174" t="s">
        <v>2205</v>
      </c>
      <c r="G174" t="s">
        <v>2412</v>
      </c>
      <c r="H174" t="s">
        <v>2412</v>
      </c>
      <c r="I174" t="s">
        <v>2413</v>
      </c>
    </row>
    <row r="175" spans="1:9" x14ac:dyDescent="0.35">
      <c r="A175">
        <f t="shared" si="2"/>
        <v>174</v>
      </c>
      <c r="B175">
        <v>180</v>
      </c>
      <c r="C175" t="s">
        <v>2414</v>
      </c>
      <c r="D175" t="s">
        <v>314</v>
      </c>
      <c r="E175" t="s">
        <v>2415</v>
      </c>
      <c r="F175" t="s">
        <v>1893</v>
      </c>
      <c r="G175" t="s">
        <v>2416</v>
      </c>
      <c r="H175" t="s">
        <v>2417</v>
      </c>
      <c r="I175" t="s">
        <v>2418</v>
      </c>
    </row>
    <row r="176" spans="1:9" x14ac:dyDescent="0.35">
      <c r="A176">
        <f t="shared" si="2"/>
        <v>175</v>
      </c>
      <c r="B176">
        <v>181</v>
      </c>
      <c r="C176" t="s">
        <v>2419</v>
      </c>
      <c r="D176" t="s">
        <v>316</v>
      </c>
      <c r="E176" t="s">
        <v>2420</v>
      </c>
      <c r="F176" t="s">
        <v>2229</v>
      </c>
      <c r="G176" t="s">
        <v>2421</v>
      </c>
      <c r="H176" t="s">
        <v>3663</v>
      </c>
      <c r="I176" t="s">
        <v>3664</v>
      </c>
    </row>
    <row r="177" spans="1:9" x14ac:dyDescent="0.35">
      <c r="A177">
        <f t="shared" si="2"/>
        <v>176</v>
      </c>
      <c r="B177">
        <v>182</v>
      </c>
      <c r="C177" t="s">
        <v>2424</v>
      </c>
      <c r="D177" t="s">
        <v>316</v>
      </c>
      <c r="E177" t="s">
        <v>2425</v>
      </c>
      <c r="F177" t="s">
        <v>1799</v>
      </c>
      <c r="G177" t="s">
        <v>2426</v>
      </c>
      <c r="H177" t="s">
        <v>2426</v>
      </c>
      <c r="I177" t="s">
        <v>2427</v>
      </c>
    </row>
    <row r="178" spans="1:9" x14ac:dyDescent="0.35">
      <c r="A178">
        <f t="shared" si="2"/>
        <v>177</v>
      </c>
      <c r="B178">
        <v>183</v>
      </c>
      <c r="C178" t="s">
        <v>2428</v>
      </c>
      <c r="D178" t="s">
        <v>76</v>
      </c>
      <c r="E178" t="s">
        <v>2429</v>
      </c>
      <c r="F178" t="s">
        <v>1799</v>
      </c>
      <c r="G178" t="s">
        <v>2430</v>
      </c>
      <c r="H178" t="s">
        <v>2430</v>
      </c>
      <c r="I178" t="s">
        <v>2431</v>
      </c>
    </row>
    <row r="179" spans="1:9" x14ac:dyDescent="0.35">
      <c r="A179">
        <f t="shared" si="2"/>
        <v>178</v>
      </c>
      <c r="B179">
        <v>184</v>
      </c>
      <c r="C179" t="s">
        <v>2432</v>
      </c>
      <c r="D179" t="s">
        <v>324</v>
      </c>
      <c r="E179" t="s">
        <v>2433</v>
      </c>
      <c r="F179" t="s">
        <v>1839</v>
      </c>
      <c r="G179" t="s">
        <v>2434</v>
      </c>
      <c r="H179" t="s">
        <v>2434</v>
      </c>
      <c r="I179" t="s">
        <v>2435</v>
      </c>
    </row>
    <row r="180" spans="1:9" x14ac:dyDescent="0.35">
      <c r="A180">
        <f t="shared" si="2"/>
        <v>179</v>
      </c>
      <c r="B180">
        <v>185</v>
      </c>
      <c r="C180" t="s">
        <v>2436</v>
      </c>
      <c r="D180" t="s">
        <v>326</v>
      </c>
      <c r="E180" t="s">
        <v>2437</v>
      </c>
      <c r="F180" t="s">
        <v>1613</v>
      </c>
      <c r="G180" t="s">
        <v>2438</v>
      </c>
      <c r="H180" t="s">
        <v>2438</v>
      </c>
      <c r="I180" t="s">
        <v>2439</v>
      </c>
    </row>
    <row r="181" spans="1:9" x14ac:dyDescent="0.35">
      <c r="A181">
        <f t="shared" si="2"/>
        <v>180</v>
      </c>
      <c r="B181">
        <v>186</v>
      </c>
      <c r="C181" t="s">
        <v>2440</v>
      </c>
      <c r="D181" t="s">
        <v>242</v>
      </c>
      <c r="E181" t="s">
        <v>2441</v>
      </c>
      <c r="F181" t="s">
        <v>2442</v>
      </c>
      <c r="G181" t="s">
        <v>2443</v>
      </c>
      <c r="H181" t="s">
        <v>2443</v>
      </c>
      <c r="I181" t="s">
        <v>2444</v>
      </c>
    </row>
    <row r="182" spans="1:9" x14ac:dyDescent="0.35">
      <c r="A182">
        <f t="shared" si="2"/>
        <v>181</v>
      </c>
      <c r="B182">
        <v>187</v>
      </c>
      <c r="C182" t="s">
        <v>2445</v>
      </c>
      <c r="D182" t="s">
        <v>213</v>
      </c>
      <c r="E182" t="s">
        <v>2446</v>
      </c>
      <c r="F182" t="s">
        <v>2253</v>
      </c>
      <c r="G182" t="s">
        <v>2447</v>
      </c>
      <c r="H182" t="s">
        <v>2447</v>
      </c>
      <c r="I182" t="s">
        <v>2448</v>
      </c>
    </row>
    <row r="183" spans="1:9" x14ac:dyDescent="0.35">
      <c r="A183">
        <f t="shared" si="2"/>
        <v>182</v>
      </c>
      <c r="B183">
        <v>188</v>
      </c>
      <c r="C183" t="s">
        <v>2449</v>
      </c>
      <c r="D183" t="s">
        <v>330</v>
      </c>
      <c r="E183" t="s">
        <v>2450</v>
      </c>
      <c r="F183" t="s">
        <v>2114</v>
      </c>
      <c r="G183" t="s">
        <v>2451</v>
      </c>
      <c r="H183" t="s">
        <v>2451</v>
      </c>
      <c r="I183" t="s">
        <v>2452</v>
      </c>
    </row>
    <row r="184" spans="1:9" x14ac:dyDescent="0.35">
      <c r="A184">
        <f t="shared" si="2"/>
        <v>183</v>
      </c>
      <c r="B184">
        <v>189</v>
      </c>
      <c r="C184" t="s">
        <v>2453</v>
      </c>
      <c r="D184" t="s">
        <v>332</v>
      </c>
      <c r="E184" t="s">
        <v>2454</v>
      </c>
      <c r="F184" t="s">
        <v>2041</v>
      </c>
      <c r="G184" t="s">
        <v>2455</v>
      </c>
      <c r="H184" t="s">
        <v>2455</v>
      </c>
      <c r="I184" t="s">
        <v>2456</v>
      </c>
    </row>
    <row r="185" spans="1:9" x14ac:dyDescent="0.35">
      <c r="A185">
        <f t="shared" si="2"/>
        <v>184</v>
      </c>
      <c r="B185">
        <v>190</v>
      </c>
      <c r="C185" t="s">
        <v>2457</v>
      </c>
      <c r="D185" t="s">
        <v>330</v>
      </c>
      <c r="E185" t="s">
        <v>2458</v>
      </c>
      <c r="F185" t="s">
        <v>2143</v>
      </c>
      <c r="G185" t="s">
        <v>2459</v>
      </c>
      <c r="H185" t="s">
        <v>2460</v>
      </c>
      <c r="I185" t="s">
        <v>2461</v>
      </c>
    </row>
    <row r="186" spans="1:9" x14ac:dyDescent="0.35">
      <c r="A186">
        <f t="shared" si="2"/>
        <v>185</v>
      </c>
      <c r="B186">
        <v>191</v>
      </c>
      <c r="C186" t="s">
        <v>2462</v>
      </c>
      <c r="D186" t="s">
        <v>335</v>
      </c>
      <c r="E186" t="s">
        <v>2463</v>
      </c>
      <c r="F186" t="s">
        <v>1839</v>
      </c>
      <c r="G186" t="s">
        <v>2464</v>
      </c>
      <c r="H186" t="s">
        <v>2464</v>
      </c>
      <c r="I186" t="s">
        <v>2465</v>
      </c>
    </row>
    <row r="187" spans="1:9" x14ac:dyDescent="0.35">
      <c r="A187">
        <f t="shared" si="2"/>
        <v>186</v>
      </c>
      <c r="B187">
        <v>192</v>
      </c>
      <c r="C187" t="s">
        <v>2466</v>
      </c>
      <c r="D187" t="s">
        <v>337</v>
      </c>
      <c r="E187" t="s">
        <v>2467</v>
      </c>
      <c r="F187" t="s">
        <v>1629</v>
      </c>
      <c r="G187" t="s">
        <v>2468</v>
      </c>
      <c r="H187" t="s">
        <v>3665</v>
      </c>
      <c r="I187" t="s">
        <v>3666</v>
      </c>
    </row>
    <row r="188" spans="1:9" x14ac:dyDescent="0.35">
      <c r="A188">
        <f t="shared" si="2"/>
        <v>187</v>
      </c>
      <c r="B188">
        <v>193</v>
      </c>
      <c r="C188" t="s">
        <v>2471</v>
      </c>
      <c r="D188" t="s">
        <v>339</v>
      </c>
      <c r="E188" t="s">
        <v>2472</v>
      </c>
      <c r="F188" t="s">
        <v>1663</v>
      </c>
      <c r="G188" t="s">
        <v>2473</v>
      </c>
      <c r="H188" t="s">
        <v>2473</v>
      </c>
      <c r="I188" t="s">
        <v>2474</v>
      </c>
    </row>
    <row r="189" spans="1:9" x14ac:dyDescent="0.35">
      <c r="A189">
        <f t="shared" si="2"/>
        <v>188</v>
      </c>
      <c r="B189">
        <v>194</v>
      </c>
      <c r="C189" t="s">
        <v>2475</v>
      </c>
      <c r="D189" t="s">
        <v>341</v>
      </c>
      <c r="E189" t="s">
        <v>2476</v>
      </c>
      <c r="F189" t="s">
        <v>2109</v>
      </c>
      <c r="G189" t="s">
        <v>2477</v>
      </c>
      <c r="H189" t="s">
        <v>2477</v>
      </c>
      <c r="I189" t="s">
        <v>2478</v>
      </c>
    </row>
    <row r="190" spans="1:9" x14ac:dyDescent="0.35">
      <c r="A190">
        <f t="shared" si="2"/>
        <v>189</v>
      </c>
      <c r="B190">
        <v>195</v>
      </c>
      <c r="C190" t="s">
        <v>2479</v>
      </c>
      <c r="D190" t="s">
        <v>343</v>
      </c>
      <c r="E190" t="s">
        <v>2480</v>
      </c>
      <c r="F190" t="s">
        <v>1990</v>
      </c>
      <c r="G190" t="s">
        <v>2481</v>
      </c>
      <c r="H190" t="s">
        <v>2481</v>
      </c>
      <c r="I190" t="s">
        <v>2482</v>
      </c>
    </row>
    <row r="191" spans="1:9" x14ac:dyDescent="0.35">
      <c r="A191">
        <f t="shared" si="2"/>
        <v>190</v>
      </c>
      <c r="B191">
        <v>196</v>
      </c>
      <c r="C191" t="s">
        <v>2483</v>
      </c>
      <c r="D191" t="s">
        <v>345</v>
      </c>
      <c r="E191" t="s">
        <v>2484</v>
      </c>
      <c r="F191" t="s">
        <v>1785</v>
      </c>
      <c r="G191" t="s">
        <v>2485</v>
      </c>
      <c r="H191" t="s">
        <v>2485</v>
      </c>
      <c r="I191" t="s">
        <v>2486</v>
      </c>
    </row>
    <row r="192" spans="1:9" x14ac:dyDescent="0.35">
      <c r="A192">
        <f t="shared" si="2"/>
        <v>191</v>
      </c>
      <c r="B192">
        <v>197</v>
      </c>
      <c r="C192" t="s">
        <v>2487</v>
      </c>
      <c r="D192" t="s">
        <v>347</v>
      </c>
      <c r="E192" t="s">
        <v>2488</v>
      </c>
      <c r="F192" t="s">
        <v>1844</v>
      </c>
      <c r="G192" t="s">
        <v>2489</v>
      </c>
      <c r="H192" t="s">
        <v>3667</v>
      </c>
      <c r="I192" t="s">
        <v>3668</v>
      </c>
    </row>
    <row r="193" spans="1:9" x14ac:dyDescent="0.35">
      <c r="A193">
        <f t="shared" si="2"/>
        <v>192</v>
      </c>
      <c r="B193">
        <v>198</v>
      </c>
      <c r="C193" t="s">
        <v>2491</v>
      </c>
      <c r="D193" t="s">
        <v>349</v>
      </c>
      <c r="E193" t="s">
        <v>2492</v>
      </c>
      <c r="F193" t="s">
        <v>1596</v>
      </c>
      <c r="G193" t="s">
        <v>2493</v>
      </c>
      <c r="H193" t="s">
        <v>2493</v>
      </c>
      <c r="I193" t="s">
        <v>2494</v>
      </c>
    </row>
    <row r="194" spans="1:9" x14ac:dyDescent="0.35">
      <c r="A194">
        <f t="shared" si="2"/>
        <v>193</v>
      </c>
      <c r="B194">
        <v>199</v>
      </c>
      <c r="C194" t="s">
        <v>2495</v>
      </c>
      <c r="D194" t="s">
        <v>76</v>
      </c>
      <c r="E194" t="s">
        <v>2496</v>
      </c>
      <c r="F194" t="s">
        <v>1794</v>
      </c>
      <c r="G194" t="s">
        <v>2497</v>
      </c>
      <c r="H194" t="s">
        <v>2497</v>
      </c>
      <c r="I194" t="s">
        <v>2498</v>
      </c>
    </row>
    <row r="195" spans="1:9" x14ac:dyDescent="0.35">
      <c r="A195">
        <f t="shared" si="2"/>
        <v>194</v>
      </c>
      <c r="B195">
        <v>200</v>
      </c>
      <c r="C195" t="s">
        <v>2499</v>
      </c>
      <c r="D195" t="s">
        <v>352</v>
      </c>
      <c r="E195" t="s">
        <v>2500</v>
      </c>
      <c r="F195" t="s">
        <v>2312</v>
      </c>
      <c r="G195" t="s">
        <v>2501</v>
      </c>
      <c r="H195" t="s">
        <v>2501</v>
      </c>
      <c r="I195" t="s">
        <v>2502</v>
      </c>
    </row>
    <row r="196" spans="1:9" x14ac:dyDescent="0.35">
      <c r="A196">
        <f t="shared" ref="A196:A259" si="3">SUM(A195+1)</f>
        <v>195</v>
      </c>
      <c r="B196">
        <v>201</v>
      </c>
      <c r="C196" t="s">
        <v>2503</v>
      </c>
      <c r="D196" t="s">
        <v>354</v>
      </c>
      <c r="E196" t="s">
        <v>2504</v>
      </c>
      <c r="F196" t="s">
        <v>2505</v>
      </c>
      <c r="G196" t="s">
        <v>2506</v>
      </c>
      <c r="H196" t="s">
        <v>2506</v>
      </c>
      <c r="I196" t="s">
        <v>2507</v>
      </c>
    </row>
    <row r="197" spans="1:9" x14ac:dyDescent="0.35">
      <c r="A197">
        <f t="shared" si="3"/>
        <v>196</v>
      </c>
      <c r="B197">
        <v>202</v>
      </c>
      <c r="C197" t="s">
        <v>2508</v>
      </c>
      <c r="D197" t="s">
        <v>76</v>
      </c>
      <c r="E197" t="s">
        <v>2509</v>
      </c>
      <c r="F197" t="s">
        <v>2510</v>
      </c>
      <c r="G197" t="s">
        <v>2511</v>
      </c>
      <c r="H197" t="s">
        <v>2511</v>
      </c>
      <c r="I197" t="s">
        <v>2512</v>
      </c>
    </row>
    <row r="198" spans="1:9" x14ac:dyDescent="0.35">
      <c r="A198">
        <f t="shared" si="3"/>
        <v>197</v>
      </c>
      <c r="B198">
        <v>203</v>
      </c>
      <c r="C198" t="s">
        <v>2513</v>
      </c>
      <c r="D198" t="s">
        <v>242</v>
      </c>
      <c r="E198" t="s">
        <v>2514</v>
      </c>
      <c r="F198" t="s">
        <v>2515</v>
      </c>
      <c r="G198" t="s">
        <v>2516</v>
      </c>
      <c r="H198" t="s">
        <v>2516</v>
      </c>
      <c r="I198" t="s">
        <v>2517</v>
      </c>
    </row>
    <row r="199" spans="1:9" x14ac:dyDescent="0.35">
      <c r="A199">
        <f t="shared" si="3"/>
        <v>198</v>
      </c>
      <c r="B199">
        <v>204</v>
      </c>
      <c r="C199" t="s">
        <v>2518</v>
      </c>
      <c r="D199" t="s">
        <v>242</v>
      </c>
      <c r="E199" t="s">
        <v>2519</v>
      </c>
      <c r="F199" t="s">
        <v>1680</v>
      </c>
      <c r="G199" t="s">
        <v>2520</v>
      </c>
      <c r="H199" t="s">
        <v>2520</v>
      </c>
      <c r="I199" t="s">
        <v>2521</v>
      </c>
    </row>
    <row r="200" spans="1:9" x14ac:dyDescent="0.35">
      <c r="A200">
        <f t="shared" si="3"/>
        <v>199</v>
      </c>
      <c r="B200">
        <v>205</v>
      </c>
      <c r="C200" t="s">
        <v>2522</v>
      </c>
      <c r="D200" t="s">
        <v>242</v>
      </c>
      <c r="E200" t="s">
        <v>2523</v>
      </c>
      <c r="F200" t="s">
        <v>2177</v>
      </c>
      <c r="G200" t="s">
        <v>2524</v>
      </c>
      <c r="H200" t="s">
        <v>2524</v>
      </c>
      <c r="I200" t="s">
        <v>2525</v>
      </c>
    </row>
    <row r="201" spans="1:9" x14ac:dyDescent="0.35">
      <c r="A201">
        <f t="shared" si="3"/>
        <v>200</v>
      </c>
      <c r="B201">
        <v>206</v>
      </c>
      <c r="C201" t="s">
        <v>2526</v>
      </c>
      <c r="D201" t="s">
        <v>213</v>
      </c>
      <c r="E201" t="s">
        <v>2527</v>
      </c>
      <c r="F201" t="s">
        <v>2143</v>
      </c>
      <c r="G201" t="s">
        <v>2528</v>
      </c>
      <c r="H201" t="s">
        <v>2528</v>
      </c>
      <c r="I201" t="s">
        <v>2529</v>
      </c>
    </row>
    <row r="202" spans="1:9" x14ac:dyDescent="0.35">
      <c r="A202">
        <f t="shared" si="3"/>
        <v>201</v>
      </c>
      <c r="B202">
        <v>207</v>
      </c>
      <c r="C202" t="s">
        <v>2530</v>
      </c>
      <c r="D202" t="s">
        <v>280</v>
      </c>
      <c r="E202" t="s">
        <v>2531</v>
      </c>
      <c r="F202" t="s">
        <v>1990</v>
      </c>
      <c r="G202" t="s">
        <v>2532</v>
      </c>
      <c r="H202" t="s">
        <v>2532</v>
      </c>
      <c r="I202" t="s">
        <v>2533</v>
      </c>
    </row>
    <row r="203" spans="1:9" x14ac:dyDescent="0.35">
      <c r="A203">
        <f t="shared" si="3"/>
        <v>202</v>
      </c>
      <c r="B203">
        <v>208</v>
      </c>
      <c r="C203" t="s">
        <v>2534</v>
      </c>
      <c r="D203" t="s">
        <v>304</v>
      </c>
      <c r="E203" t="s">
        <v>2535</v>
      </c>
      <c r="F203" t="s">
        <v>2387</v>
      </c>
      <c r="G203" t="s">
        <v>2536</v>
      </c>
      <c r="H203" t="s">
        <v>2536</v>
      </c>
      <c r="I203" t="s">
        <v>2537</v>
      </c>
    </row>
    <row r="204" spans="1:9" x14ac:dyDescent="0.35">
      <c r="A204">
        <f t="shared" si="3"/>
        <v>203</v>
      </c>
      <c r="B204">
        <v>209</v>
      </c>
      <c r="C204" t="s">
        <v>2538</v>
      </c>
      <c r="D204" t="s">
        <v>253</v>
      </c>
      <c r="E204" t="s">
        <v>2539</v>
      </c>
      <c r="F204" t="s">
        <v>2109</v>
      </c>
      <c r="G204" t="s">
        <v>2540</v>
      </c>
      <c r="H204" t="s">
        <v>2540</v>
      </c>
      <c r="I204" t="s">
        <v>2541</v>
      </c>
    </row>
    <row r="205" spans="1:9" x14ac:dyDescent="0.35">
      <c r="A205">
        <f t="shared" si="3"/>
        <v>204</v>
      </c>
      <c r="B205">
        <v>210</v>
      </c>
      <c r="C205" t="s">
        <v>2542</v>
      </c>
      <c r="D205" t="s">
        <v>274</v>
      </c>
      <c r="E205" t="s">
        <v>2543</v>
      </c>
      <c r="F205" t="s">
        <v>2510</v>
      </c>
      <c r="G205" t="s">
        <v>2544</v>
      </c>
      <c r="H205" t="s">
        <v>2545</v>
      </c>
      <c r="I205" t="s">
        <v>2546</v>
      </c>
    </row>
    <row r="206" spans="1:9" x14ac:dyDescent="0.35">
      <c r="A206">
        <f t="shared" si="3"/>
        <v>205</v>
      </c>
      <c r="B206">
        <v>211</v>
      </c>
      <c r="C206" t="s">
        <v>2547</v>
      </c>
      <c r="D206" t="s">
        <v>365</v>
      </c>
      <c r="E206" t="s">
        <v>2548</v>
      </c>
      <c r="F206" t="s">
        <v>1692</v>
      </c>
      <c r="G206" t="s">
        <v>2549</v>
      </c>
      <c r="H206" t="s">
        <v>2549</v>
      </c>
      <c r="I206" t="s">
        <v>2550</v>
      </c>
    </row>
    <row r="207" spans="1:9" x14ac:dyDescent="0.35">
      <c r="A207">
        <f t="shared" si="3"/>
        <v>206</v>
      </c>
      <c r="B207">
        <v>212</v>
      </c>
      <c r="C207" t="s">
        <v>2551</v>
      </c>
      <c r="D207" t="s">
        <v>367</v>
      </c>
      <c r="E207" t="s">
        <v>2552</v>
      </c>
      <c r="F207" t="s">
        <v>2553</v>
      </c>
      <c r="G207" t="s">
        <v>2554</v>
      </c>
      <c r="H207" t="s">
        <v>3669</v>
      </c>
      <c r="I207" t="s">
        <v>3670</v>
      </c>
    </row>
    <row r="208" spans="1:9" x14ac:dyDescent="0.35">
      <c r="A208">
        <f t="shared" si="3"/>
        <v>207</v>
      </c>
      <c r="B208">
        <v>213</v>
      </c>
      <c r="C208" t="s">
        <v>2556</v>
      </c>
      <c r="D208" t="s">
        <v>369</v>
      </c>
      <c r="E208" t="s">
        <v>2557</v>
      </c>
      <c r="F208" t="s">
        <v>2558</v>
      </c>
      <c r="G208" t="s">
        <v>2559</v>
      </c>
      <c r="H208" t="s">
        <v>2559</v>
      </c>
      <c r="I208" t="s">
        <v>2560</v>
      </c>
    </row>
    <row r="209" spans="1:9" x14ac:dyDescent="0.35">
      <c r="A209">
        <f t="shared" si="3"/>
        <v>208</v>
      </c>
      <c r="B209">
        <v>214</v>
      </c>
      <c r="C209" t="s">
        <v>2561</v>
      </c>
      <c r="D209" t="s">
        <v>371</v>
      </c>
      <c r="E209" t="s">
        <v>2562</v>
      </c>
      <c r="F209" t="s">
        <v>1596</v>
      </c>
      <c r="G209" t="s">
        <v>2563</v>
      </c>
      <c r="H209" t="s">
        <v>2563</v>
      </c>
      <c r="I209" t="s">
        <v>2564</v>
      </c>
    </row>
    <row r="210" spans="1:9" x14ac:dyDescent="0.35">
      <c r="A210">
        <f t="shared" si="3"/>
        <v>209</v>
      </c>
      <c r="B210">
        <v>215</v>
      </c>
      <c r="C210" t="s">
        <v>2565</v>
      </c>
      <c r="D210" t="s">
        <v>373</v>
      </c>
      <c r="E210" t="s">
        <v>2566</v>
      </c>
      <c r="F210" t="s">
        <v>1775</v>
      </c>
      <c r="G210" t="s">
        <v>2567</v>
      </c>
      <c r="H210" t="s">
        <v>3671</v>
      </c>
      <c r="I210" t="s">
        <v>3672</v>
      </c>
    </row>
    <row r="211" spans="1:9" x14ac:dyDescent="0.35">
      <c r="A211">
        <f t="shared" si="3"/>
        <v>210</v>
      </c>
      <c r="B211">
        <v>216</v>
      </c>
      <c r="C211" t="s">
        <v>2569</v>
      </c>
      <c r="D211" t="s">
        <v>375</v>
      </c>
      <c r="E211" t="s">
        <v>2570</v>
      </c>
      <c r="F211" t="s">
        <v>1663</v>
      </c>
      <c r="G211" t="s">
        <v>2571</v>
      </c>
      <c r="H211" t="s">
        <v>2571</v>
      </c>
      <c r="I211" t="s">
        <v>2572</v>
      </c>
    </row>
    <row r="212" spans="1:9" x14ac:dyDescent="0.35">
      <c r="A212">
        <f t="shared" si="3"/>
        <v>211</v>
      </c>
      <c r="B212">
        <v>217</v>
      </c>
      <c r="C212" t="s">
        <v>2573</v>
      </c>
      <c r="D212" t="s">
        <v>377</v>
      </c>
      <c r="E212" t="s">
        <v>2574</v>
      </c>
      <c r="F212" t="s">
        <v>1764</v>
      </c>
      <c r="G212" t="s">
        <v>2575</v>
      </c>
      <c r="H212" t="s">
        <v>2575</v>
      </c>
      <c r="I212" t="s">
        <v>2576</v>
      </c>
    </row>
    <row r="213" spans="1:9" x14ac:dyDescent="0.35">
      <c r="A213">
        <f t="shared" si="3"/>
        <v>212</v>
      </c>
      <c r="B213">
        <v>218</v>
      </c>
      <c r="C213" t="s">
        <v>2577</v>
      </c>
      <c r="D213" t="s">
        <v>379</v>
      </c>
      <c r="E213" t="s">
        <v>2578</v>
      </c>
      <c r="F213" t="s">
        <v>2134</v>
      </c>
      <c r="G213" t="s">
        <v>2579</v>
      </c>
      <c r="H213" t="s">
        <v>2579</v>
      </c>
      <c r="I213" t="s">
        <v>2580</v>
      </c>
    </row>
    <row r="214" spans="1:9" x14ac:dyDescent="0.35">
      <c r="A214">
        <f t="shared" si="3"/>
        <v>213</v>
      </c>
      <c r="B214">
        <v>219</v>
      </c>
      <c r="C214" t="s">
        <v>2581</v>
      </c>
      <c r="D214" t="s">
        <v>76</v>
      </c>
      <c r="E214" t="s">
        <v>2582</v>
      </c>
      <c r="F214" t="s">
        <v>2114</v>
      </c>
      <c r="G214" t="s">
        <v>2583</v>
      </c>
      <c r="H214" t="s">
        <v>2583</v>
      </c>
      <c r="I214" t="s">
        <v>2584</v>
      </c>
    </row>
    <row r="215" spans="1:9" x14ac:dyDescent="0.35">
      <c r="A215">
        <f t="shared" si="3"/>
        <v>214</v>
      </c>
      <c r="B215">
        <v>220</v>
      </c>
      <c r="C215" t="s">
        <v>2585</v>
      </c>
      <c r="D215" t="s">
        <v>382</v>
      </c>
      <c r="E215" t="s">
        <v>2586</v>
      </c>
      <c r="F215" t="s">
        <v>2114</v>
      </c>
      <c r="G215" t="s">
        <v>2587</v>
      </c>
      <c r="H215" t="s">
        <v>2587</v>
      </c>
      <c r="I215" t="s">
        <v>2588</v>
      </c>
    </row>
    <row r="216" spans="1:9" x14ac:dyDescent="0.35">
      <c r="A216">
        <f t="shared" si="3"/>
        <v>215</v>
      </c>
      <c r="B216">
        <v>221</v>
      </c>
      <c r="C216" t="s">
        <v>2589</v>
      </c>
      <c r="D216" t="s">
        <v>326</v>
      </c>
      <c r="E216" t="s">
        <v>2590</v>
      </c>
      <c r="F216" t="s">
        <v>1999</v>
      </c>
      <c r="G216" t="s">
        <v>2591</v>
      </c>
      <c r="H216" t="s">
        <v>2591</v>
      </c>
      <c r="I216" t="s">
        <v>2592</v>
      </c>
    </row>
    <row r="217" spans="1:9" x14ac:dyDescent="0.35">
      <c r="A217">
        <f t="shared" si="3"/>
        <v>216</v>
      </c>
      <c r="B217">
        <v>222</v>
      </c>
      <c r="C217" t="s">
        <v>2593</v>
      </c>
      <c r="D217" t="s">
        <v>4</v>
      </c>
      <c r="E217" t="s">
        <v>2594</v>
      </c>
      <c r="F217" t="s">
        <v>1601</v>
      </c>
      <c r="G217" t="s">
        <v>2595</v>
      </c>
      <c r="H217" t="s">
        <v>2595</v>
      </c>
      <c r="I217" t="s">
        <v>2596</v>
      </c>
    </row>
    <row r="218" spans="1:9" x14ac:dyDescent="0.35">
      <c r="A218">
        <f t="shared" si="3"/>
        <v>217</v>
      </c>
      <c r="B218">
        <v>226</v>
      </c>
      <c r="C218" t="s">
        <v>2597</v>
      </c>
      <c r="D218" t="s">
        <v>242</v>
      </c>
      <c r="E218" t="s">
        <v>2598</v>
      </c>
      <c r="F218" t="s">
        <v>2599</v>
      </c>
      <c r="G218" t="s">
        <v>2600</v>
      </c>
      <c r="H218" t="s">
        <v>2600</v>
      </c>
      <c r="I218" t="s">
        <v>2601</v>
      </c>
    </row>
    <row r="219" spans="1:9" x14ac:dyDescent="0.35">
      <c r="A219">
        <f t="shared" si="3"/>
        <v>218</v>
      </c>
      <c r="B219">
        <v>227</v>
      </c>
      <c r="C219" t="s">
        <v>2602</v>
      </c>
      <c r="D219" t="s">
        <v>280</v>
      </c>
      <c r="E219" t="s">
        <v>2603</v>
      </c>
      <c r="F219" t="s">
        <v>2604</v>
      </c>
      <c r="G219" t="s">
        <v>2605</v>
      </c>
      <c r="H219" t="s">
        <v>2605</v>
      </c>
      <c r="I219" t="s">
        <v>2606</v>
      </c>
    </row>
    <row r="220" spans="1:9" x14ac:dyDescent="0.35">
      <c r="A220">
        <f t="shared" si="3"/>
        <v>219</v>
      </c>
      <c r="B220">
        <v>228</v>
      </c>
      <c r="C220" t="s">
        <v>2607</v>
      </c>
      <c r="D220" t="s">
        <v>391</v>
      </c>
      <c r="E220" t="s">
        <v>2608</v>
      </c>
      <c r="F220" t="s">
        <v>2609</v>
      </c>
      <c r="G220" t="s">
        <v>2610</v>
      </c>
      <c r="H220" t="s">
        <v>3673</v>
      </c>
      <c r="I220" t="s">
        <v>3674</v>
      </c>
    </row>
    <row r="221" spans="1:9" x14ac:dyDescent="0.35">
      <c r="A221">
        <f t="shared" si="3"/>
        <v>220</v>
      </c>
      <c r="B221">
        <v>229</v>
      </c>
      <c r="C221" t="s">
        <v>2612</v>
      </c>
      <c r="D221" t="s">
        <v>393</v>
      </c>
      <c r="E221" t="s">
        <v>2613</v>
      </c>
      <c r="F221" t="s">
        <v>2272</v>
      </c>
      <c r="G221" t="s">
        <v>2614</v>
      </c>
      <c r="H221" t="s">
        <v>3675</v>
      </c>
      <c r="I221" t="s">
        <v>3676</v>
      </c>
    </row>
    <row r="222" spans="1:9" x14ac:dyDescent="0.35">
      <c r="A222">
        <f t="shared" si="3"/>
        <v>221</v>
      </c>
      <c r="B222">
        <v>230</v>
      </c>
      <c r="C222" t="s">
        <v>2616</v>
      </c>
      <c r="D222" t="s">
        <v>263</v>
      </c>
      <c r="E222" t="s">
        <v>2617</v>
      </c>
      <c r="F222" t="s">
        <v>2618</v>
      </c>
      <c r="G222" t="s">
        <v>2619</v>
      </c>
      <c r="H222" t="s">
        <v>3677</v>
      </c>
      <c r="I222" t="s">
        <v>3678</v>
      </c>
    </row>
    <row r="223" spans="1:9" x14ac:dyDescent="0.35">
      <c r="A223">
        <f t="shared" si="3"/>
        <v>222</v>
      </c>
      <c r="B223">
        <v>231</v>
      </c>
      <c r="C223" t="s">
        <v>2621</v>
      </c>
      <c r="D223" t="s">
        <v>396</v>
      </c>
      <c r="E223" t="s">
        <v>2622</v>
      </c>
      <c r="F223" t="s">
        <v>2008</v>
      </c>
      <c r="G223" t="s">
        <v>2623</v>
      </c>
      <c r="H223" t="s">
        <v>3679</v>
      </c>
      <c r="I223" t="s">
        <v>3680</v>
      </c>
    </row>
    <row r="224" spans="1:9" x14ac:dyDescent="0.35">
      <c r="A224">
        <f t="shared" si="3"/>
        <v>223</v>
      </c>
      <c r="B224">
        <v>232</v>
      </c>
      <c r="C224" t="s">
        <v>2625</v>
      </c>
      <c r="D224" t="s">
        <v>304</v>
      </c>
      <c r="E224" t="s">
        <v>2626</v>
      </c>
      <c r="F224" t="s">
        <v>2627</v>
      </c>
      <c r="G224" t="s">
        <v>2628</v>
      </c>
      <c r="H224" t="s">
        <v>2628</v>
      </c>
      <c r="I224" t="s">
        <v>2629</v>
      </c>
    </row>
    <row r="225" spans="1:9" x14ac:dyDescent="0.35">
      <c r="A225">
        <f t="shared" si="3"/>
        <v>224</v>
      </c>
      <c r="B225">
        <v>233</v>
      </c>
      <c r="C225" t="s">
        <v>2630</v>
      </c>
      <c r="D225" t="s">
        <v>213</v>
      </c>
      <c r="E225" t="s">
        <v>2631</v>
      </c>
      <c r="F225" t="s">
        <v>1785</v>
      </c>
      <c r="G225" t="s">
        <v>2632</v>
      </c>
      <c r="H225" t="s">
        <v>3681</v>
      </c>
      <c r="I225" t="s">
        <v>3682</v>
      </c>
    </row>
    <row r="226" spans="1:9" x14ac:dyDescent="0.35">
      <c r="A226">
        <f t="shared" si="3"/>
        <v>225</v>
      </c>
      <c r="B226">
        <v>234</v>
      </c>
      <c r="C226" t="s">
        <v>2634</v>
      </c>
      <c r="D226" t="s">
        <v>259</v>
      </c>
      <c r="E226" t="s">
        <v>2635</v>
      </c>
      <c r="F226" t="s">
        <v>2186</v>
      </c>
      <c r="G226" t="s">
        <v>2636</v>
      </c>
      <c r="H226" t="s">
        <v>3683</v>
      </c>
      <c r="I226" t="s">
        <v>3684</v>
      </c>
    </row>
    <row r="227" spans="1:9" x14ac:dyDescent="0.35">
      <c r="A227">
        <f t="shared" si="3"/>
        <v>226</v>
      </c>
      <c r="B227">
        <v>235</v>
      </c>
      <c r="C227" t="s">
        <v>2638</v>
      </c>
      <c r="D227" t="s">
        <v>401</v>
      </c>
      <c r="E227" t="s">
        <v>2639</v>
      </c>
      <c r="F227" t="s">
        <v>2640</v>
      </c>
      <c r="G227" t="s">
        <v>2641</v>
      </c>
      <c r="H227" t="s">
        <v>2642</v>
      </c>
      <c r="I227" t="s">
        <v>2643</v>
      </c>
    </row>
    <row r="228" spans="1:9" x14ac:dyDescent="0.35">
      <c r="A228">
        <f t="shared" si="3"/>
        <v>227</v>
      </c>
      <c r="B228">
        <v>236</v>
      </c>
      <c r="C228" t="s">
        <v>2644</v>
      </c>
      <c r="D228" t="s">
        <v>403</v>
      </c>
      <c r="E228" t="s">
        <v>2645</v>
      </c>
      <c r="F228" t="s">
        <v>2092</v>
      </c>
      <c r="G228" t="s">
        <v>2646</v>
      </c>
      <c r="H228" t="s">
        <v>2646</v>
      </c>
      <c r="I228" t="s">
        <v>2647</v>
      </c>
    </row>
    <row r="229" spans="1:9" x14ac:dyDescent="0.35">
      <c r="A229">
        <f t="shared" si="3"/>
        <v>228</v>
      </c>
      <c r="B229">
        <v>237</v>
      </c>
      <c r="C229" t="s">
        <v>2648</v>
      </c>
      <c r="D229" t="s">
        <v>405</v>
      </c>
      <c r="E229" t="s">
        <v>2649</v>
      </c>
      <c r="F229" t="s">
        <v>2558</v>
      </c>
      <c r="G229" t="s">
        <v>2650</v>
      </c>
      <c r="H229" t="s">
        <v>2650</v>
      </c>
      <c r="I229" t="s">
        <v>2651</v>
      </c>
    </row>
    <row r="230" spans="1:9" x14ac:dyDescent="0.35">
      <c r="A230">
        <f t="shared" si="3"/>
        <v>229</v>
      </c>
      <c r="B230">
        <v>238</v>
      </c>
      <c r="C230" t="s">
        <v>2652</v>
      </c>
      <c r="D230" t="s">
        <v>407</v>
      </c>
      <c r="E230" t="s">
        <v>2653</v>
      </c>
      <c r="F230" t="s">
        <v>1686</v>
      </c>
      <c r="G230" t="s">
        <v>2654</v>
      </c>
      <c r="H230" t="s">
        <v>2654</v>
      </c>
      <c r="I230" t="s">
        <v>2655</v>
      </c>
    </row>
    <row r="231" spans="1:9" x14ac:dyDescent="0.35">
      <c r="A231">
        <f t="shared" si="3"/>
        <v>230</v>
      </c>
      <c r="B231">
        <v>239</v>
      </c>
      <c r="C231" t="s">
        <v>2656</v>
      </c>
      <c r="D231" t="s">
        <v>409</v>
      </c>
      <c r="E231" t="s">
        <v>2657</v>
      </c>
      <c r="F231" t="s">
        <v>2627</v>
      </c>
      <c r="G231" t="s">
        <v>2658</v>
      </c>
      <c r="H231" t="s">
        <v>2658</v>
      </c>
      <c r="I231" t="s">
        <v>2659</v>
      </c>
    </row>
    <row r="232" spans="1:9" x14ac:dyDescent="0.35">
      <c r="A232">
        <f t="shared" si="3"/>
        <v>231</v>
      </c>
      <c r="B232">
        <v>240</v>
      </c>
      <c r="C232" t="s">
        <v>2660</v>
      </c>
      <c r="D232" t="s">
        <v>411</v>
      </c>
      <c r="E232" t="s">
        <v>2661</v>
      </c>
      <c r="F232" t="s">
        <v>1799</v>
      </c>
      <c r="G232" t="s">
        <v>2662</v>
      </c>
      <c r="H232" t="s">
        <v>2663</v>
      </c>
      <c r="I232" t="s">
        <v>2664</v>
      </c>
    </row>
    <row r="233" spans="1:9" x14ac:dyDescent="0.35">
      <c r="A233">
        <f t="shared" si="3"/>
        <v>232</v>
      </c>
      <c r="B233">
        <v>241</v>
      </c>
      <c r="C233" t="s">
        <v>2665</v>
      </c>
      <c r="D233" t="s">
        <v>413</v>
      </c>
      <c r="E233" t="s">
        <v>2666</v>
      </c>
      <c r="F233" t="s">
        <v>1730</v>
      </c>
      <c r="G233" t="s">
        <v>2667</v>
      </c>
      <c r="H233" t="s">
        <v>2667</v>
      </c>
      <c r="I233" t="s">
        <v>2668</v>
      </c>
    </row>
    <row r="234" spans="1:9" x14ac:dyDescent="0.35">
      <c r="A234">
        <f t="shared" si="3"/>
        <v>233</v>
      </c>
      <c r="B234">
        <v>242</v>
      </c>
      <c r="C234" t="s">
        <v>2669</v>
      </c>
      <c r="D234" t="s">
        <v>133</v>
      </c>
      <c r="E234" t="s">
        <v>2670</v>
      </c>
      <c r="F234" t="s">
        <v>2092</v>
      </c>
      <c r="G234" t="s">
        <v>2671</v>
      </c>
      <c r="H234" t="s">
        <v>2671</v>
      </c>
      <c r="I234" t="s">
        <v>2672</v>
      </c>
    </row>
    <row r="235" spans="1:9" x14ac:dyDescent="0.35">
      <c r="A235">
        <f t="shared" si="3"/>
        <v>234</v>
      </c>
      <c r="B235">
        <v>243</v>
      </c>
      <c r="C235" t="s">
        <v>2673</v>
      </c>
      <c r="D235" t="s">
        <v>382</v>
      </c>
      <c r="E235" t="s">
        <v>2674</v>
      </c>
      <c r="F235" t="s">
        <v>1607</v>
      </c>
      <c r="G235" t="s">
        <v>2675</v>
      </c>
      <c r="H235" t="s">
        <v>2675</v>
      </c>
      <c r="I235" t="s">
        <v>2676</v>
      </c>
    </row>
    <row r="236" spans="1:9" x14ac:dyDescent="0.35">
      <c r="A236">
        <f t="shared" si="3"/>
        <v>235</v>
      </c>
      <c r="B236">
        <v>244</v>
      </c>
      <c r="C236" t="s">
        <v>2677</v>
      </c>
      <c r="D236" t="s">
        <v>417</v>
      </c>
      <c r="E236" t="s">
        <v>2678</v>
      </c>
      <c r="F236" t="s">
        <v>2679</v>
      </c>
      <c r="G236" t="s">
        <v>2680</v>
      </c>
      <c r="H236" t="s">
        <v>2680</v>
      </c>
      <c r="I236" t="s">
        <v>2681</v>
      </c>
    </row>
    <row r="237" spans="1:9" x14ac:dyDescent="0.35">
      <c r="A237">
        <f t="shared" si="3"/>
        <v>236</v>
      </c>
      <c r="B237">
        <v>245</v>
      </c>
      <c r="C237" t="s">
        <v>2682</v>
      </c>
      <c r="D237" t="s">
        <v>419</v>
      </c>
      <c r="E237" t="s">
        <v>2683</v>
      </c>
      <c r="F237" t="s">
        <v>2684</v>
      </c>
      <c r="G237" t="s">
        <v>2685</v>
      </c>
      <c r="H237" t="s">
        <v>2686</v>
      </c>
      <c r="I237" t="s">
        <v>2687</v>
      </c>
    </row>
    <row r="238" spans="1:9" x14ac:dyDescent="0.35">
      <c r="A238">
        <f t="shared" si="3"/>
        <v>237</v>
      </c>
      <c r="B238">
        <v>246</v>
      </c>
      <c r="C238" t="s">
        <v>2688</v>
      </c>
      <c r="D238" t="s">
        <v>421</v>
      </c>
      <c r="E238" t="s">
        <v>2689</v>
      </c>
      <c r="F238" t="s">
        <v>2690</v>
      </c>
      <c r="G238" t="s">
        <v>2691</v>
      </c>
      <c r="H238" t="s">
        <v>2691</v>
      </c>
      <c r="I238" t="s">
        <v>2692</v>
      </c>
    </row>
    <row r="239" spans="1:9" x14ac:dyDescent="0.35">
      <c r="A239">
        <f t="shared" si="3"/>
        <v>238</v>
      </c>
      <c r="B239">
        <v>247</v>
      </c>
      <c r="C239" t="s">
        <v>2693</v>
      </c>
      <c r="D239" t="s">
        <v>379</v>
      </c>
      <c r="E239" t="s">
        <v>2694</v>
      </c>
      <c r="F239" t="s">
        <v>2082</v>
      </c>
      <c r="G239" t="s">
        <v>2695</v>
      </c>
      <c r="H239" t="s">
        <v>2695</v>
      </c>
      <c r="I239" t="s">
        <v>2696</v>
      </c>
    </row>
    <row r="240" spans="1:9" x14ac:dyDescent="0.35">
      <c r="A240">
        <f t="shared" si="3"/>
        <v>239</v>
      </c>
      <c r="B240">
        <v>248</v>
      </c>
      <c r="C240" t="s">
        <v>2697</v>
      </c>
      <c r="D240" t="s">
        <v>411</v>
      </c>
      <c r="E240" t="s">
        <v>2698</v>
      </c>
      <c r="F240" t="s">
        <v>1613</v>
      </c>
      <c r="G240" t="s">
        <v>2699</v>
      </c>
      <c r="H240" t="s">
        <v>2700</v>
      </c>
      <c r="I240" t="s">
        <v>2701</v>
      </c>
    </row>
    <row r="241" spans="1:9" x14ac:dyDescent="0.35">
      <c r="A241">
        <f t="shared" si="3"/>
        <v>240</v>
      </c>
      <c r="B241">
        <v>249</v>
      </c>
      <c r="C241" t="s">
        <v>2702</v>
      </c>
      <c r="D241" t="s">
        <v>133</v>
      </c>
      <c r="E241" t="s">
        <v>2703</v>
      </c>
      <c r="F241" t="s">
        <v>2335</v>
      </c>
      <c r="G241" t="s">
        <v>2704</v>
      </c>
      <c r="H241" t="s">
        <v>2704</v>
      </c>
      <c r="I241" t="s">
        <v>2705</v>
      </c>
    </row>
    <row r="242" spans="1:9" x14ac:dyDescent="0.35">
      <c r="A242">
        <f t="shared" si="3"/>
        <v>241</v>
      </c>
      <c r="B242">
        <v>250</v>
      </c>
      <c r="C242" t="s">
        <v>2706</v>
      </c>
      <c r="D242" t="s">
        <v>426</v>
      </c>
      <c r="E242" t="s">
        <v>2707</v>
      </c>
      <c r="F242" t="s">
        <v>1809</v>
      </c>
      <c r="G242" t="s">
        <v>2707</v>
      </c>
      <c r="H242" t="s">
        <v>2707</v>
      </c>
      <c r="I242" t="s">
        <v>2708</v>
      </c>
    </row>
    <row r="243" spans="1:9" x14ac:dyDescent="0.35">
      <c r="A243">
        <f t="shared" si="3"/>
        <v>242</v>
      </c>
      <c r="B243">
        <v>251</v>
      </c>
      <c r="C243" t="s">
        <v>2709</v>
      </c>
      <c r="D243" t="s">
        <v>428</v>
      </c>
      <c r="E243" t="s">
        <v>2710</v>
      </c>
      <c r="F243" t="s">
        <v>2092</v>
      </c>
      <c r="G243" t="s">
        <v>2711</v>
      </c>
      <c r="H243" t="s">
        <v>2711</v>
      </c>
      <c r="I243" t="s">
        <v>2712</v>
      </c>
    </row>
    <row r="244" spans="1:9" x14ac:dyDescent="0.35">
      <c r="A244">
        <f t="shared" si="3"/>
        <v>243</v>
      </c>
      <c r="B244">
        <v>252</v>
      </c>
      <c r="C244" t="s">
        <v>2713</v>
      </c>
      <c r="D244" t="s">
        <v>137</v>
      </c>
      <c r="E244" t="s">
        <v>2714</v>
      </c>
      <c r="F244" t="s">
        <v>1999</v>
      </c>
      <c r="G244" t="s">
        <v>2715</v>
      </c>
      <c r="H244" t="s">
        <v>2715</v>
      </c>
      <c r="I244" t="s">
        <v>2716</v>
      </c>
    </row>
    <row r="245" spans="1:9" x14ac:dyDescent="0.35">
      <c r="A245">
        <f t="shared" si="3"/>
        <v>244</v>
      </c>
      <c r="B245">
        <v>253</v>
      </c>
      <c r="C245" t="s">
        <v>2717</v>
      </c>
      <c r="D245" t="s">
        <v>431</v>
      </c>
      <c r="E245" t="s">
        <v>2718</v>
      </c>
      <c r="F245" t="s">
        <v>1799</v>
      </c>
      <c r="G245" t="s">
        <v>2719</v>
      </c>
      <c r="H245" t="s">
        <v>2719</v>
      </c>
      <c r="I245" t="s">
        <v>2720</v>
      </c>
    </row>
    <row r="246" spans="1:9" x14ac:dyDescent="0.35">
      <c r="A246">
        <f t="shared" si="3"/>
        <v>245</v>
      </c>
      <c r="B246">
        <v>254</v>
      </c>
      <c r="C246" t="s">
        <v>2721</v>
      </c>
      <c r="D246" t="s">
        <v>433</v>
      </c>
      <c r="E246" t="s">
        <v>2722</v>
      </c>
      <c r="F246" t="s">
        <v>2177</v>
      </c>
      <c r="G246" t="s">
        <v>2723</v>
      </c>
      <c r="H246" t="s">
        <v>2723</v>
      </c>
      <c r="I246" t="s">
        <v>2724</v>
      </c>
    </row>
    <row r="247" spans="1:9" x14ac:dyDescent="0.35">
      <c r="A247">
        <f t="shared" si="3"/>
        <v>246</v>
      </c>
      <c r="B247">
        <v>255</v>
      </c>
      <c r="C247" t="s">
        <v>2725</v>
      </c>
      <c r="D247" t="s">
        <v>435</v>
      </c>
      <c r="E247" t="s">
        <v>2726</v>
      </c>
      <c r="F247" t="s">
        <v>1758</v>
      </c>
      <c r="G247" t="s">
        <v>2727</v>
      </c>
      <c r="H247" t="s">
        <v>2727</v>
      </c>
      <c r="I247" t="s">
        <v>2728</v>
      </c>
    </row>
    <row r="248" spans="1:9" x14ac:dyDescent="0.35">
      <c r="A248">
        <f t="shared" si="3"/>
        <v>247</v>
      </c>
      <c r="B248">
        <v>256</v>
      </c>
      <c r="C248" t="s">
        <v>2729</v>
      </c>
      <c r="D248" t="s">
        <v>437</v>
      </c>
      <c r="E248" t="s">
        <v>2730</v>
      </c>
      <c r="F248" t="s">
        <v>1629</v>
      </c>
      <c r="G248" t="s">
        <v>2731</v>
      </c>
      <c r="H248" t="s">
        <v>2731</v>
      </c>
      <c r="I248" t="s">
        <v>2732</v>
      </c>
    </row>
    <row r="249" spans="1:9" x14ac:dyDescent="0.35">
      <c r="A249">
        <f t="shared" si="3"/>
        <v>248</v>
      </c>
      <c r="B249">
        <v>257</v>
      </c>
      <c r="C249" t="s">
        <v>2733</v>
      </c>
      <c r="D249" t="s">
        <v>91</v>
      </c>
      <c r="E249" t="s">
        <v>2734</v>
      </c>
      <c r="F249" t="s">
        <v>2335</v>
      </c>
      <c r="G249" t="s">
        <v>2735</v>
      </c>
      <c r="H249" t="s">
        <v>2735</v>
      </c>
      <c r="I249" t="s">
        <v>2736</v>
      </c>
    </row>
    <row r="250" spans="1:9" x14ac:dyDescent="0.35">
      <c r="A250">
        <f t="shared" si="3"/>
        <v>249</v>
      </c>
      <c r="B250">
        <v>258</v>
      </c>
      <c r="C250" t="s">
        <v>2737</v>
      </c>
      <c r="D250" t="s">
        <v>440</v>
      </c>
      <c r="E250" t="s">
        <v>2738</v>
      </c>
      <c r="F250" t="s">
        <v>1674</v>
      </c>
      <c r="G250" t="s">
        <v>2739</v>
      </c>
      <c r="H250" t="s">
        <v>2739</v>
      </c>
      <c r="I250" t="s">
        <v>2740</v>
      </c>
    </row>
    <row r="251" spans="1:9" x14ac:dyDescent="0.35">
      <c r="A251">
        <f t="shared" si="3"/>
        <v>250</v>
      </c>
      <c r="B251">
        <v>259</v>
      </c>
      <c r="C251" t="s">
        <v>2741</v>
      </c>
      <c r="D251" t="s">
        <v>442</v>
      </c>
      <c r="E251" t="s">
        <v>2742</v>
      </c>
      <c r="F251" t="s">
        <v>2743</v>
      </c>
      <c r="G251" t="s">
        <v>2744</v>
      </c>
      <c r="H251" t="s">
        <v>2744</v>
      </c>
      <c r="I251" t="s">
        <v>2745</v>
      </c>
    </row>
    <row r="252" spans="1:9" x14ac:dyDescent="0.35">
      <c r="A252">
        <f t="shared" si="3"/>
        <v>251</v>
      </c>
      <c r="B252">
        <v>260</v>
      </c>
      <c r="C252" t="s">
        <v>2746</v>
      </c>
      <c r="D252" t="s">
        <v>442</v>
      </c>
      <c r="E252" t="s">
        <v>2747</v>
      </c>
      <c r="F252" t="s">
        <v>2748</v>
      </c>
      <c r="G252" t="s">
        <v>2749</v>
      </c>
      <c r="H252" t="s">
        <v>2749</v>
      </c>
      <c r="I252" t="s">
        <v>2750</v>
      </c>
    </row>
    <row r="253" spans="1:9" x14ac:dyDescent="0.35">
      <c r="A253">
        <f t="shared" si="3"/>
        <v>252</v>
      </c>
      <c r="B253">
        <v>261</v>
      </c>
      <c r="C253" t="s">
        <v>2751</v>
      </c>
      <c r="D253" t="s">
        <v>445</v>
      </c>
      <c r="E253" t="s">
        <v>2752</v>
      </c>
      <c r="F253" t="s">
        <v>1680</v>
      </c>
      <c r="G253" t="s">
        <v>2753</v>
      </c>
      <c r="H253" t="s">
        <v>2754</v>
      </c>
      <c r="I253" t="s">
        <v>2755</v>
      </c>
    </row>
    <row r="254" spans="1:9" x14ac:dyDescent="0.35">
      <c r="A254">
        <f t="shared" si="3"/>
        <v>253</v>
      </c>
      <c r="B254">
        <v>262</v>
      </c>
      <c r="C254" t="s">
        <v>2756</v>
      </c>
      <c r="D254" t="s">
        <v>447</v>
      </c>
      <c r="E254" t="s">
        <v>2757</v>
      </c>
      <c r="F254" t="s">
        <v>2609</v>
      </c>
      <c r="G254" t="s">
        <v>2758</v>
      </c>
      <c r="H254" t="s">
        <v>2758</v>
      </c>
      <c r="I254" t="s">
        <v>2759</v>
      </c>
    </row>
    <row r="255" spans="1:9" x14ac:dyDescent="0.35">
      <c r="A255">
        <f t="shared" si="3"/>
        <v>254</v>
      </c>
      <c r="B255">
        <v>263</v>
      </c>
      <c r="C255" t="s">
        <v>2760</v>
      </c>
      <c r="D255" t="s">
        <v>449</v>
      </c>
      <c r="E255" t="s">
        <v>2761</v>
      </c>
      <c r="F255" t="s">
        <v>2553</v>
      </c>
      <c r="G255" t="s">
        <v>2762</v>
      </c>
      <c r="H255" t="s">
        <v>2762</v>
      </c>
      <c r="I255" t="s">
        <v>2763</v>
      </c>
    </row>
    <row r="256" spans="1:9" x14ac:dyDescent="0.35">
      <c r="A256">
        <f t="shared" si="3"/>
        <v>255</v>
      </c>
      <c r="B256">
        <v>264</v>
      </c>
      <c r="C256" t="s">
        <v>2764</v>
      </c>
      <c r="D256" t="s">
        <v>451</v>
      </c>
      <c r="E256" t="s">
        <v>2765</v>
      </c>
      <c r="F256" t="s">
        <v>2069</v>
      </c>
      <c r="G256" t="s">
        <v>2766</v>
      </c>
      <c r="H256" t="s">
        <v>2766</v>
      </c>
      <c r="I256" t="s">
        <v>2767</v>
      </c>
    </row>
    <row r="257" spans="1:9" x14ac:dyDescent="0.35">
      <c r="A257">
        <f t="shared" si="3"/>
        <v>256</v>
      </c>
      <c r="B257">
        <v>265</v>
      </c>
      <c r="C257" t="s">
        <v>2768</v>
      </c>
      <c r="D257" t="s">
        <v>102</v>
      </c>
      <c r="E257" t="s">
        <v>2769</v>
      </c>
      <c r="F257" t="s">
        <v>2558</v>
      </c>
      <c r="G257" t="s">
        <v>2770</v>
      </c>
      <c r="H257" t="s">
        <v>3685</v>
      </c>
      <c r="I257" t="s">
        <v>3686</v>
      </c>
    </row>
    <row r="258" spans="1:9" x14ac:dyDescent="0.35">
      <c r="A258">
        <f t="shared" si="3"/>
        <v>257</v>
      </c>
      <c r="B258">
        <v>266</v>
      </c>
      <c r="C258" t="s">
        <v>2772</v>
      </c>
      <c r="D258" t="s">
        <v>454</v>
      </c>
      <c r="E258" t="s">
        <v>2773</v>
      </c>
      <c r="F258" t="s">
        <v>2558</v>
      </c>
      <c r="G258" t="s">
        <v>2774</v>
      </c>
      <c r="H258" t="s">
        <v>2774</v>
      </c>
      <c r="I258" t="s">
        <v>2775</v>
      </c>
    </row>
    <row r="259" spans="1:9" x14ac:dyDescent="0.35">
      <c r="A259">
        <f t="shared" si="3"/>
        <v>258</v>
      </c>
      <c r="B259">
        <v>267</v>
      </c>
      <c r="C259" t="s">
        <v>2776</v>
      </c>
      <c r="D259" t="s">
        <v>456</v>
      </c>
      <c r="E259" t="s">
        <v>2777</v>
      </c>
      <c r="F259" t="s">
        <v>2074</v>
      </c>
      <c r="G259" t="s">
        <v>2778</v>
      </c>
      <c r="H259" t="s">
        <v>2778</v>
      </c>
      <c r="I259" t="s">
        <v>2779</v>
      </c>
    </row>
    <row r="260" spans="1:9" x14ac:dyDescent="0.35">
      <c r="A260">
        <f t="shared" ref="A260:A323" si="4">SUM(A259+1)</f>
        <v>259</v>
      </c>
      <c r="B260">
        <v>268</v>
      </c>
      <c r="C260" t="s">
        <v>2780</v>
      </c>
      <c r="D260" t="s">
        <v>458</v>
      </c>
      <c r="E260" t="s">
        <v>2781</v>
      </c>
      <c r="F260" t="s">
        <v>2782</v>
      </c>
      <c r="G260" t="s">
        <v>2783</v>
      </c>
      <c r="H260" t="s">
        <v>2784</v>
      </c>
      <c r="I260" t="s">
        <v>2785</v>
      </c>
    </row>
    <row r="261" spans="1:9" x14ac:dyDescent="0.35">
      <c r="A261">
        <f t="shared" si="4"/>
        <v>260</v>
      </c>
      <c r="B261">
        <v>269</v>
      </c>
      <c r="C261" t="s">
        <v>2786</v>
      </c>
      <c r="D261" t="s">
        <v>460</v>
      </c>
      <c r="E261" t="s">
        <v>2787</v>
      </c>
      <c r="F261" t="s">
        <v>1692</v>
      </c>
      <c r="G261" t="s">
        <v>2788</v>
      </c>
      <c r="H261" t="s">
        <v>2788</v>
      </c>
      <c r="I261" t="s">
        <v>2789</v>
      </c>
    </row>
    <row r="262" spans="1:9" x14ac:dyDescent="0.35">
      <c r="A262">
        <f t="shared" si="4"/>
        <v>261</v>
      </c>
      <c r="B262">
        <v>270</v>
      </c>
      <c r="C262" t="s">
        <v>2790</v>
      </c>
      <c r="D262" t="s">
        <v>442</v>
      </c>
      <c r="E262" t="s">
        <v>2791</v>
      </c>
      <c r="F262" t="s">
        <v>2782</v>
      </c>
      <c r="G262" t="s">
        <v>2792</v>
      </c>
      <c r="H262" t="s">
        <v>2792</v>
      </c>
      <c r="I262" t="s">
        <v>2793</v>
      </c>
    </row>
    <row r="263" spans="1:9" x14ac:dyDescent="0.35">
      <c r="A263">
        <f t="shared" si="4"/>
        <v>262</v>
      </c>
      <c r="B263">
        <v>271</v>
      </c>
      <c r="C263" t="s">
        <v>2794</v>
      </c>
      <c r="D263" t="s">
        <v>463</v>
      </c>
      <c r="E263" t="s">
        <v>2795</v>
      </c>
      <c r="F263" t="s">
        <v>2796</v>
      </c>
      <c r="G263" t="s">
        <v>2797</v>
      </c>
      <c r="H263" t="s">
        <v>2797</v>
      </c>
      <c r="I263" t="s">
        <v>2798</v>
      </c>
    </row>
    <row r="264" spans="1:9" x14ac:dyDescent="0.35">
      <c r="A264">
        <f t="shared" si="4"/>
        <v>263</v>
      </c>
      <c r="B264">
        <v>272</v>
      </c>
      <c r="C264" t="s">
        <v>2799</v>
      </c>
      <c r="D264" t="s">
        <v>463</v>
      </c>
      <c r="E264" t="s">
        <v>2800</v>
      </c>
      <c r="F264" t="s">
        <v>2558</v>
      </c>
      <c r="G264" t="s">
        <v>2801</v>
      </c>
      <c r="H264" t="s">
        <v>2802</v>
      </c>
      <c r="I264" t="s">
        <v>2803</v>
      </c>
    </row>
    <row r="265" spans="1:9" x14ac:dyDescent="0.35">
      <c r="A265">
        <f t="shared" si="4"/>
        <v>264</v>
      </c>
      <c r="B265">
        <v>273</v>
      </c>
      <c r="C265" t="s">
        <v>2804</v>
      </c>
      <c r="D265" t="s">
        <v>379</v>
      </c>
      <c r="E265" t="s">
        <v>2805</v>
      </c>
      <c r="F265" t="s">
        <v>2806</v>
      </c>
      <c r="G265" t="s">
        <v>2807</v>
      </c>
      <c r="H265" t="s">
        <v>2807</v>
      </c>
      <c r="I265" t="s">
        <v>2808</v>
      </c>
    </row>
    <row r="266" spans="1:9" x14ac:dyDescent="0.35">
      <c r="A266">
        <f t="shared" si="4"/>
        <v>265</v>
      </c>
      <c r="B266">
        <v>274</v>
      </c>
      <c r="C266" t="s">
        <v>2809</v>
      </c>
      <c r="D266" t="s">
        <v>467</v>
      </c>
      <c r="E266" t="s">
        <v>2810</v>
      </c>
      <c r="F266" t="s">
        <v>1893</v>
      </c>
      <c r="G266" t="s">
        <v>2811</v>
      </c>
      <c r="H266" t="s">
        <v>2812</v>
      </c>
      <c r="I266" t="s">
        <v>2813</v>
      </c>
    </row>
    <row r="267" spans="1:9" x14ac:dyDescent="0.35">
      <c r="A267">
        <f t="shared" si="4"/>
        <v>266</v>
      </c>
      <c r="B267">
        <v>275</v>
      </c>
      <c r="C267" t="s">
        <v>2814</v>
      </c>
      <c r="D267" t="s">
        <v>467</v>
      </c>
      <c r="E267" t="s">
        <v>2815</v>
      </c>
      <c r="F267" t="s">
        <v>1884</v>
      </c>
      <c r="G267" t="s">
        <v>2816</v>
      </c>
      <c r="H267" t="s">
        <v>2817</v>
      </c>
      <c r="I267" t="s">
        <v>2818</v>
      </c>
    </row>
    <row r="268" spans="1:9" x14ac:dyDescent="0.35">
      <c r="A268">
        <f t="shared" si="4"/>
        <v>267</v>
      </c>
      <c r="B268">
        <v>276</v>
      </c>
      <c r="C268" t="s">
        <v>2819</v>
      </c>
      <c r="D268" t="s">
        <v>470</v>
      </c>
      <c r="E268" t="s">
        <v>2820</v>
      </c>
      <c r="F268" t="s">
        <v>2609</v>
      </c>
      <c r="G268" t="s">
        <v>2821</v>
      </c>
      <c r="H268" t="s">
        <v>3687</v>
      </c>
      <c r="I268" t="s">
        <v>3688</v>
      </c>
    </row>
    <row r="269" spans="1:9" x14ac:dyDescent="0.35">
      <c r="A269">
        <f t="shared" si="4"/>
        <v>268</v>
      </c>
      <c r="B269">
        <v>277</v>
      </c>
      <c r="C269" t="s">
        <v>2824</v>
      </c>
      <c r="D269" t="s">
        <v>472</v>
      </c>
      <c r="E269" t="s">
        <v>2825</v>
      </c>
      <c r="F269" t="s">
        <v>2253</v>
      </c>
      <c r="G269" t="s">
        <v>2826</v>
      </c>
      <c r="H269" t="s">
        <v>2826</v>
      </c>
      <c r="I269" t="s">
        <v>2827</v>
      </c>
    </row>
    <row r="270" spans="1:9" x14ac:dyDescent="0.35">
      <c r="A270">
        <f t="shared" si="4"/>
        <v>269</v>
      </c>
      <c r="B270">
        <v>278</v>
      </c>
      <c r="C270" t="s">
        <v>2828</v>
      </c>
      <c r="D270" t="s">
        <v>442</v>
      </c>
      <c r="E270" t="s">
        <v>2829</v>
      </c>
      <c r="F270" t="s">
        <v>2599</v>
      </c>
      <c r="G270" t="s">
        <v>2830</v>
      </c>
      <c r="H270" t="s">
        <v>2830</v>
      </c>
      <c r="I270" t="s">
        <v>2831</v>
      </c>
    </row>
    <row r="271" spans="1:9" x14ac:dyDescent="0.35">
      <c r="A271">
        <f t="shared" si="4"/>
        <v>270</v>
      </c>
      <c r="B271">
        <v>279</v>
      </c>
      <c r="C271" t="s">
        <v>2832</v>
      </c>
      <c r="D271" t="s">
        <v>475</v>
      </c>
      <c r="E271" t="s">
        <v>2833</v>
      </c>
      <c r="F271" t="s">
        <v>2229</v>
      </c>
      <c r="G271" t="s">
        <v>2834</v>
      </c>
      <c r="H271" t="s">
        <v>2834</v>
      </c>
      <c r="I271" t="s">
        <v>2835</v>
      </c>
    </row>
    <row r="272" spans="1:9" x14ac:dyDescent="0.35">
      <c r="A272">
        <f t="shared" si="4"/>
        <v>271</v>
      </c>
      <c r="B272">
        <v>280</v>
      </c>
      <c r="C272" t="s">
        <v>2836</v>
      </c>
      <c r="D272" t="s">
        <v>477</v>
      </c>
      <c r="E272" t="s">
        <v>2837</v>
      </c>
      <c r="F272" t="s">
        <v>2164</v>
      </c>
      <c r="G272" t="s">
        <v>2838</v>
      </c>
      <c r="H272" t="s">
        <v>2838</v>
      </c>
      <c r="I272" t="s">
        <v>2839</v>
      </c>
    </row>
    <row r="273" spans="1:9" x14ac:dyDescent="0.35">
      <c r="A273">
        <f t="shared" si="4"/>
        <v>272</v>
      </c>
      <c r="B273">
        <v>281</v>
      </c>
      <c r="C273" t="s">
        <v>2840</v>
      </c>
      <c r="D273" t="s">
        <v>445</v>
      </c>
      <c r="E273" t="s">
        <v>2841</v>
      </c>
      <c r="F273" t="s">
        <v>2052</v>
      </c>
      <c r="G273" t="s">
        <v>2842</v>
      </c>
      <c r="H273" t="s">
        <v>2842</v>
      </c>
      <c r="I273" t="s">
        <v>2843</v>
      </c>
    </row>
    <row r="274" spans="1:9" x14ac:dyDescent="0.35">
      <c r="A274">
        <f t="shared" si="4"/>
        <v>273</v>
      </c>
      <c r="B274">
        <v>282</v>
      </c>
      <c r="C274" t="s">
        <v>2844</v>
      </c>
      <c r="D274" t="s">
        <v>480</v>
      </c>
      <c r="E274" t="s">
        <v>2845</v>
      </c>
      <c r="F274" t="s">
        <v>1596</v>
      </c>
      <c r="G274" t="s">
        <v>2845</v>
      </c>
      <c r="H274" t="s">
        <v>2845</v>
      </c>
      <c r="I274" t="s">
        <v>2846</v>
      </c>
    </row>
    <row r="275" spans="1:9" x14ac:dyDescent="0.35">
      <c r="A275">
        <f t="shared" si="4"/>
        <v>274</v>
      </c>
      <c r="B275">
        <v>283</v>
      </c>
      <c r="C275" t="s">
        <v>2847</v>
      </c>
      <c r="D275" t="s">
        <v>482</v>
      </c>
      <c r="E275" t="s">
        <v>2848</v>
      </c>
      <c r="F275" t="s">
        <v>2599</v>
      </c>
      <c r="G275" t="s">
        <v>2849</v>
      </c>
      <c r="H275" t="s">
        <v>2850</v>
      </c>
      <c r="I275" t="s">
        <v>2851</v>
      </c>
    </row>
    <row r="276" spans="1:9" x14ac:dyDescent="0.35">
      <c r="A276">
        <f t="shared" si="4"/>
        <v>275</v>
      </c>
      <c r="B276">
        <v>284</v>
      </c>
      <c r="C276" t="s">
        <v>2852</v>
      </c>
      <c r="D276" t="s">
        <v>484</v>
      </c>
      <c r="E276" t="s">
        <v>2853</v>
      </c>
      <c r="F276" t="s">
        <v>2348</v>
      </c>
      <c r="G276" t="s">
        <v>2854</v>
      </c>
      <c r="H276" t="s">
        <v>2854</v>
      </c>
      <c r="I276" t="s">
        <v>2855</v>
      </c>
    </row>
    <row r="277" spans="1:9" x14ac:dyDescent="0.35">
      <c r="A277">
        <f t="shared" si="4"/>
        <v>276</v>
      </c>
      <c r="B277">
        <v>285</v>
      </c>
      <c r="C277" t="s">
        <v>2856</v>
      </c>
      <c r="D277" t="s">
        <v>486</v>
      </c>
      <c r="E277" t="s">
        <v>2857</v>
      </c>
      <c r="F277" t="s">
        <v>1888</v>
      </c>
      <c r="G277" t="s">
        <v>2858</v>
      </c>
      <c r="H277" t="s">
        <v>2858</v>
      </c>
      <c r="I277" t="s">
        <v>2859</v>
      </c>
    </row>
    <row r="278" spans="1:9" x14ac:dyDescent="0.35">
      <c r="A278">
        <f t="shared" si="4"/>
        <v>277</v>
      </c>
      <c r="B278">
        <v>286</v>
      </c>
      <c r="C278" t="s">
        <v>2860</v>
      </c>
      <c r="D278" t="s">
        <v>488</v>
      </c>
      <c r="E278" t="s">
        <v>2861</v>
      </c>
      <c r="F278" t="s">
        <v>2862</v>
      </c>
      <c r="G278" t="s">
        <v>2863</v>
      </c>
      <c r="H278" t="s">
        <v>2863</v>
      </c>
      <c r="I278" t="s">
        <v>2864</v>
      </c>
    </row>
    <row r="279" spans="1:9" x14ac:dyDescent="0.35">
      <c r="A279">
        <f t="shared" si="4"/>
        <v>278</v>
      </c>
      <c r="B279">
        <v>287</v>
      </c>
      <c r="C279" t="s">
        <v>2865</v>
      </c>
      <c r="D279" t="s">
        <v>490</v>
      </c>
      <c r="E279" t="s">
        <v>2866</v>
      </c>
      <c r="F279" t="s">
        <v>2867</v>
      </c>
      <c r="G279" t="s">
        <v>2868</v>
      </c>
      <c r="H279" t="s">
        <v>3689</v>
      </c>
      <c r="I279" t="s">
        <v>3690</v>
      </c>
    </row>
    <row r="280" spans="1:9" x14ac:dyDescent="0.35">
      <c r="A280">
        <f t="shared" si="4"/>
        <v>279</v>
      </c>
      <c r="B280">
        <v>288</v>
      </c>
      <c r="C280" t="s">
        <v>2871</v>
      </c>
      <c r="D280" t="s">
        <v>492</v>
      </c>
      <c r="E280" t="s">
        <v>2872</v>
      </c>
      <c r="F280" t="s">
        <v>1669</v>
      </c>
      <c r="G280" t="s">
        <v>2873</v>
      </c>
      <c r="H280" t="s">
        <v>2874</v>
      </c>
      <c r="I280" t="s">
        <v>2875</v>
      </c>
    </row>
    <row r="281" spans="1:9" x14ac:dyDescent="0.35">
      <c r="A281">
        <f t="shared" si="4"/>
        <v>280</v>
      </c>
      <c r="B281">
        <v>289</v>
      </c>
      <c r="C281" t="s">
        <v>2876</v>
      </c>
      <c r="D281" t="s">
        <v>494</v>
      </c>
      <c r="E281" t="s">
        <v>2877</v>
      </c>
      <c r="F281" t="s">
        <v>2878</v>
      </c>
      <c r="G281" t="s">
        <v>2879</v>
      </c>
      <c r="H281" t="s">
        <v>2880</v>
      </c>
      <c r="I281" t="s">
        <v>2881</v>
      </c>
    </row>
    <row r="282" spans="1:9" x14ac:dyDescent="0.35">
      <c r="A282">
        <f t="shared" si="4"/>
        <v>281</v>
      </c>
      <c r="B282">
        <v>290</v>
      </c>
      <c r="C282" t="s">
        <v>2882</v>
      </c>
      <c r="D282" t="s">
        <v>496</v>
      </c>
      <c r="E282" t="s">
        <v>2883</v>
      </c>
      <c r="F282" t="s">
        <v>1799</v>
      </c>
      <c r="G282" t="s">
        <v>2884</v>
      </c>
      <c r="H282" t="s">
        <v>2884</v>
      </c>
      <c r="I282" t="s">
        <v>2885</v>
      </c>
    </row>
    <row r="283" spans="1:9" x14ac:dyDescent="0.35">
      <c r="A283">
        <f t="shared" si="4"/>
        <v>282</v>
      </c>
      <c r="B283">
        <v>291</v>
      </c>
      <c r="C283" t="s">
        <v>2886</v>
      </c>
      <c r="D283" t="s">
        <v>498</v>
      </c>
      <c r="E283" t="s">
        <v>2887</v>
      </c>
      <c r="F283" t="s">
        <v>1596</v>
      </c>
      <c r="G283" t="s">
        <v>2888</v>
      </c>
      <c r="H283" t="s">
        <v>2888</v>
      </c>
      <c r="I283" t="s">
        <v>2888</v>
      </c>
    </row>
    <row r="284" spans="1:9" x14ac:dyDescent="0.35">
      <c r="A284">
        <f t="shared" si="4"/>
        <v>283</v>
      </c>
      <c r="B284">
        <v>292</v>
      </c>
      <c r="C284" t="s">
        <v>2889</v>
      </c>
      <c r="D284" t="s">
        <v>442</v>
      </c>
      <c r="E284" t="s">
        <v>2890</v>
      </c>
      <c r="F284" t="s">
        <v>2609</v>
      </c>
      <c r="G284" t="s">
        <v>2891</v>
      </c>
      <c r="H284" t="s">
        <v>2891</v>
      </c>
      <c r="I284" t="s">
        <v>2892</v>
      </c>
    </row>
    <row r="285" spans="1:9" x14ac:dyDescent="0.35">
      <c r="A285">
        <f t="shared" si="4"/>
        <v>284</v>
      </c>
      <c r="B285">
        <v>293</v>
      </c>
      <c r="C285" t="s">
        <v>2893</v>
      </c>
      <c r="D285" t="s">
        <v>501</v>
      </c>
      <c r="E285" t="s">
        <v>2894</v>
      </c>
      <c r="F285" t="s">
        <v>2878</v>
      </c>
      <c r="G285" t="s">
        <v>2895</v>
      </c>
      <c r="H285" t="s">
        <v>2895</v>
      </c>
      <c r="I285" t="s">
        <v>2896</v>
      </c>
    </row>
    <row r="286" spans="1:9" x14ac:dyDescent="0.35">
      <c r="A286">
        <f t="shared" si="4"/>
        <v>285</v>
      </c>
      <c r="B286">
        <v>294</v>
      </c>
      <c r="C286" t="s">
        <v>2897</v>
      </c>
      <c r="D286" t="s">
        <v>503</v>
      </c>
      <c r="E286" t="s">
        <v>2898</v>
      </c>
      <c r="F286" t="s">
        <v>2899</v>
      </c>
      <c r="G286" t="s">
        <v>2900</v>
      </c>
      <c r="H286" t="s">
        <v>2900</v>
      </c>
      <c r="I286" t="s">
        <v>2901</v>
      </c>
    </row>
    <row r="287" spans="1:9" x14ac:dyDescent="0.35">
      <c r="A287">
        <f t="shared" si="4"/>
        <v>286</v>
      </c>
      <c r="B287">
        <v>295</v>
      </c>
      <c r="C287" t="s">
        <v>2902</v>
      </c>
      <c r="D287" t="s">
        <v>76</v>
      </c>
      <c r="E287" t="s">
        <v>2903</v>
      </c>
      <c r="F287" t="s">
        <v>2904</v>
      </c>
      <c r="G287" t="s">
        <v>2905</v>
      </c>
      <c r="H287" t="s">
        <v>2905</v>
      </c>
      <c r="I287" t="s">
        <v>2906</v>
      </c>
    </row>
    <row r="288" spans="1:9" x14ac:dyDescent="0.35">
      <c r="A288">
        <f t="shared" si="4"/>
        <v>287</v>
      </c>
      <c r="B288">
        <v>296</v>
      </c>
      <c r="C288" t="s">
        <v>2907</v>
      </c>
      <c r="D288" t="s">
        <v>506</v>
      </c>
      <c r="E288" t="s">
        <v>2908</v>
      </c>
      <c r="F288" t="s">
        <v>1730</v>
      </c>
      <c r="G288" t="s">
        <v>2909</v>
      </c>
      <c r="H288" t="s">
        <v>2909</v>
      </c>
      <c r="I288" t="s">
        <v>2910</v>
      </c>
    </row>
    <row r="289" spans="1:9" x14ac:dyDescent="0.35">
      <c r="A289">
        <f t="shared" si="4"/>
        <v>288</v>
      </c>
      <c r="B289">
        <v>297</v>
      </c>
      <c r="C289" t="s">
        <v>2911</v>
      </c>
      <c r="D289" t="s">
        <v>508</v>
      </c>
      <c r="E289" t="s">
        <v>2912</v>
      </c>
      <c r="F289" t="s">
        <v>1669</v>
      </c>
      <c r="G289" t="s">
        <v>2913</v>
      </c>
      <c r="H289" t="s">
        <v>2913</v>
      </c>
      <c r="I289" t="s">
        <v>2914</v>
      </c>
    </row>
    <row r="290" spans="1:9" x14ac:dyDescent="0.35">
      <c r="A290">
        <f t="shared" si="4"/>
        <v>289</v>
      </c>
      <c r="B290">
        <v>298</v>
      </c>
      <c r="C290" t="s">
        <v>2915</v>
      </c>
      <c r="D290" t="s">
        <v>510</v>
      </c>
      <c r="E290" t="s">
        <v>2916</v>
      </c>
      <c r="F290" t="s">
        <v>1906</v>
      </c>
      <c r="G290" t="s">
        <v>2917</v>
      </c>
      <c r="H290" t="s">
        <v>2917</v>
      </c>
      <c r="I290" t="s">
        <v>2918</v>
      </c>
    </row>
    <row r="291" spans="1:9" x14ac:dyDescent="0.35">
      <c r="A291">
        <f t="shared" si="4"/>
        <v>290</v>
      </c>
      <c r="B291">
        <v>299</v>
      </c>
      <c r="C291" t="s">
        <v>2919</v>
      </c>
      <c r="D291" t="s">
        <v>512</v>
      </c>
      <c r="E291" t="s">
        <v>2920</v>
      </c>
      <c r="F291" t="s">
        <v>2921</v>
      </c>
      <c r="G291" t="s">
        <v>2922</v>
      </c>
      <c r="H291" t="s">
        <v>2922</v>
      </c>
      <c r="I291" t="s">
        <v>2923</v>
      </c>
    </row>
    <row r="292" spans="1:9" x14ac:dyDescent="0.35">
      <c r="A292">
        <f t="shared" si="4"/>
        <v>291</v>
      </c>
      <c r="B292">
        <v>300</v>
      </c>
      <c r="C292" t="s">
        <v>2924</v>
      </c>
      <c r="D292" t="s">
        <v>447</v>
      </c>
      <c r="E292" t="s">
        <v>2925</v>
      </c>
      <c r="F292" t="s">
        <v>2599</v>
      </c>
      <c r="G292" t="s">
        <v>2926</v>
      </c>
      <c r="H292" t="s">
        <v>2926</v>
      </c>
      <c r="I292" t="s">
        <v>2927</v>
      </c>
    </row>
    <row r="293" spans="1:9" x14ac:dyDescent="0.35">
      <c r="A293">
        <f t="shared" si="4"/>
        <v>292</v>
      </c>
      <c r="B293">
        <v>301</v>
      </c>
      <c r="C293" t="s">
        <v>2928</v>
      </c>
      <c r="D293" t="s">
        <v>515</v>
      </c>
      <c r="E293" t="s">
        <v>2929</v>
      </c>
      <c r="F293" t="s">
        <v>1735</v>
      </c>
      <c r="G293" t="s">
        <v>2930</v>
      </c>
      <c r="H293" t="s">
        <v>2930</v>
      </c>
      <c r="I293" t="s">
        <v>2931</v>
      </c>
    </row>
    <row r="294" spans="1:9" x14ac:dyDescent="0.35">
      <c r="A294">
        <f t="shared" si="4"/>
        <v>293</v>
      </c>
      <c r="B294">
        <v>302</v>
      </c>
      <c r="C294" t="s">
        <v>2932</v>
      </c>
      <c r="D294" t="s">
        <v>517</v>
      </c>
      <c r="E294" t="s">
        <v>2933</v>
      </c>
      <c r="F294" t="s">
        <v>2934</v>
      </c>
      <c r="G294" t="s">
        <v>2935</v>
      </c>
      <c r="H294" t="s">
        <v>2935</v>
      </c>
      <c r="I294" t="s">
        <v>2936</v>
      </c>
    </row>
    <row r="295" spans="1:9" x14ac:dyDescent="0.35">
      <c r="A295">
        <f t="shared" si="4"/>
        <v>294</v>
      </c>
      <c r="B295">
        <v>303</v>
      </c>
      <c r="C295" t="s">
        <v>2937</v>
      </c>
      <c r="D295" t="s">
        <v>519</v>
      </c>
      <c r="E295" t="s">
        <v>2938</v>
      </c>
      <c r="F295" t="s">
        <v>1692</v>
      </c>
      <c r="G295" t="s">
        <v>2939</v>
      </c>
      <c r="H295" t="s">
        <v>2939</v>
      </c>
      <c r="I295" t="s">
        <v>2940</v>
      </c>
    </row>
    <row r="296" spans="1:9" x14ac:dyDescent="0.35">
      <c r="A296">
        <f t="shared" si="4"/>
        <v>295</v>
      </c>
      <c r="B296">
        <v>304</v>
      </c>
      <c r="C296" t="s">
        <v>2941</v>
      </c>
      <c r="D296" t="s">
        <v>519</v>
      </c>
      <c r="E296" t="s">
        <v>2942</v>
      </c>
      <c r="F296" t="s">
        <v>1735</v>
      </c>
      <c r="G296" t="s">
        <v>2943</v>
      </c>
      <c r="H296" t="s">
        <v>2943</v>
      </c>
      <c r="I296" t="s">
        <v>2944</v>
      </c>
    </row>
    <row r="297" spans="1:9" x14ac:dyDescent="0.35">
      <c r="A297">
        <f t="shared" si="4"/>
        <v>296</v>
      </c>
      <c r="B297">
        <v>305</v>
      </c>
      <c r="C297" t="s">
        <v>2945</v>
      </c>
      <c r="D297" t="s">
        <v>522</v>
      </c>
      <c r="E297" t="s">
        <v>2946</v>
      </c>
      <c r="F297" t="s">
        <v>2008</v>
      </c>
      <c r="G297" t="s">
        <v>2947</v>
      </c>
      <c r="H297" t="s">
        <v>2948</v>
      </c>
      <c r="I297" t="s">
        <v>2949</v>
      </c>
    </row>
    <row r="298" spans="1:9" x14ac:dyDescent="0.35">
      <c r="A298">
        <f t="shared" si="4"/>
        <v>297</v>
      </c>
      <c r="B298">
        <v>306</v>
      </c>
      <c r="C298" t="s">
        <v>2950</v>
      </c>
      <c r="D298" t="s">
        <v>447</v>
      </c>
      <c r="E298" t="s">
        <v>2951</v>
      </c>
      <c r="F298" t="s">
        <v>1775</v>
      </c>
      <c r="G298" t="s">
        <v>2952</v>
      </c>
      <c r="H298" t="s">
        <v>2952</v>
      </c>
      <c r="I298" t="s">
        <v>2953</v>
      </c>
    </row>
    <row r="299" spans="1:9" x14ac:dyDescent="0.35">
      <c r="A299">
        <f t="shared" si="4"/>
        <v>298</v>
      </c>
      <c r="B299">
        <v>307</v>
      </c>
      <c r="C299" t="s">
        <v>2954</v>
      </c>
      <c r="D299" t="s">
        <v>525</v>
      </c>
      <c r="E299" t="s">
        <v>2955</v>
      </c>
      <c r="F299" t="s">
        <v>1764</v>
      </c>
      <c r="G299" t="s">
        <v>2956</v>
      </c>
      <c r="H299" t="s">
        <v>2956</v>
      </c>
      <c r="I299" t="s">
        <v>2957</v>
      </c>
    </row>
    <row r="300" spans="1:9" x14ac:dyDescent="0.35">
      <c r="A300">
        <f t="shared" si="4"/>
        <v>299</v>
      </c>
      <c r="B300">
        <v>308</v>
      </c>
      <c r="C300" t="s">
        <v>2958</v>
      </c>
      <c r="D300" t="s">
        <v>447</v>
      </c>
      <c r="E300" t="s">
        <v>2959</v>
      </c>
      <c r="F300" t="s">
        <v>2442</v>
      </c>
      <c r="G300" t="s">
        <v>2960</v>
      </c>
      <c r="H300" t="s">
        <v>2960</v>
      </c>
      <c r="I300" t="s">
        <v>2961</v>
      </c>
    </row>
    <row r="301" spans="1:9" x14ac:dyDescent="0.35">
      <c r="A301">
        <f t="shared" si="4"/>
        <v>300</v>
      </c>
      <c r="B301">
        <v>309</v>
      </c>
      <c r="C301" t="s">
        <v>2962</v>
      </c>
      <c r="D301" t="s">
        <v>528</v>
      </c>
      <c r="E301" t="s">
        <v>2963</v>
      </c>
      <c r="F301" t="s">
        <v>1596</v>
      </c>
      <c r="G301" t="s">
        <v>2964</v>
      </c>
      <c r="H301" t="s">
        <v>2965</v>
      </c>
      <c r="I301" t="s">
        <v>2966</v>
      </c>
    </row>
    <row r="302" spans="1:9" x14ac:dyDescent="0.35">
      <c r="A302">
        <f t="shared" si="4"/>
        <v>301</v>
      </c>
      <c r="B302">
        <v>310</v>
      </c>
      <c r="C302" t="s">
        <v>2967</v>
      </c>
      <c r="D302" t="s">
        <v>442</v>
      </c>
      <c r="E302" t="s">
        <v>2968</v>
      </c>
      <c r="F302" t="s">
        <v>2609</v>
      </c>
      <c r="G302" t="s">
        <v>2969</v>
      </c>
      <c r="H302" t="s">
        <v>2969</v>
      </c>
      <c r="I302" t="s">
        <v>2970</v>
      </c>
    </row>
    <row r="303" spans="1:9" x14ac:dyDescent="0.35">
      <c r="A303">
        <f t="shared" si="4"/>
        <v>302</v>
      </c>
      <c r="B303">
        <v>311</v>
      </c>
      <c r="C303" t="s">
        <v>2971</v>
      </c>
      <c r="D303" t="s">
        <v>531</v>
      </c>
      <c r="E303" t="s">
        <v>2972</v>
      </c>
      <c r="F303" t="s">
        <v>2782</v>
      </c>
      <c r="G303" t="s">
        <v>2973</v>
      </c>
      <c r="H303" t="s">
        <v>2973</v>
      </c>
      <c r="I303" t="s">
        <v>2974</v>
      </c>
    </row>
    <row r="304" spans="1:9" x14ac:dyDescent="0.35">
      <c r="A304">
        <f t="shared" si="4"/>
        <v>303</v>
      </c>
      <c r="B304">
        <v>312</v>
      </c>
      <c r="C304" t="s">
        <v>2975</v>
      </c>
      <c r="D304" t="s">
        <v>533</v>
      </c>
      <c r="E304" t="s">
        <v>2976</v>
      </c>
      <c r="F304" t="s">
        <v>2977</v>
      </c>
      <c r="G304" t="s">
        <v>2978</v>
      </c>
      <c r="H304" t="s">
        <v>2979</v>
      </c>
      <c r="I304" t="s">
        <v>2980</v>
      </c>
    </row>
    <row r="305" spans="1:9" x14ac:dyDescent="0.35">
      <c r="A305">
        <f t="shared" si="4"/>
        <v>304</v>
      </c>
      <c r="B305">
        <v>313</v>
      </c>
      <c r="C305" t="s">
        <v>2981</v>
      </c>
      <c r="D305" t="s">
        <v>535</v>
      </c>
      <c r="E305" t="s">
        <v>2982</v>
      </c>
      <c r="F305" t="s">
        <v>2977</v>
      </c>
      <c r="G305" t="s">
        <v>2983</v>
      </c>
      <c r="H305" t="s">
        <v>3691</v>
      </c>
      <c r="I305" t="s">
        <v>3692</v>
      </c>
    </row>
    <row r="306" spans="1:9" x14ac:dyDescent="0.35">
      <c r="A306">
        <f t="shared" si="4"/>
        <v>305</v>
      </c>
      <c r="B306">
        <v>314</v>
      </c>
      <c r="C306" t="s">
        <v>2986</v>
      </c>
      <c r="D306" t="s">
        <v>537</v>
      </c>
      <c r="E306" t="s">
        <v>2987</v>
      </c>
      <c r="F306" t="s">
        <v>2258</v>
      </c>
      <c r="G306" t="s">
        <v>2988</v>
      </c>
      <c r="H306" t="s">
        <v>2988</v>
      </c>
      <c r="I306" t="s">
        <v>2989</v>
      </c>
    </row>
    <row r="307" spans="1:9" x14ac:dyDescent="0.35">
      <c r="A307">
        <f t="shared" si="4"/>
        <v>306</v>
      </c>
      <c r="B307">
        <v>315</v>
      </c>
      <c r="C307" t="s">
        <v>2990</v>
      </c>
      <c r="D307" t="s">
        <v>539</v>
      </c>
      <c r="E307" t="s">
        <v>2991</v>
      </c>
      <c r="F307" t="s">
        <v>2164</v>
      </c>
      <c r="G307" t="s">
        <v>2992</v>
      </c>
      <c r="H307" t="s">
        <v>2993</v>
      </c>
      <c r="I307" t="s">
        <v>2994</v>
      </c>
    </row>
    <row r="308" spans="1:9" x14ac:dyDescent="0.35">
      <c r="A308">
        <f t="shared" si="4"/>
        <v>307</v>
      </c>
      <c r="B308">
        <v>316</v>
      </c>
      <c r="C308" t="s">
        <v>2995</v>
      </c>
      <c r="D308" t="s">
        <v>541</v>
      </c>
      <c r="E308" t="s">
        <v>2996</v>
      </c>
      <c r="F308" t="s">
        <v>1804</v>
      </c>
      <c r="G308" t="s">
        <v>2996</v>
      </c>
      <c r="H308" t="s">
        <v>2996</v>
      </c>
      <c r="I308" t="s">
        <v>2997</v>
      </c>
    </row>
    <row r="309" spans="1:9" x14ac:dyDescent="0.35">
      <c r="A309">
        <f t="shared" si="4"/>
        <v>308</v>
      </c>
      <c r="B309">
        <v>317</v>
      </c>
      <c r="C309" t="s">
        <v>2998</v>
      </c>
      <c r="D309" t="s">
        <v>543</v>
      </c>
      <c r="E309" t="s">
        <v>2999</v>
      </c>
      <c r="F309" t="s">
        <v>2609</v>
      </c>
      <c r="G309" t="s">
        <v>3000</v>
      </c>
      <c r="H309" t="s">
        <v>3000</v>
      </c>
      <c r="I309" t="s">
        <v>3001</v>
      </c>
    </row>
    <row r="310" spans="1:9" x14ac:dyDescent="0.35">
      <c r="A310">
        <f t="shared" si="4"/>
        <v>309</v>
      </c>
      <c r="B310">
        <v>318</v>
      </c>
      <c r="C310" t="s">
        <v>3002</v>
      </c>
      <c r="D310" t="s">
        <v>545</v>
      </c>
      <c r="E310" t="s">
        <v>3003</v>
      </c>
      <c r="F310" t="s">
        <v>2082</v>
      </c>
      <c r="G310" t="s">
        <v>3004</v>
      </c>
      <c r="H310" t="s">
        <v>3004</v>
      </c>
      <c r="I310" t="s">
        <v>3005</v>
      </c>
    </row>
    <row r="311" spans="1:9" x14ac:dyDescent="0.35">
      <c r="A311">
        <f t="shared" si="4"/>
        <v>310</v>
      </c>
      <c r="B311">
        <v>319</v>
      </c>
      <c r="C311" t="s">
        <v>3006</v>
      </c>
      <c r="D311" t="s">
        <v>547</v>
      </c>
      <c r="E311" t="s">
        <v>3007</v>
      </c>
      <c r="F311" t="s">
        <v>1719</v>
      </c>
      <c r="G311" t="s">
        <v>3008</v>
      </c>
      <c r="H311" t="s">
        <v>3008</v>
      </c>
      <c r="I311" t="s">
        <v>3009</v>
      </c>
    </row>
    <row r="312" spans="1:9" x14ac:dyDescent="0.35">
      <c r="A312">
        <f t="shared" si="4"/>
        <v>311</v>
      </c>
      <c r="B312">
        <v>320</v>
      </c>
      <c r="C312" t="s">
        <v>3010</v>
      </c>
      <c r="D312" t="s">
        <v>549</v>
      </c>
      <c r="E312" t="s">
        <v>3011</v>
      </c>
      <c r="F312" t="s">
        <v>3012</v>
      </c>
      <c r="G312" t="s">
        <v>3013</v>
      </c>
      <c r="H312" t="s">
        <v>3013</v>
      </c>
      <c r="I312" t="s">
        <v>3014</v>
      </c>
    </row>
    <row r="313" spans="1:9" x14ac:dyDescent="0.35">
      <c r="A313">
        <f t="shared" si="4"/>
        <v>312</v>
      </c>
      <c r="B313">
        <v>321</v>
      </c>
      <c r="C313" t="s">
        <v>3015</v>
      </c>
      <c r="D313" t="s">
        <v>551</v>
      </c>
      <c r="E313" t="s">
        <v>3016</v>
      </c>
      <c r="F313" t="s">
        <v>1844</v>
      </c>
      <c r="G313" t="s">
        <v>3017</v>
      </c>
      <c r="H313" t="s">
        <v>3017</v>
      </c>
      <c r="I313" t="s">
        <v>3018</v>
      </c>
    </row>
    <row r="314" spans="1:9" x14ac:dyDescent="0.35">
      <c r="A314">
        <f t="shared" si="4"/>
        <v>313</v>
      </c>
      <c r="B314">
        <v>322</v>
      </c>
      <c r="C314" t="s">
        <v>3019</v>
      </c>
      <c r="D314" t="s">
        <v>555</v>
      </c>
      <c r="E314" t="s">
        <v>3020</v>
      </c>
      <c r="F314" t="s">
        <v>3021</v>
      </c>
      <c r="G314" t="s">
        <v>3022</v>
      </c>
      <c r="H314" t="s">
        <v>3023</v>
      </c>
      <c r="I314" t="s">
        <v>3024</v>
      </c>
    </row>
    <row r="315" spans="1:9" x14ac:dyDescent="0.35">
      <c r="A315">
        <f t="shared" si="4"/>
        <v>314</v>
      </c>
      <c r="B315">
        <v>323</v>
      </c>
      <c r="C315" t="s">
        <v>3025</v>
      </c>
      <c r="D315" t="s">
        <v>557</v>
      </c>
      <c r="E315" t="s">
        <v>3026</v>
      </c>
      <c r="F315" t="s">
        <v>2092</v>
      </c>
      <c r="G315" t="s">
        <v>3027</v>
      </c>
      <c r="H315" t="s">
        <v>3028</v>
      </c>
      <c r="I315" t="s">
        <v>3029</v>
      </c>
    </row>
    <row r="316" spans="1:9" x14ac:dyDescent="0.35">
      <c r="A316">
        <f t="shared" si="4"/>
        <v>315</v>
      </c>
      <c r="B316">
        <v>324</v>
      </c>
      <c r="C316" t="s">
        <v>3030</v>
      </c>
      <c r="D316" t="s">
        <v>559</v>
      </c>
      <c r="E316" t="s">
        <v>3031</v>
      </c>
      <c r="F316" t="s">
        <v>2348</v>
      </c>
      <c r="G316" t="s">
        <v>3032</v>
      </c>
      <c r="H316" t="s">
        <v>3032</v>
      </c>
      <c r="I316" t="s">
        <v>3033</v>
      </c>
    </row>
    <row r="317" spans="1:9" x14ac:dyDescent="0.35">
      <c r="A317">
        <f t="shared" si="4"/>
        <v>316</v>
      </c>
      <c r="B317">
        <v>325</v>
      </c>
      <c r="C317" t="s">
        <v>3034</v>
      </c>
      <c r="D317" t="s">
        <v>561</v>
      </c>
      <c r="E317" t="s">
        <v>3035</v>
      </c>
      <c r="F317" t="s">
        <v>3036</v>
      </c>
      <c r="G317" t="s">
        <v>3037</v>
      </c>
      <c r="H317" t="s">
        <v>3037</v>
      </c>
      <c r="I317" t="s">
        <v>3038</v>
      </c>
    </row>
    <row r="318" spans="1:9" x14ac:dyDescent="0.35">
      <c r="A318">
        <f t="shared" si="4"/>
        <v>317</v>
      </c>
      <c r="B318">
        <v>326</v>
      </c>
      <c r="C318" t="s">
        <v>3039</v>
      </c>
      <c r="D318" t="s">
        <v>563</v>
      </c>
      <c r="E318" t="s">
        <v>3040</v>
      </c>
      <c r="F318" t="s">
        <v>3041</v>
      </c>
      <c r="G318" t="s">
        <v>3042</v>
      </c>
      <c r="H318" t="s">
        <v>3042</v>
      </c>
      <c r="I318" t="s">
        <v>3043</v>
      </c>
    </row>
    <row r="319" spans="1:9" x14ac:dyDescent="0.35">
      <c r="A319">
        <f t="shared" si="4"/>
        <v>318</v>
      </c>
      <c r="B319">
        <v>327</v>
      </c>
      <c r="C319" t="s">
        <v>3044</v>
      </c>
      <c r="D319" t="s">
        <v>565</v>
      </c>
      <c r="E319" t="s">
        <v>3045</v>
      </c>
      <c r="F319" t="s">
        <v>2159</v>
      </c>
      <c r="G319" t="s">
        <v>3046</v>
      </c>
      <c r="H319" t="s">
        <v>3046</v>
      </c>
      <c r="I319" t="s">
        <v>3047</v>
      </c>
    </row>
    <row r="320" spans="1:9" x14ac:dyDescent="0.35">
      <c r="A320">
        <f t="shared" si="4"/>
        <v>319</v>
      </c>
      <c r="B320">
        <v>328</v>
      </c>
      <c r="C320" t="s">
        <v>3048</v>
      </c>
      <c r="D320" t="s">
        <v>567</v>
      </c>
      <c r="E320" t="s">
        <v>3049</v>
      </c>
      <c r="F320" t="s">
        <v>2312</v>
      </c>
      <c r="G320" t="s">
        <v>3050</v>
      </c>
      <c r="H320" t="s">
        <v>3050</v>
      </c>
      <c r="I320" t="s">
        <v>3051</v>
      </c>
    </row>
    <row r="321" spans="1:9" x14ac:dyDescent="0.35">
      <c r="A321">
        <f t="shared" si="4"/>
        <v>320</v>
      </c>
      <c r="B321">
        <v>329</v>
      </c>
      <c r="C321" t="s">
        <v>3052</v>
      </c>
      <c r="D321" t="s">
        <v>569</v>
      </c>
      <c r="E321" t="s">
        <v>3053</v>
      </c>
      <c r="F321" t="s">
        <v>1629</v>
      </c>
      <c r="G321" t="s">
        <v>3054</v>
      </c>
      <c r="H321" t="s">
        <v>3054</v>
      </c>
      <c r="I321" t="s">
        <v>3055</v>
      </c>
    </row>
    <row r="322" spans="1:9" x14ac:dyDescent="0.35">
      <c r="A322">
        <f t="shared" si="4"/>
        <v>321</v>
      </c>
      <c r="B322">
        <v>330</v>
      </c>
      <c r="C322" t="s">
        <v>3056</v>
      </c>
      <c r="D322" t="s">
        <v>571</v>
      </c>
      <c r="E322" t="s">
        <v>3057</v>
      </c>
      <c r="F322" t="s">
        <v>1990</v>
      </c>
      <c r="G322" t="s">
        <v>3058</v>
      </c>
      <c r="H322" t="s">
        <v>3058</v>
      </c>
      <c r="I322" t="s">
        <v>3059</v>
      </c>
    </row>
    <row r="323" spans="1:9" x14ac:dyDescent="0.35">
      <c r="A323">
        <f t="shared" si="4"/>
        <v>322</v>
      </c>
      <c r="B323">
        <v>331</v>
      </c>
      <c r="C323" t="s">
        <v>3060</v>
      </c>
      <c r="D323" t="s">
        <v>484</v>
      </c>
      <c r="E323" t="s">
        <v>3061</v>
      </c>
      <c r="F323" t="s">
        <v>2348</v>
      </c>
      <c r="G323" t="s">
        <v>3062</v>
      </c>
      <c r="H323" t="s">
        <v>3062</v>
      </c>
      <c r="I323" t="s">
        <v>3063</v>
      </c>
    </row>
    <row r="324" spans="1:9" x14ac:dyDescent="0.35">
      <c r="A324">
        <f t="shared" ref="A324:A387" si="5">SUM(A323+1)</f>
        <v>323</v>
      </c>
      <c r="B324">
        <v>332</v>
      </c>
      <c r="C324" t="s">
        <v>3064</v>
      </c>
      <c r="D324" t="s">
        <v>575</v>
      </c>
      <c r="E324" t="s">
        <v>3065</v>
      </c>
      <c r="F324" t="s">
        <v>2312</v>
      </c>
      <c r="G324" t="s">
        <v>3066</v>
      </c>
      <c r="H324" t="s">
        <v>3066</v>
      </c>
      <c r="I324" t="s">
        <v>3067</v>
      </c>
    </row>
    <row r="325" spans="1:9" x14ac:dyDescent="0.35">
      <c r="A325">
        <f t="shared" si="5"/>
        <v>324</v>
      </c>
      <c r="B325">
        <v>333</v>
      </c>
      <c r="C325" t="s">
        <v>3068</v>
      </c>
      <c r="D325" t="s">
        <v>577</v>
      </c>
      <c r="E325" t="s">
        <v>3069</v>
      </c>
      <c r="F325" t="s">
        <v>3070</v>
      </c>
      <c r="G325" t="s">
        <v>3071</v>
      </c>
      <c r="H325" t="s">
        <v>3071</v>
      </c>
      <c r="I325" t="s">
        <v>3072</v>
      </c>
    </row>
    <row r="326" spans="1:9" x14ac:dyDescent="0.35">
      <c r="A326">
        <f t="shared" si="5"/>
        <v>325</v>
      </c>
      <c r="B326">
        <v>334</v>
      </c>
      <c r="C326" t="s">
        <v>3073</v>
      </c>
      <c r="D326" t="s">
        <v>577</v>
      </c>
      <c r="E326" t="s">
        <v>3074</v>
      </c>
      <c r="F326" t="s">
        <v>1764</v>
      </c>
      <c r="G326" t="s">
        <v>3075</v>
      </c>
      <c r="H326" t="s">
        <v>3075</v>
      </c>
      <c r="I326" t="s">
        <v>3076</v>
      </c>
    </row>
    <row r="327" spans="1:9" x14ac:dyDescent="0.35">
      <c r="A327">
        <f t="shared" si="5"/>
        <v>326</v>
      </c>
      <c r="B327">
        <v>335</v>
      </c>
      <c r="C327" t="s">
        <v>3077</v>
      </c>
      <c r="D327" t="s">
        <v>435</v>
      </c>
      <c r="E327" t="s">
        <v>3078</v>
      </c>
      <c r="F327" t="s">
        <v>3079</v>
      </c>
      <c r="G327" t="s">
        <v>3080</v>
      </c>
      <c r="H327" t="s">
        <v>3080</v>
      </c>
      <c r="I327" t="s">
        <v>3081</v>
      </c>
    </row>
    <row r="328" spans="1:9" x14ac:dyDescent="0.35">
      <c r="A328">
        <f t="shared" si="5"/>
        <v>327</v>
      </c>
      <c r="B328">
        <v>336</v>
      </c>
      <c r="C328" t="s">
        <v>3082</v>
      </c>
      <c r="D328" t="s">
        <v>76</v>
      </c>
      <c r="E328" t="s">
        <v>3083</v>
      </c>
      <c r="F328" t="s">
        <v>2796</v>
      </c>
      <c r="G328" t="s">
        <v>3084</v>
      </c>
      <c r="H328" t="s">
        <v>3084</v>
      </c>
      <c r="I328" t="s">
        <v>3085</v>
      </c>
    </row>
    <row r="329" spans="1:9" x14ac:dyDescent="0.35">
      <c r="A329">
        <f t="shared" si="5"/>
        <v>328</v>
      </c>
      <c r="B329">
        <v>337</v>
      </c>
      <c r="C329" t="s">
        <v>3086</v>
      </c>
      <c r="D329" t="s">
        <v>582</v>
      </c>
      <c r="E329" t="s">
        <v>3087</v>
      </c>
      <c r="F329" t="s">
        <v>1613</v>
      </c>
      <c r="G329" t="s">
        <v>3088</v>
      </c>
      <c r="H329" t="s">
        <v>3693</v>
      </c>
      <c r="I329" t="s">
        <v>3694</v>
      </c>
    </row>
    <row r="330" spans="1:9" x14ac:dyDescent="0.35">
      <c r="A330">
        <f t="shared" si="5"/>
        <v>329</v>
      </c>
      <c r="B330">
        <v>338</v>
      </c>
      <c r="C330" t="s">
        <v>3091</v>
      </c>
      <c r="D330" t="s">
        <v>584</v>
      </c>
      <c r="E330" t="s">
        <v>3092</v>
      </c>
      <c r="F330" t="s">
        <v>3079</v>
      </c>
      <c r="G330" t="s">
        <v>3093</v>
      </c>
      <c r="H330" t="s">
        <v>3093</v>
      </c>
      <c r="I330" t="s">
        <v>3094</v>
      </c>
    </row>
    <row r="331" spans="1:9" x14ac:dyDescent="0.35">
      <c r="A331">
        <f t="shared" si="5"/>
        <v>330</v>
      </c>
      <c r="B331">
        <v>339</v>
      </c>
      <c r="C331" t="s">
        <v>3095</v>
      </c>
      <c r="D331" t="s">
        <v>586</v>
      </c>
      <c r="E331" t="s">
        <v>3096</v>
      </c>
      <c r="F331" t="s">
        <v>1663</v>
      </c>
      <c r="G331" t="s">
        <v>3097</v>
      </c>
      <c r="H331" t="s">
        <v>3098</v>
      </c>
      <c r="I331" t="s">
        <v>3099</v>
      </c>
    </row>
    <row r="332" spans="1:9" x14ac:dyDescent="0.35">
      <c r="A332">
        <f t="shared" si="5"/>
        <v>331</v>
      </c>
      <c r="B332">
        <v>340</v>
      </c>
      <c r="C332" t="s">
        <v>3100</v>
      </c>
      <c r="D332" t="s">
        <v>588</v>
      </c>
      <c r="E332" t="s">
        <v>3101</v>
      </c>
      <c r="F332" t="s">
        <v>2558</v>
      </c>
      <c r="G332" t="s">
        <v>3102</v>
      </c>
      <c r="H332" t="s">
        <v>3103</v>
      </c>
      <c r="I332" t="s">
        <v>3104</v>
      </c>
    </row>
    <row r="333" spans="1:9" x14ac:dyDescent="0.35">
      <c r="A333">
        <f t="shared" si="5"/>
        <v>332</v>
      </c>
      <c r="B333">
        <v>341</v>
      </c>
      <c r="C333" t="s">
        <v>3105</v>
      </c>
      <c r="D333" t="s">
        <v>590</v>
      </c>
      <c r="E333" t="s">
        <v>3106</v>
      </c>
      <c r="F333" t="s">
        <v>3107</v>
      </c>
      <c r="G333" t="s">
        <v>3108</v>
      </c>
      <c r="H333" t="s">
        <v>3695</v>
      </c>
      <c r="I333" t="s">
        <v>3696</v>
      </c>
    </row>
    <row r="334" spans="1:9" x14ac:dyDescent="0.35">
      <c r="A334">
        <f t="shared" si="5"/>
        <v>333</v>
      </c>
      <c r="B334">
        <v>342</v>
      </c>
      <c r="C334" t="s">
        <v>3111</v>
      </c>
      <c r="D334" t="s">
        <v>592</v>
      </c>
      <c r="E334" t="s">
        <v>3112</v>
      </c>
      <c r="F334" t="s">
        <v>3113</v>
      </c>
      <c r="G334" t="s">
        <v>3114</v>
      </c>
      <c r="H334" t="s">
        <v>3114</v>
      </c>
      <c r="I334" t="s">
        <v>3115</v>
      </c>
    </row>
    <row r="335" spans="1:9" x14ac:dyDescent="0.35">
      <c r="A335">
        <f t="shared" si="5"/>
        <v>334</v>
      </c>
      <c r="B335">
        <v>343</v>
      </c>
      <c r="C335" t="s">
        <v>3116</v>
      </c>
      <c r="D335" t="s">
        <v>594</v>
      </c>
      <c r="E335" t="s">
        <v>3117</v>
      </c>
      <c r="F335" t="s">
        <v>3118</v>
      </c>
      <c r="G335" t="s">
        <v>3119</v>
      </c>
      <c r="H335" t="s">
        <v>3119</v>
      </c>
      <c r="I335" t="s">
        <v>3120</v>
      </c>
    </row>
    <row r="336" spans="1:9" x14ac:dyDescent="0.35">
      <c r="A336">
        <f t="shared" si="5"/>
        <v>335</v>
      </c>
      <c r="B336">
        <v>344</v>
      </c>
      <c r="C336" t="s">
        <v>3121</v>
      </c>
      <c r="D336" t="s">
        <v>596</v>
      </c>
      <c r="E336" t="s">
        <v>3122</v>
      </c>
      <c r="F336" t="s">
        <v>1853</v>
      </c>
      <c r="G336" t="s">
        <v>3123</v>
      </c>
      <c r="H336" t="s">
        <v>3123</v>
      </c>
      <c r="I336" t="s">
        <v>3124</v>
      </c>
    </row>
    <row r="337" spans="1:9" x14ac:dyDescent="0.35">
      <c r="A337">
        <f t="shared" si="5"/>
        <v>336</v>
      </c>
      <c r="B337">
        <v>345</v>
      </c>
      <c r="C337" t="s">
        <v>3125</v>
      </c>
      <c r="D337" t="s">
        <v>598</v>
      </c>
      <c r="E337" t="s">
        <v>3126</v>
      </c>
      <c r="F337" t="s">
        <v>2229</v>
      </c>
      <c r="G337" t="s">
        <v>3127</v>
      </c>
      <c r="H337" t="s">
        <v>3127</v>
      </c>
      <c r="I337" t="s">
        <v>3128</v>
      </c>
    </row>
    <row r="338" spans="1:9" x14ac:dyDescent="0.35">
      <c r="A338">
        <f t="shared" si="5"/>
        <v>337</v>
      </c>
      <c r="B338">
        <v>346</v>
      </c>
      <c r="C338" t="s">
        <v>3129</v>
      </c>
      <c r="D338" t="s">
        <v>600</v>
      </c>
      <c r="E338" t="s">
        <v>3130</v>
      </c>
      <c r="F338" t="s">
        <v>3131</v>
      </c>
      <c r="G338" t="s">
        <v>3130</v>
      </c>
      <c r="H338" t="s">
        <v>3130</v>
      </c>
      <c r="I338" t="s">
        <v>3132</v>
      </c>
    </row>
    <row r="339" spans="1:9" x14ac:dyDescent="0.35">
      <c r="A339">
        <f t="shared" si="5"/>
        <v>338</v>
      </c>
      <c r="B339">
        <v>347</v>
      </c>
      <c r="C339" t="s">
        <v>3133</v>
      </c>
      <c r="D339" t="s">
        <v>602</v>
      </c>
      <c r="E339" t="s">
        <v>3134</v>
      </c>
      <c r="F339" t="s">
        <v>2862</v>
      </c>
      <c r="G339" t="s">
        <v>3135</v>
      </c>
      <c r="H339" t="s">
        <v>3135</v>
      </c>
      <c r="I339" t="s">
        <v>3136</v>
      </c>
    </row>
    <row r="340" spans="1:9" x14ac:dyDescent="0.35">
      <c r="A340">
        <f t="shared" si="5"/>
        <v>339</v>
      </c>
      <c r="B340">
        <v>348</v>
      </c>
      <c r="C340" t="s">
        <v>3137</v>
      </c>
      <c r="D340" t="s">
        <v>604</v>
      </c>
      <c r="E340" t="s">
        <v>3138</v>
      </c>
      <c r="F340" t="s">
        <v>2558</v>
      </c>
      <c r="G340" t="s">
        <v>3139</v>
      </c>
      <c r="H340" t="s">
        <v>3139</v>
      </c>
      <c r="I340" t="s">
        <v>3140</v>
      </c>
    </row>
    <row r="341" spans="1:9" x14ac:dyDescent="0.35">
      <c r="A341">
        <f t="shared" si="5"/>
        <v>340</v>
      </c>
      <c r="B341">
        <v>349</v>
      </c>
      <c r="C341" t="s">
        <v>3141</v>
      </c>
      <c r="D341" t="s">
        <v>606</v>
      </c>
      <c r="E341" t="s">
        <v>3142</v>
      </c>
      <c r="F341" t="s">
        <v>2154</v>
      </c>
      <c r="G341" t="s">
        <v>3143</v>
      </c>
      <c r="H341" t="s">
        <v>3144</v>
      </c>
      <c r="I341" t="s">
        <v>3145</v>
      </c>
    </row>
    <row r="342" spans="1:9" x14ac:dyDescent="0.35">
      <c r="A342">
        <f t="shared" si="5"/>
        <v>341</v>
      </c>
      <c r="B342">
        <v>350</v>
      </c>
      <c r="C342" t="s">
        <v>3146</v>
      </c>
      <c r="D342" t="s">
        <v>608</v>
      </c>
      <c r="E342" t="s">
        <v>3147</v>
      </c>
      <c r="F342" t="s">
        <v>1785</v>
      </c>
      <c r="G342" t="s">
        <v>3148</v>
      </c>
      <c r="H342" t="s">
        <v>3148</v>
      </c>
      <c r="I342" t="s">
        <v>3149</v>
      </c>
    </row>
    <row r="343" spans="1:9" x14ac:dyDescent="0.35">
      <c r="A343">
        <f t="shared" si="5"/>
        <v>342</v>
      </c>
      <c r="B343">
        <v>351</v>
      </c>
      <c r="C343" t="s">
        <v>3150</v>
      </c>
      <c r="D343" t="s">
        <v>610</v>
      </c>
      <c r="E343" t="s">
        <v>3151</v>
      </c>
      <c r="F343" t="s">
        <v>1764</v>
      </c>
      <c r="G343" t="s">
        <v>3152</v>
      </c>
      <c r="H343" t="s">
        <v>3152</v>
      </c>
      <c r="I343" t="s">
        <v>3153</v>
      </c>
    </row>
    <row r="344" spans="1:9" x14ac:dyDescent="0.35">
      <c r="A344">
        <f t="shared" si="5"/>
        <v>343</v>
      </c>
      <c r="B344">
        <v>352</v>
      </c>
      <c r="C344" t="s">
        <v>3154</v>
      </c>
      <c r="D344" t="s">
        <v>612</v>
      </c>
      <c r="E344" t="s">
        <v>3155</v>
      </c>
      <c r="F344" t="s">
        <v>1799</v>
      </c>
      <c r="G344" t="s">
        <v>3156</v>
      </c>
      <c r="H344" t="s">
        <v>3156</v>
      </c>
      <c r="I344" t="s">
        <v>3157</v>
      </c>
    </row>
    <row r="345" spans="1:9" x14ac:dyDescent="0.35">
      <c r="A345">
        <f t="shared" si="5"/>
        <v>344</v>
      </c>
      <c r="B345">
        <v>353</v>
      </c>
      <c r="C345" t="s">
        <v>3158</v>
      </c>
      <c r="D345" t="s">
        <v>614</v>
      </c>
      <c r="E345" t="s">
        <v>3159</v>
      </c>
      <c r="F345" t="s">
        <v>1799</v>
      </c>
      <c r="G345" t="s">
        <v>3160</v>
      </c>
      <c r="H345" t="s">
        <v>3160</v>
      </c>
      <c r="I345" t="s">
        <v>3161</v>
      </c>
    </row>
    <row r="346" spans="1:9" x14ac:dyDescent="0.35">
      <c r="A346">
        <f t="shared" si="5"/>
        <v>345</v>
      </c>
      <c r="B346">
        <v>354</v>
      </c>
      <c r="C346" t="s">
        <v>3162</v>
      </c>
      <c r="D346" t="s">
        <v>614</v>
      </c>
      <c r="E346" t="s">
        <v>3163</v>
      </c>
      <c r="F346" t="s">
        <v>1829</v>
      </c>
      <c r="G346" t="s">
        <v>3164</v>
      </c>
      <c r="H346" t="s">
        <v>3164</v>
      </c>
      <c r="I346" t="s">
        <v>3165</v>
      </c>
    </row>
    <row r="347" spans="1:9" x14ac:dyDescent="0.35">
      <c r="A347">
        <f t="shared" si="5"/>
        <v>346</v>
      </c>
      <c r="B347">
        <v>355</v>
      </c>
      <c r="C347" t="s">
        <v>3166</v>
      </c>
      <c r="D347" t="s">
        <v>617</v>
      </c>
      <c r="E347" t="s">
        <v>3167</v>
      </c>
      <c r="F347" t="s">
        <v>2505</v>
      </c>
      <c r="G347" t="s">
        <v>3168</v>
      </c>
      <c r="H347" t="s">
        <v>3168</v>
      </c>
      <c r="I347" t="s">
        <v>3169</v>
      </c>
    </row>
    <row r="348" spans="1:9" x14ac:dyDescent="0.35">
      <c r="A348">
        <f t="shared" si="5"/>
        <v>347</v>
      </c>
      <c r="B348">
        <v>356</v>
      </c>
      <c r="C348" t="s">
        <v>3170</v>
      </c>
      <c r="D348" t="s">
        <v>221</v>
      </c>
      <c r="E348" t="s">
        <v>3171</v>
      </c>
      <c r="F348" t="s">
        <v>1804</v>
      </c>
      <c r="G348" t="s">
        <v>3171</v>
      </c>
      <c r="H348" t="s">
        <v>3171</v>
      </c>
      <c r="I348" t="s">
        <v>3172</v>
      </c>
    </row>
    <row r="349" spans="1:9" x14ac:dyDescent="0.35">
      <c r="A349">
        <f t="shared" si="5"/>
        <v>348</v>
      </c>
      <c r="B349">
        <v>357</v>
      </c>
      <c r="C349" t="s">
        <v>3173</v>
      </c>
      <c r="D349" t="s">
        <v>620</v>
      </c>
      <c r="E349" t="s">
        <v>3174</v>
      </c>
      <c r="F349" t="s">
        <v>2604</v>
      </c>
      <c r="G349" t="s">
        <v>3175</v>
      </c>
      <c r="H349" t="s">
        <v>3175</v>
      </c>
      <c r="I349" t="s">
        <v>3176</v>
      </c>
    </row>
    <row r="350" spans="1:9" x14ac:dyDescent="0.35">
      <c r="A350">
        <f t="shared" si="5"/>
        <v>349</v>
      </c>
      <c r="B350">
        <v>358</v>
      </c>
      <c r="C350" t="s">
        <v>3177</v>
      </c>
      <c r="D350" t="s">
        <v>460</v>
      </c>
      <c r="E350" t="s">
        <v>3178</v>
      </c>
      <c r="F350" t="s">
        <v>1844</v>
      </c>
      <c r="G350" t="s">
        <v>3179</v>
      </c>
      <c r="H350" t="s">
        <v>3179</v>
      </c>
      <c r="I350" t="s">
        <v>3180</v>
      </c>
    </row>
    <row r="351" spans="1:9" x14ac:dyDescent="0.35">
      <c r="A351">
        <f t="shared" si="5"/>
        <v>350</v>
      </c>
      <c r="B351">
        <v>359</v>
      </c>
      <c r="C351" t="s">
        <v>3181</v>
      </c>
      <c r="D351" t="s">
        <v>460</v>
      </c>
      <c r="E351" t="s">
        <v>3182</v>
      </c>
      <c r="F351" t="s">
        <v>1730</v>
      </c>
      <c r="G351" t="s">
        <v>3183</v>
      </c>
      <c r="H351" t="s">
        <v>3183</v>
      </c>
      <c r="I351" t="s">
        <v>3184</v>
      </c>
    </row>
    <row r="352" spans="1:9" x14ac:dyDescent="0.35">
      <c r="A352">
        <f t="shared" si="5"/>
        <v>351</v>
      </c>
      <c r="B352">
        <v>360</v>
      </c>
      <c r="C352" t="s">
        <v>3185</v>
      </c>
      <c r="D352" t="s">
        <v>460</v>
      </c>
      <c r="E352" t="s">
        <v>3186</v>
      </c>
      <c r="F352" t="s">
        <v>1929</v>
      </c>
      <c r="G352" t="s">
        <v>3187</v>
      </c>
      <c r="H352" t="s">
        <v>3187</v>
      </c>
      <c r="I352" t="s">
        <v>3188</v>
      </c>
    </row>
    <row r="353" spans="1:9" x14ac:dyDescent="0.35">
      <c r="A353">
        <f t="shared" si="5"/>
        <v>352</v>
      </c>
      <c r="B353">
        <v>361</v>
      </c>
      <c r="C353" t="s">
        <v>3189</v>
      </c>
      <c r="D353" t="s">
        <v>460</v>
      </c>
      <c r="E353" t="s">
        <v>3190</v>
      </c>
      <c r="F353" t="s">
        <v>1929</v>
      </c>
      <c r="G353" t="s">
        <v>3191</v>
      </c>
      <c r="H353" t="s">
        <v>3191</v>
      </c>
      <c r="I353" t="s">
        <v>3192</v>
      </c>
    </row>
    <row r="354" spans="1:9" x14ac:dyDescent="0.35">
      <c r="A354">
        <f t="shared" si="5"/>
        <v>353</v>
      </c>
      <c r="B354">
        <v>362</v>
      </c>
      <c r="C354" t="s">
        <v>3193</v>
      </c>
      <c r="D354" t="s">
        <v>620</v>
      </c>
      <c r="E354" t="s">
        <v>3194</v>
      </c>
      <c r="F354" t="s">
        <v>1719</v>
      </c>
      <c r="G354" t="s">
        <v>3195</v>
      </c>
      <c r="H354" t="s">
        <v>3195</v>
      </c>
      <c r="I354" t="s">
        <v>3196</v>
      </c>
    </row>
    <row r="355" spans="1:9" x14ac:dyDescent="0.35">
      <c r="A355">
        <f t="shared" si="5"/>
        <v>354</v>
      </c>
      <c r="B355">
        <v>363</v>
      </c>
      <c r="C355" t="s">
        <v>3197</v>
      </c>
      <c r="D355" t="s">
        <v>460</v>
      </c>
      <c r="E355" t="s">
        <v>3198</v>
      </c>
      <c r="F355" t="s">
        <v>1730</v>
      </c>
      <c r="G355" t="s">
        <v>3199</v>
      </c>
      <c r="H355" t="s">
        <v>3199</v>
      </c>
      <c r="I355" t="s">
        <v>3200</v>
      </c>
    </row>
    <row r="356" spans="1:9" x14ac:dyDescent="0.35">
      <c r="A356">
        <f t="shared" si="5"/>
        <v>355</v>
      </c>
      <c r="B356">
        <v>364</v>
      </c>
      <c r="C356" t="s">
        <v>3201</v>
      </c>
      <c r="D356" t="s">
        <v>93</v>
      </c>
      <c r="E356" t="s">
        <v>3202</v>
      </c>
      <c r="F356" t="s">
        <v>2215</v>
      </c>
      <c r="G356" t="s">
        <v>3203</v>
      </c>
      <c r="H356" t="s">
        <v>3203</v>
      </c>
      <c r="I356" t="s">
        <v>3204</v>
      </c>
    </row>
    <row r="357" spans="1:9" x14ac:dyDescent="0.35">
      <c r="A357">
        <f t="shared" si="5"/>
        <v>356</v>
      </c>
      <c r="B357">
        <v>365</v>
      </c>
      <c r="C357" t="s">
        <v>3205</v>
      </c>
      <c r="D357" t="s">
        <v>629</v>
      </c>
      <c r="E357" t="s">
        <v>3206</v>
      </c>
      <c r="F357" t="s">
        <v>1730</v>
      </c>
      <c r="G357" t="s">
        <v>3207</v>
      </c>
      <c r="H357" t="s">
        <v>3207</v>
      </c>
      <c r="I357" t="s">
        <v>3208</v>
      </c>
    </row>
    <row r="358" spans="1:9" x14ac:dyDescent="0.35">
      <c r="A358">
        <f t="shared" si="5"/>
        <v>357</v>
      </c>
      <c r="B358">
        <v>366</v>
      </c>
      <c r="C358" t="s">
        <v>3209</v>
      </c>
      <c r="D358" t="s">
        <v>629</v>
      </c>
      <c r="E358" t="s">
        <v>3210</v>
      </c>
      <c r="F358" t="s">
        <v>1692</v>
      </c>
      <c r="G358" t="s">
        <v>3211</v>
      </c>
      <c r="H358" t="s">
        <v>3211</v>
      </c>
      <c r="I358" t="s">
        <v>3212</v>
      </c>
    </row>
    <row r="359" spans="1:9" x14ac:dyDescent="0.35">
      <c r="A359">
        <f t="shared" si="5"/>
        <v>358</v>
      </c>
      <c r="B359">
        <v>367</v>
      </c>
      <c r="C359" t="s">
        <v>3213</v>
      </c>
      <c r="D359" t="s">
        <v>629</v>
      </c>
      <c r="E359" t="s">
        <v>3214</v>
      </c>
      <c r="F359" t="s">
        <v>1929</v>
      </c>
      <c r="G359" t="s">
        <v>3215</v>
      </c>
      <c r="H359" t="s">
        <v>3215</v>
      </c>
      <c r="I359" t="s">
        <v>3216</v>
      </c>
    </row>
    <row r="360" spans="1:9" x14ac:dyDescent="0.35">
      <c r="A360">
        <f t="shared" si="5"/>
        <v>359</v>
      </c>
      <c r="B360">
        <v>368</v>
      </c>
      <c r="C360" t="s">
        <v>3217</v>
      </c>
      <c r="D360" t="s">
        <v>629</v>
      </c>
      <c r="E360" t="s">
        <v>3218</v>
      </c>
      <c r="F360" t="s">
        <v>1730</v>
      </c>
      <c r="G360" t="s">
        <v>3219</v>
      </c>
      <c r="H360" t="s">
        <v>3219</v>
      </c>
      <c r="I360" t="s">
        <v>3220</v>
      </c>
    </row>
    <row r="361" spans="1:9" x14ac:dyDescent="0.35">
      <c r="A361">
        <f t="shared" si="5"/>
        <v>360</v>
      </c>
      <c r="B361">
        <v>369</v>
      </c>
      <c r="C361" t="s">
        <v>3221</v>
      </c>
      <c r="D361" t="s">
        <v>634</v>
      </c>
      <c r="E361" t="s">
        <v>3222</v>
      </c>
      <c r="F361" t="s">
        <v>2748</v>
      </c>
      <c r="G361" t="s">
        <v>3223</v>
      </c>
      <c r="H361" t="s">
        <v>3223</v>
      </c>
      <c r="I361" t="s">
        <v>3224</v>
      </c>
    </row>
    <row r="362" spans="1:9" x14ac:dyDescent="0.35">
      <c r="A362">
        <f t="shared" si="5"/>
        <v>361</v>
      </c>
      <c r="B362">
        <v>370</v>
      </c>
      <c r="C362" t="s">
        <v>3225</v>
      </c>
      <c r="D362" t="s">
        <v>636</v>
      </c>
      <c r="E362" t="s">
        <v>3226</v>
      </c>
      <c r="F362" t="s">
        <v>3227</v>
      </c>
      <c r="G362" t="s">
        <v>3228</v>
      </c>
      <c r="H362" t="s">
        <v>3228</v>
      </c>
      <c r="I362" t="s">
        <v>3229</v>
      </c>
    </row>
    <row r="363" spans="1:9" x14ac:dyDescent="0.35">
      <c r="A363">
        <f t="shared" si="5"/>
        <v>362</v>
      </c>
      <c r="B363">
        <v>371</v>
      </c>
      <c r="C363" t="s">
        <v>3230</v>
      </c>
      <c r="D363" t="s">
        <v>638</v>
      </c>
      <c r="E363" t="s">
        <v>3231</v>
      </c>
      <c r="F363" t="s">
        <v>2743</v>
      </c>
      <c r="G363" t="s">
        <v>3232</v>
      </c>
      <c r="H363" t="s">
        <v>3232</v>
      </c>
      <c r="I363" t="s">
        <v>3233</v>
      </c>
    </row>
    <row r="364" spans="1:9" x14ac:dyDescent="0.35">
      <c r="A364">
        <f t="shared" si="5"/>
        <v>363</v>
      </c>
      <c r="B364">
        <v>372</v>
      </c>
      <c r="C364" t="s">
        <v>3234</v>
      </c>
      <c r="D364" t="s">
        <v>330</v>
      </c>
      <c r="E364" t="s">
        <v>3235</v>
      </c>
      <c r="F364" t="s">
        <v>1629</v>
      </c>
      <c r="G364" t="s">
        <v>3236</v>
      </c>
      <c r="H364" t="s">
        <v>3236</v>
      </c>
      <c r="I364" t="s">
        <v>3237</v>
      </c>
    </row>
    <row r="365" spans="1:9" x14ac:dyDescent="0.35">
      <c r="A365">
        <f t="shared" si="5"/>
        <v>364</v>
      </c>
      <c r="B365">
        <v>373</v>
      </c>
      <c r="C365" t="s">
        <v>3238</v>
      </c>
      <c r="D365" t="s">
        <v>641</v>
      </c>
      <c r="E365" t="s">
        <v>3239</v>
      </c>
      <c r="F365" t="s">
        <v>1893</v>
      </c>
      <c r="G365" t="s">
        <v>3240</v>
      </c>
      <c r="H365" t="s">
        <v>3240</v>
      </c>
      <c r="I365" t="s">
        <v>3241</v>
      </c>
    </row>
    <row r="366" spans="1:9" x14ac:dyDescent="0.35">
      <c r="A366">
        <f t="shared" si="5"/>
        <v>365</v>
      </c>
      <c r="B366">
        <v>374</v>
      </c>
      <c r="C366" t="s">
        <v>3242</v>
      </c>
      <c r="D366" t="s">
        <v>643</v>
      </c>
      <c r="E366" t="s">
        <v>3243</v>
      </c>
      <c r="F366" t="s">
        <v>3244</v>
      </c>
      <c r="G366" t="s">
        <v>3245</v>
      </c>
      <c r="H366" t="s">
        <v>3697</v>
      </c>
      <c r="I366" t="s">
        <v>3698</v>
      </c>
    </row>
    <row r="367" spans="1:9" x14ac:dyDescent="0.35">
      <c r="A367">
        <f t="shared" si="5"/>
        <v>366</v>
      </c>
      <c r="B367">
        <v>375</v>
      </c>
      <c r="C367" t="s">
        <v>3248</v>
      </c>
      <c r="D367" t="s">
        <v>645</v>
      </c>
      <c r="E367" t="s">
        <v>3249</v>
      </c>
      <c r="F367" t="s">
        <v>1799</v>
      </c>
      <c r="G367" t="s">
        <v>3250</v>
      </c>
      <c r="H367" t="s">
        <v>3250</v>
      </c>
      <c r="I367" t="s">
        <v>3251</v>
      </c>
    </row>
    <row r="368" spans="1:9" x14ac:dyDescent="0.35">
      <c r="A368">
        <f t="shared" si="5"/>
        <v>367</v>
      </c>
      <c r="B368">
        <v>376</v>
      </c>
      <c r="C368" t="s">
        <v>3252</v>
      </c>
      <c r="D368" t="s">
        <v>647</v>
      </c>
      <c r="E368" t="s">
        <v>3253</v>
      </c>
      <c r="F368" t="s">
        <v>1624</v>
      </c>
      <c r="G368" t="s">
        <v>3254</v>
      </c>
      <c r="H368" t="s">
        <v>3254</v>
      </c>
      <c r="I368" t="s">
        <v>3255</v>
      </c>
    </row>
    <row r="369" spans="1:9" x14ac:dyDescent="0.35">
      <c r="A369">
        <f t="shared" si="5"/>
        <v>368</v>
      </c>
      <c r="B369">
        <v>377</v>
      </c>
      <c r="C369" t="s">
        <v>3256</v>
      </c>
      <c r="D369" t="s">
        <v>649</v>
      </c>
      <c r="E369" t="s">
        <v>3257</v>
      </c>
      <c r="F369" t="s">
        <v>3258</v>
      </c>
      <c r="G369" t="s">
        <v>3259</v>
      </c>
      <c r="H369" t="s">
        <v>3259</v>
      </c>
      <c r="I369" t="s">
        <v>3260</v>
      </c>
    </row>
    <row r="370" spans="1:9" x14ac:dyDescent="0.35">
      <c r="A370">
        <f t="shared" si="5"/>
        <v>369</v>
      </c>
      <c r="B370">
        <v>378</v>
      </c>
      <c r="C370" t="s">
        <v>3261</v>
      </c>
      <c r="D370" t="s">
        <v>651</v>
      </c>
      <c r="E370" t="s">
        <v>3262</v>
      </c>
      <c r="F370" t="s">
        <v>3263</v>
      </c>
      <c r="G370" t="s">
        <v>3264</v>
      </c>
      <c r="H370" t="s">
        <v>3264</v>
      </c>
      <c r="I370" t="s">
        <v>3265</v>
      </c>
    </row>
    <row r="371" spans="1:9" x14ac:dyDescent="0.35">
      <c r="A371">
        <f t="shared" si="5"/>
        <v>370</v>
      </c>
      <c r="B371">
        <v>379</v>
      </c>
      <c r="C371" t="s">
        <v>3266</v>
      </c>
      <c r="D371" t="s">
        <v>653</v>
      </c>
      <c r="E371" t="s">
        <v>3267</v>
      </c>
      <c r="F371" t="s">
        <v>1785</v>
      </c>
      <c r="G371" t="s">
        <v>3268</v>
      </c>
      <c r="H371" t="s">
        <v>3268</v>
      </c>
      <c r="I371" t="s">
        <v>3269</v>
      </c>
    </row>
    <row r="372" spans="1:9" x14ac:dyDescent="0.35">
      <c r="A372">
        <f t="shared" si="5"/>
        <v>371</v>
      </c>
      <c r="B372">
        <v>380</v>
      </c>
      <c r="C372" t="s">
        <v>3270</v>
      </c>
      <c r="D372" t="s">
        <v>655</v>
      </c>
      <c r="E372" t="s">
        <v>3271</v>
      </c>
      <c r="F372" t="s">
        <v>1652</v>
      </c>
      <c r="G372" t="s">
        <v>3272</v>
      </c>
      <c r="H372" t="s">
        <v>3272</v>
      </c>
      <c r="I372" t="s">
        <v>3273</v>
      </c>
    </row>
    <row r="373" spans="1:9" x14ac:dyDescent="0.35">
      <c r="A373">
        <f t="shared" si="5"/>
        <v>372</v>
      </c>
      <c r="B373">
        <v>381</v>
      </c>
      <c r="C373" t="s">
        <v>3274</v>
      </c>
      <c r="D373" t="s">
        <v>657</v>
      </c>
      <c r="E373" t="s">
        <v>3275</v>
      </c>
      <c r="F373" t="s">
        <v>3276</v>
      </c>
      <c r="G373" t="s">
        <v>3275</v>
      </c>
      <c r="H373" t="s">
        <v>3275</v>
      </c>
      <c r="I373" t="s">
        <v>3277</v>
      </c>
    </row>
    <row r="374" spans="1:9" x14ac:dyDescent="0.35">
      <c r="A374">
        <f t="shared" si="5"/>
        <v>373</v>
      </c>
      <c r="B374">
        <v>382</v>
      </c>
      <c r="C374" t="s">
        <v>3278</v>
      </c>
      <c r="D374" t="s">
        <v>274</v>
      </c>
      <c r="E374" t="s">
        <v>3279</v>
      </c>
      <c r="F374" t="s">
        <v>2154</v>
      </c>
      <c r="G374" t="s">
        <v>3280</v>
      </c>
      <c r="H374" t="s">
        <v>3280</v>
      </c>
      <c r="I374" t="s">
        <v>3281</v>
      </c>
    </row>
    <row r="375" spans="1:9" x14ac:dyDescent="0.35">
      <c r="A375">
        <f t="shared" si="5"/>
        <v>374</v>
      </c>
      <c r="B375">
        <v>383</v>
      </c>
      <c r="C375" t="s">
        <v>3282</v>
      </c>
      <c r="D375" t="s">
        <v>660</v>
      </c>
      <c r="E375" t="s">
        <v>3283</v>
      </c>
      <c r="F375" t="s">
        <v>2114</v>
      </c>
      <c r="G375" t="s">
        <v>3284</v>
      </c>
      <c r="H375" t="s">
        <v>3284</v>
      </c>
      <c r="I375" t="s">
        <v>3285</v>
      </c>
    </row>
    <row r="376" spans="1:9" x14ac:dyDescent="0.35">
      <c r="A376">
        <f t="shared" si="5"/>
        <v>375</v>
      </c>
      <c r="B376">
        <v>384</v>
      </c>
      <c r="C376" t="s">
        <v>3286</v>
      </c>
      <c r="D376" t="s">
        <v>662</v>
      </c>
      <c r="E376" t="s">
        <v>3287</v>
      </c>
      <c r="F376" t="s">
        <v>1906</v>
      </c>
      <c r="G376" t="s">
        <v>3288</v>
      </c>
      <c r="H376" t="s">
        <v>3288</v>
      </c>
      <c r="I376" t="s">
        <v>3289</v>
      </c>
    </row>
    <row r="377" spans="1:9" x14ac:dyDescent="0.35">
      <c r="A377">
        <f t="shared" si="5"/>
        <v>376</v>
      </c>
      <c r="B377">
        <v>385</v>
      </c>
      <c r="C377" t="s">
        <v>3290</v>
      </c>
      <c r="D377" t="s">
        <v>664</v>
      </c>
      <c r="E377" t="s">
        <v>3291</v>
      </c>
      <c r="F377" t="s">
        <v>2109</v>
      </c>
      <c r="G377" t="s">
        <v>3292</v>
      </c>
      <c r="H377" t="s">
        <v>3292</v>
      </c>
      <c r="I377" t="s">
        <v>3293</v>
      </c>
    </row>
    <row r="378" spans="1:9" x14ac:dyDescent="0.35">
      <c r="A378">
        <f t="shared" si="5"/>
        <v>377</v>
      </c>
      <c r="B378">
        <v>386</v>
      </c>
      <c r="C378" t="s">
        <v>3294</v>
      </c>
      <c r="D378" t="s">
        <v>666</v>
      </c>
      <c r="E378" t="s">
        <v>3295</v>
      </c>
      <c r="F378" t="s">
        <v>1785</v>
      </c>
      <c r="G378" t="s">
        <v>3296</v>
      </c>
      <c r="H378" t="s">
        <v>3296</v>
      </c>
      <c r="I378" t="s">
        <v>3297</v>
      </c>
    </row>
    <row r="379" spans="1:9" x14ac:dyDescent="0.35">
      <c r="A379">
        <f t="shared" si="5"/>
        <v>378</v>
      </c>
      <c r="B379">
        <v>387</v>
      </c>
      <c r="C379" t="s">
        <v>3298</v>
      </c>
      <c r="D379" t="s">
        <v>668</v>
      </c>
      <c r="E379" t="s">
        <v>3299</v>
      </c>
      <c r="F379" t="s">
        <v>1674</v>
      </c>
      <c r="G379" t="s">
        <v>3300</v>
      </c>
      <c r="H379" t="s">
        <v>3300</v>
      </c>
      <c r="I379" t="s">
        <v>3301</v>
      </c>
    </row>
    <row r="380" spans="1:9" x14ac:dyDescent="0.35">
      <c r="A380">
        <f t="shared" si="5"/>
        <v>379</v>
      </c>
      <c r="B380">
        <v>389</v>
      </c>
      <c r="C380" t="s">
        <v>3302</v>
      </c>
      <c r="D380" t="s">
        <v>671</v>
      </c>
      <c r="E380" t="s">
        <v>3303</v>
      </c>
      <c r="F380" t="s">
        <v>1809</v>
      </c>
      <c r="G380" t="s">
        <v>3303</v>
      </c>
      <c r="H380" t="s">
        <v>3303</v>
      </c>
      <c r="I380" t="s">
        <v>3304</v>
      </c>
    </row>
    <row r="381" spans="1:9" x14ac:dyDescent="0.35">
      <c r="A381">
        <f t="shared" si="5"/>
        <v>380</v>
      </c>
      <c r="B381">
        <v>390</v>
      </c>
      <c r="C381" t="s">
        <v>3305</v>
      </c>
      <c r="D381" t="s">
        <v>673</v>
      </c>
      <c r="E381" t="s">
        <v>3306</v>
      </c>
      <c r="F381" t="s">
        <v>2387</v>
      </c>
      <c r="G381" t="s">
        <v>3307</v>
      </c>
      <c r="H381" t="s">
        <v>3308</v>
      </c>
      <c r="I381" t="s">
        <v>3309</v>
      </c>
    </row>
    <row r="382" spans="1:9" x14ac:dyDescent="0.35">
      <c r="A382">
        <f t="shared" si="5"/>
        <v>381</v>
      </c>
      <c r="B382">
        <v>391</v>
      </c>
      <c r="C382" t="s">
        <v>3310</v>
      </c>
      <c r="D382" t="s">
        <v>675</v>
      </c>
      <c r="E382" t="s">
        <v>3311</v>
      </c>
      <c r="F382" t="s">
        <v>1785</v>
      </c>
      <c r="G382" t="s">
        <v>3312</v>
      </c>
      <c r="H382" t="s">
        <v>3312</v>
      </c>
      <c r="I382" t="s">
        <v>3313</v>
      </c>
    </row>
    <row r="383" spans="1:9" x14ac:dyDescent="0.35">
      <c r="A383">
        <f t="shared" si="5"/>
        <v>382</v>
      </c>
      <c r="B383">
        <v>392</v>
      </c>
      <c r="C383" t="s">
        <v>3314</v>
      </c>
      <c r="D383" t="s">
        <v>677</v>
      </c>
      <c r="E383" t="s">
        <v>3315</v>
      </c>
      <c r="F383" t="s">
        <v>1990</v>
      </c>
      <c r="G383" t="s">
        <v>3316</v>
      </c>
      <c r="H383" t="s">
        <v>3316</v>
      </c>
      <c r="I383" t="s">
        <v>3317</v>
      </c>
    </row>
    <row r="384" spans="1:9" x14ac:dyDescent="0.35">
      <c r="A384">
        <f t="shared" si="5"/>
        <v>383</v>
      </c>
      <c r="B384">
        <v>393</v>
      </c>
      <c r="C384" t="s">
        <v>3318</v>
      </c>
      <c r="D384" t="s">
        <v>679</v>
      </c>
      <c r="E384" t="s">
        <v>3319</v>
      </c>
      <c r="F384" t="s">
        <v>1758</v>
      </c>
      <c r="G384" t="s">
        <v>3320</v>
      </c>
      <c r="H384" t="s">
        <v>3699</v>
      </c>
      <c r="I384" t="s">
        <v>3700</v>
      </c>
    </row>
    <row r="385" spans="1:9" x14ac:dyDescent="0.35">
      <c r="A385">
        <f t="shared" si="5"/>
        <v>384</v>
      </c>
      <c r="B385">
        <v>394</v>
      </c>
      <c r="C385" t="s">
        <v>3323</v>
      </c>
      <c r="D385" t="s">
        <v>681</v>
      </c>
      <c r="E385" t="s">
        <v>3324</v>
      </c>
      <c r="F385" t="s">
        <v>1844</v>
      </c>
      <c r="G385" t="s">
        <v>3325</v>
      </c>
      <c r="H385" t="s">
        <v>3325</v>
      </c>
      <c r="I385" t="s">
        <v>3326</v>
      </c>
    </row>
    <row r="386" spans="1:9" x14ac:dyDescent="0.35">
      <c r="A386">
        <f t="shared" si="5"/>
        <v>385</v>
      </c>
      <c r="B386">
        <v>395</v>
      </c>
      <c r="C386" t="s">
        <v>3327</v>
      </c>
      <c r="D386" t="s">
        <v>683</v>
      </c>
      <c r="E386" t="s">
        <v>3328</v>
      </c>
      <c r="F386" t="s">
        <v>3329</v>
      </c>
      <c r="G386" t="s">
        <v>3330</v>
      </c>
      <c r="H386" t="s">
        <v>3330</v>
      </c>
      <c r="I386" t="s">
        <v>3331</v>
      </c>
    </row>
    <row r="387" spans="1:9" x14ac:dyDescent="0.35">
      <c r="A387">
        <f t="shared" si="5"/>
        <v>386</v>
      </c>
      <c r="B387">
        <v>396</v>
      </c>
      <c r="C387" t="s">
        <v>3332</v>
      </c>
      <c r="D387" t="s">
        <v>685</v>
      </c>
      <c r="E387" t="s">
        <v>3333</v>
      </c>
      <c r="F387" t="s">
        <v>1607</v>
      </c>
      <c r="G387" t="s">
        <v>3334</v>
      </c>
      <c r="H387" t="s">
        <v>3335</v>
      </c>
      <c r="I387" t="s">
        <v>3336</v>
      </c>
    </row>
    <row r="388" spans="1:9" x14ac:dyDescent="0.35">
      <c r="A388">
        <f t="shared" ref="A388:A451" si="6">SUM(A387+1)</f>
        <v>387</v>
      </c>
      <c r="B388">
        <v>397</v>
      </c>
      <c r="C388" t="s">
        <v>3337</v>
      </c>
      <c r="D388" t="s">
        <v>687</v>
      </c>
      <c r="E388" t="s">
        <v>3338</v>
      </c>
      <c r="F388" t="s">
        <v>2229</v>
      </c>
      <c r="G388" t="s">
        <v>3339</v>
      </c>
      <c r="H388" t="s">
        <v>3339</v>
      </c>
      <c r="I388" t="s">
        <v>3340</v>
      </c>
    </row>
    <row r="389" spans="1:9" x14ac:dyDescent="0.35">
      <c r="A389">
        <f t="shared" si="6"/>
        <v>388</v>
      </c>
      <c r="B389">
        <v>398</v>
      </c>
      <c r="C389" t="s">
        <v>3341</v>
      </c>
      <c r="D389" t="s">
        <v>689</v>
      </c>
      <c r="E389" t="s">
        <v>3342</v>
      </c>
      <c r="F389" t="s">
        <v>2748</v>
      </c>
      <c r="G389" t="s">
        <v>3343</v>
      </c>
      <c r="H389" t="s">
        <v>3343</v>
      </c>
      <c r="I389" t="s">
        <v>3344</v>
      </c>
    </row>
    <row r="390" spans="1:9" x14ac:dyDescent="0.35">
      <c r="A390">
        <f t="shared" si="6"/>
        <v>389</v>
      </c>
      <c r="B390">
        <v>399</v>
      </c>
      <c r="C390" t="s">
        <v>3345</v>
      </c>
      <c r="D390" t="s">
        <v>691</v>
      </c>
      <c r="E390" t="s">
        <v>3346</v>
      </c>
      <c r="F390" t="s">
        <v>1730</v>
      </c>
      <c r="G390" t="s">
        <v>3347</v>
      </c>
      <c r="H390" t="s">
        <v>3348</v>
      </c>
      <c r="I390" t="s">
        <v>3349</v>
      </c>
    </row>
    <row r="391" spans="1:9" x14ac:dyDescent="0.35">
      <c r="A391">
        <f t="shared" si="6"/>
        <v>390</v>
      </c>
      <c r="B391">
        <v>400</v>
      </c>
      <c r="C391" t="s">
        <v>3350</v>
      </c>
      <c r="D391" t="s">
        <v>693</v>
      </c>
      <c r="E391" t="s">
        <v>3351</v>
      </c>
      <c r="F391" t="s">
        <v>2558</v>
      </c>
      <c r="G391" t="s">
        <v>3352</v>
      </c>
      <c r="H391" t="s">
        <v>3353</v>
      </c>
      <c r="I391" t="s">
        <v>3354</v>
      </c>
    </row>
    <row r="392" spans="1:9" x14ac:dyDescent="0.35">
      <c r="A392">
        <f t="shared" si="6"/>
        <v>391</v>
      </c>
      <c r="B392">
        <v>401</v>
      </c>
      <c r="C392" t="s">
        <v>3355</v>
      </c>
      <c r="D392" t="s">
        <v>695</v>
      </c>
      <c r="E392" t="s">
        <v>3356</v>
      </c>
      <c r="F392" t="s">
        <v>3357</v>
      </c>
      <c r="G392" t="s">
        <v>3356</v>
      </c>
      <c r="H392" t="s">
        <v>3356</v>
      </c>
      <c r="I392" t="s">
        <v>3358</v>
      </c>
    </row>
    <row r="393" spans="1:9" x14ac:dyDescent="0.35">
      <c r="A393">
        <f t="shared" si="6"/>
        <v>392</v>
      </c>
      <c r="B393">
        <v>402</v>
      </c>
      <c r="C393" t="s">
        <v>3359</v>
      </c>
      <c r="D393" t="s">
        <v>697</v>
      </c>
      <c r="E393" t="s">
        <v>3360</v>
      </c>
      <c r="F393" t="s">
        <v>2862</v>
      </c>
      <c r="G393" t="s">
        <v>3361</v>
      </c>
      <c r="H393" t="s">
        <v>3361</v>
      </c>
      <c r="I393" t="s">
        <v>3362</v>
      </c>
    </row>
    <row r="394" spans="1:9" x14ac:dyDescent="0.35">
      <c r="A394">
        <f t="shared" si="6"/>
        <v>393</v>
      </c>
      <c r="B394">
        <v>404</v>
      </c>
      <c r="C394" t="s">
        <v>3363</v>
      </c>
      <c r="D394" t="s">
        <v>701</v>
      </c>
      <c r="E394" t="s">
        <v>3364</v>
      </c>
      <c r="F394" t="s">
        <v>3365</v>
      </c>
      <c r="G394" t="s">
        <v>3364</v>
      </c>
      <c r="H394" t="s">
        <v>3366</v>
      </c>
      <c r="I394" t="s">
        <v>3367</v>
      </c>
    </row>
    <row r="395" spans="1:9" x14ac:dyDescent="0.35">
      <c r="A395">
        <f t="shared" si="6"/>
        <v>394</v>
      </c>
      <c r="B395">
        <v>405</v>
      </c>
      <c r="C395" t="s">
        <v>3368</v>
      </c>
      <c r="D395" t="s">
        <v>703</v>
      </c>
      <c r="E395" t="s">
        <v>3369</v>
      </c>
      <c r="F395" t="s">
        <v>2299</v>
      </c>
      <c r="G395" t="s">
        <v>3370</v>
      </c>
      <c r="H395" t="s">
        <v>3371</v>
      </c>
      <c r="I395" t="s">
        <v>3372</v>
      </c>
    </row>
    <row r="396" spans="1:9" x14ac:dyDescent="0.35">
      <c r="A396">
        <f t="shared" si="6"/>
        <v>395</v>
      </c>
      <c r="B396">
        <v>406</v>
      </c>
      <c r="C396" t="s">
        <v>3373</v>
      </c>
      <c r="D396" t="s">
        <v>705</v>
      </c>
      <c r="E396" t="s">
        <v>3374</v>
      </c>
      <c r="F396" t="s">
        <v>3131</v>
      </c>
      <c r="G396" t="s">
        <v>3374</v>
      </c>
      <c r="H396" t="s">
        <v>3374</v>
      </c>
      <c r="I396" t="s">
        <v>3375</v>
      </c>
    </row>
    <row r="397" spans="1:9" x14ac:dyDescent="0.35">
      <c r="A397">
        <f t="shared" si="6"/>
        <v>396</v>
      </c>
      <c r="B397">
        <v>407</v>
      </c>
      <c r="C397" t="s">
        <v>3376</v>
      </c>
      <c r="D397" t="s">
        <v>703</v>
      </c>
      <c r="E397" t="s">
        <v>3377</v>
      </c>
      <c r="F397" t="s">
        <v>2041</v>
      </c>
      <c r="G397" t="s">
        <v>3378</v>
      </c>
      <c r="H397" t="s">
        <v>3378</v>
      </c>
      <c r="I397" t="s">
        <v>3379</v>
      </c>
    </row>
    <row r="398" spans="1:9" x14ac:dyDescent="0.35">
      <c r="A398">
        <f t="shared" si="6"/>
        <v>397</v>
      </c>
      <c r="B398">
        <v>408</v>
      </c>
      <c r="C398" t="s">
        <v>3380</v>
      </c>
      <c r="D398" t="s">
        <v>157</v>
      </c>
      <c r="E398" t="s">
        <v>3381</v>
      </c>
      <c r="F398" t="s">
        <v>2149</v>
      </c>
      <c r="G398" t="s">
        <v>3382</v>
      </c>
      <c r="H398" t="s">
        <v>3382</v>
      </c>
      <c r="I398" t="s">
        <v>3383</v>
      </c>
    </row>
    <row r="399" spans="1:9" x14ac:dyDescent="0.35">
      <c r="A399">
        <f t="shared" si="6"/>
        <v>398</v>
      </c>
      <c r="B399">
        <v>409</v>
      </c>
      <c r="C399" t="s">
        <v>3384</v>
      </c>
      <c r="D399" t="s">
        <v>711</v>
      </c>
      <c r="E399" t="s">
        <v>3385</v>
      </c>
      <c r="F399" t="s">
        <v>1735</v>
      </c>
      <c r="G399" t="s">
        <v>3386</v>
      </c>
      <c r="H399" t="s">
        <v>3386</v>
      </c>
      <c r="I399" t="s">
        <v>3387</v>
      </c>
    </row>
    <row r="400" spans="1:9" x14ac:dyDescent="0.35">
      <c r="A400">
        <f t="shared" si="6"/>
        <v>399</v>
      </c>
      <c r="B400">
        <v>410</v>
      </c>
      <c r="C400" t="s">
        <v>3388</v>
      </c>
      <c r="D400" t="s">
        <v>713</v>
      </c>
      <c r="E400" t="s">
        <v>3389</v>
      </c>
      <c r="F400" t="s">
        <v>1730</v>
      </c>
      <c r="G400" t="s">
        <v>3390</v>
      </c>
      <c r="H400" t="s">
        <v>3390</v>
      </c>
      <c r="I400" t="s">
        <v>3391</v>
      </c>
    </row>
    <row r="401" spans="1:9" x14ac:dyDescent="0.35">
      <c r="A401">
        <f t="shared" si="6"/>
        <v>400</v>
      </c>
      <c r="B401">
        <v>411</v>
      </c>
      <c r="C401" t="s">
        <v>3392</v>
      </c>
      <c r="D401" t="s">
        <v>715</v>
      </c>
      <c r="E401" t="s">
        <v>3393</v>
      </c>
      <c r="F401" t="s">
        <v>2210</v>
      </c>
      <c r="G401" t="s">
        <v>3394</v>
      </c>
      <c r="H401" t="s">
        <v>3395</v>
      </c>
      <c r="I401" t="s">
        <v>3396</v>
      </c>
    </row>
    <row r="402" spans="1:9" x14ac:dyDescent="0.35">
      <c r="A402">
        <f t="shared" si="6"/>
        <v>401</v>
      </c>
      <c r="B402">
        <v>412</v>
      </c>
      <c r="C402" t="s">
        <v>3397</v>
      </c>
      <c r="D402" t="s">
        <v>76</v>
      </c>
      <c r="E402" t="s">
        <v>3398</v>
      </c>
      <c r="F402" t="s">
        <v>1853</v>
      </c>
      <c r="G402" t="s">
        <v>3399</v>
      </c>
      <c r="H402" t="s">
        <v>3399</v>
      </c>
      <c r="I402" t="s">
        <v>3400</v>
      </c>
    </row>
    <row r="403" spans="1:9" x14ac:dyDescent="0.35">
      <c r="A403">
        <f t="shared" si="6"/>
        <v>402</v>
      </c>
      <c r="B403">
        <v>413</v>
      </c>
      <c r="C403" t="s">
        <v>3401</v>
      </c>
      <c r="D403" t="s">
        <v>718</v>
      </c>
      <c r="E403" t="s">
        <v>3402</v>
      </c>
      <c r="F403" t="s">
        <v>2748</v>
      </c>
      <c r="G403" t="s">
        <v>3403</v>
      </c>
      <c r="H403" t="s">
        <v>3403</v>
      </c>
      <c r="I403" t="s">
        <v>3404</v>
      </c>
    </row>
    <row r="404" spans="1:9" x14ac:dyDescent="0.35">
      <c r="A404">
        <f t="shared" si="6"/>
        <v>403</v>
      </c>
      <c r="B404">
        <v>414</v>
      </c>
      <c r="C404" t="s">
        <v>3405</v>
      </c>
      <c r="D404" t="s">
        <v>105</v>
      </c>
      <c r="E404" t="s">
        <v>3406</v>
      </c>
      <c r="F404" t="s">
        <v>2599</v>
      </c>
      <c r="G404" t="s">
        <v>3407</v>
      </c>
      <c r="H404" t="s">
        <v>3407</v>
      </c>
      <c r="I404" t="s">
        <v>3408</v>
      </c>
    </row>
    <row r="405" spans="1:9" x14ac:dyDescent="0.35">
      <c r="A405">
        <f t="shared" si="6"/>
        <v>404</v>
      </c>
      <c r="B405">
        <v>415</v>
      </c>
      <c r="C405" t="s">
        <v>3409</v>
      </c>
      <c r="D405" t="s">
        <v>721</v>
      </c>
      <c r="E405" t="s">
        <v>3410</v>
      </c>
      <c r="F405" t="s">
        <v>2143</v>
      </c>
      <c r="G405" t="s">
        <v>3411</v>
      </c>
      <c r="H405" t="s">
        <v>3411</v>
      </c>
      <c r="I405" t="s">
        <v>3412</v>
      </c>
    </row>
    <row r="406" spans="1:9" x14ac:dyDescent="0.35">
      <c r="A406">
        <f t="shared" si="6"/>
        <v>405</v>
      </c>
      <c r="B406">
        <v>416</v>
      </c>
      <c r="C406" t="s">
        <v>3413</v>
      </c>
      <c r="D406" t="s">
        <v>653</v>
      </c>
      <c r="E406" t="s">
        <v>3414</v>
      </c>
      <c r="F406" t="s">
        <v>2640</v>
      </c>
      <c r="G406" t="s">
        <v>3415</v>
      </c>
      <c r="H406" t="s">
        <v>3701</v>
      </c>
      <c r="I406" t="s">
        <v>3702</v>
      </c>
    </row>
    <row r="407" spans="1:9" x14ac:dyDescent="0.35">
      <c r="A407">
        <f t="shared" si="6"/>
        <v>406</v>
      </c>
      <c r="B407">
        <v>417</v>
      </c>
      <c r="C407" t="s">
        <v>3417</v>
      </c>
      <c r="D407" t="s">
        <v>510</v>
      </c>
      <c r="E407" t="s">
        <v>3418</v>
      </c>
      <c r="F407" t="s">
        <v>2640</v>
      </c>
      <c r="G407" t="s">
        <v>3419</v>
      </c>
      <c r="H407" t="s">
        <v>3419</v>
      </c>
      <c r="I407" t="s">
        <v>3420</v>
      </c>
    </row>
    <row r="408" spans="1:9" x14ac:dyDescent="0.35">
      <c r="A408">
        <f t="shared" si="6"/>
        <v>407</v>
      </c>
      <c r="B408">
        <v>418</v>
      </c>
      <c r="C408" t="s">
        <v>3421</v>
      </c>
      <c r="D408" t="s">
        <v>172</v>
      </c>
      <c r="E408" t="s">
        <v>3422</v>
      </c>
      <c r="F408" t="s">
        <v>2109</v>
      </c>
      <c r="G408" t="s">
        <v>3423</v>
      </c>
      <c r="H408" t="s">
        <v>3423</v>
      </c>
      <c r="I408" t="s">
        <v>3424</v>
      </c>
    </row>
    <row r="409" spans="1:9" x14ac:dyDescent="0.35">
      <c r="A409">
        <f t="shared" si="6"/>
        <v>408</v>
      </c>
      <c r="B409">
        <v>419</v>
      </c>
      <c r="C409" t="s">
        <v>3425</v>
      </c>
      <c r="D409" t="s">
        <v>726</v>
      </c>
      <c r="E409" t="s">
        <v>3426</v>
      </c>
      <c r="F409" t="s">
        <v>1844</v>
      </c>
      <c r="G409" t="s">
        <v>3427</v>
      </c>
      <c r="H409" t="s">
        <v>3428</v>
      </c>
      <c r="I409" t="s">
        <v>3429</v>
      </c>
    </row>
    <row r="410" spans="1:9" x14ac:dyDescent="0.35">
      <c r="A410">
        <f t="shared" si="6"/>
        <v>409</v>
      </c>
      <c r="B410">
        <v>420</v>
      </c>
      <c r="C410" t="s">
        <v>3430</v>
      </c>
      <c r="D410" t="s">
        <v>565</v>
      </c>
      <c r="E410" t="s">
        <v>3431</v>
      </c>
      <c r="F410" t="s">
        <v>2082</v>
      </c>
      <c r="G410" t="s">
        <v>3432</v>
      </c>
      <c r="H410" t="s">
        <v>3432</v>
      </c>
      <c r="I410" t="s">
        <v>3433</v>
      </c>
    </row>
    <row r="411" spans="1:9" x14ac:dyDescent="0.35">
      <c r="A411">
        <f t="shared" si="6"/>
        <v>410</v>
      </c>
      <c r="B411">
        <v>421</v>
      </c>
      <c r="C411" t="s">
        <v>3434</v>
      </c>
      <c r="D411" t="s">
        <v>442</v>
      </c>
      <c r="E411" t="s">
        <v>3435</v>
      </c>
      <c r="F411" t="s">
        <v>1629</v>
      </c>
      <c r="G411" t="s">
        <v>3436</v>
      </c>
      <c r="H411" t="s">
        <v>3436</v>
      </c>
      <c r="I411" t="s">
        <v>3437</v>
      </c>
    </row>
    <row r="412" spans="1:9" x14ac:dyDescent="0.35">
      <c r="A412">
        <f t="shared" si="6"/>
        <v>411</v>
      </c>
      <c r="B412">
        <v>422</v>
      </c>
      <c r="C412" t="s">
        <v>3438</v>
      </c>
      <c r="D412" t="s">
        <v>730</v>
      </c>
      <c r="E412" t="s">
        <v>3439</v>
      </c>
      <c r="F412" t="s">
        <v>2253</v>
      </c>
      <c r="G412" t="s">
        <v>3440</v>
      </c>
      <c r="H412" t="s">
        <v>3441</v>
      </c>
      <c r="I412" t="s">
        <v>3442</v>
      </c>
    </row>
    <row r="413" spans="1:9" x14ac:dyDescent="0.35">
      <c r="A413">
        <f t="shared" si="6"/>
        <v>412</v>
      </c>
      <c r="B413">
        <v>423</v>
      </c>
      <c r="C413" t="s">
        <v>3443</v>
      </c>
      <c r="D413" t="s">
        <v>732</v>
      </c>
      <c r="E413" t="s">
        <v>3444</v>
      </c>
      <c r="F413" t="s">
        <v>3445</v>
      </c>
      <c r="G413" t="s">
        <v>3446</v>
      </c>
      <c r="H413" t="s">
        <v>3446</v>
      </c>
      <c r="I413" t="s">
        <v>3447</v>
      </c>
    </row>
    <row r="414" spans="1:9" x14ac:dyDescent="0.35">
      <c r="A414">
        <f t="shared" si="6"/>
        <v>413</v>
      </c>
      <c r="B414">
        <v>424</v>
      </c>
      <c r="C414" t="s">
        <v>3448</v>
      </c>
      <c r="D414" t="s">
        <v>734</v>
      </c>
      <c r="E414" t="s">
        <v>3449</v>
      </c>
      <c r="F414" t="s">
        <v>1799</v>
      </c>
      <c r="G414" t="s">
        <v>3450</v>
      </c>
      <c r="H414" t="s">
        <v>3450</v>
      </c>
      <c r="I414" t="s">
        <v>3451</v>
      </c>
    </row>
    <row r="415" spans="1:9" x14ac:dyDescent="0.35">
      <c r="A415">
        <f t="shared" si="6"/>
        <v>414</v>
      </c>
      <c r="B415">
        <v>425</v>
      </c>
      <c r="C415" t="s">
        <v>3452</v>
      </c>
      <c r="D415" t="s">
        <v>703</v>
      </c>
      <c r="E415" t="s">
        <v>3453</v>
      </c>
      <c r="F415" t="s">
        <v>3454</v>
      </c>
      <c r="G415" t="s">
        <v>3455</v>
      </c>
      <c r="H415" t="s">
        <v>3455</v>
      </c>
      <c r="I415" t="s">
        <v>3456</v>
      </c>
    </row>
    <row r="416" spans="1:9" x14ac:dyDescent="0.35">
      <c r="A416">
        <f t="shared" si="6"/>
        <v>415</v>
      </c>
      <c r="B416">
        <v>426</v>
      </c>
      <c r="C416" t="s">
        <v>3457</v>
      </c>
      <c r="D416" t="s">
        <v>737</v>
      </c>
      <c r="E416" t="s">
        <v>3458</v>
      </c>
      <c r="F416" t="s">
        <v>3459</v>
      </c>
      <c r="G416" t="s">
        <v>3460</v>
      </c>
      <c r="H416" t="s">
        <v>3460</v>
      </c>
      <c r="I416" t="s">
        <v>3461</v>
      </c>
    </row>
    <row r="417" spans="1:9" x14ac:dyDescent="0.35">
      <c r="A417">
        <f t="shared" si="6"/>
        <v>416</v>
      </c>
      <c r="B417">
        <v>427</v>
      </c>
      <c r="C417" t="s">
        <v>3462</v>
      </c>
      <c r="D417" t="s">
        <v>739</v>
      </c>
      <c r="E417" t="s">
        <v>3463</v>
      </c>
      <c r="F417" t="s">
        <v>1607</v>
      </c>
      <c r="G417" t="s">
        <v>3464</v>
      </c>
      <c r="H417" t="s">
        <v>3464</v>
      </c>
      <c r="I417" t="s">
        <v>3465</v>
      </c>
    </row>
    <row r="418" spans="1:9" x14ac:dyDescent="0.35">
      <c r="A418">
        <f t="shared" si="6"/>
        <v>417</v>
      </c>
      <c r="B418">
        <v>428</v>
      </c>
      <c r="C418" t="s">
        <v>3466</v>
      </c>
      <c r="D418" t="s">
        <v>739</v>
      </c>
      <c r="E418" t="s">
        <v>3467</v>
      </c>
      <c r="F418" t="s">
        <v>3468</v>
      </c>
      <c r="G418" t="s">
        <v>3469</v>
      </c>
      <c r="H418" t="s">
        <v>3469</v>
      </c>
      <c r="I418" t="s">
        <v>3470</v>
      </c>
    </row>
    <row r="419" spans="1:9" x14ac:dyDescent="0.35">
      <c r="A419">
        <f t="shared" si="6"/>
        <v>418</v>
      </c>
      <c r="B419">
        <v>429</v>
      </c>
      <c r="C419" t="s">
        <v>3471</v>
      </c>
      <c r="D419" t="s">
        <v>742</v>
      </c>
      <c r="E419" t="s">
        <v>3472</v>
      </c>
      <c r="F419" t="s">
        <v>1686</v>
      </c>
      <c r="G419" t="s">
        <v>3473</v>
      </c>
      <c r="H419" t="s">
        <v>3473</v>
      </c>
      <c r="I419" t="s">
        <v>3474</v>
      </c>
    </row>
    <row r="420" spans="1:9" x14ac:dyDescent="0.35">
      <c r="A420">
        <f t="shared" si="6"/>
        <v>419</v>
      </c>
      <c r="B420">
        <v>430</v>
      </c>
      <c r="C420" t="s">
        <v>3475</v>
      </c>
      <c r="D420" t="s">
        <v>379</v>
      </c>
      <c r="E420" t="s">
        <v>3476</v>
      </c>
      <c r="F420" t="s">
        <v>2159</v>
      </c>
      <c r="G420" t="s">
        <v>3477</v>
      </c>
      <c r="H420" t="s">
        <v>3703</v>
      </c>
      <c r="I420" t="s">
        <v>3704</v>
      </c>
    </row>
    <row r="421" spans="1:9" x14ac:dyDescent="0.35">
      <c r="A421">
        <f t="shared" si="6"/>
        <v>420</v>
      </c>
      <c r="B421">
        <v>431</v>
      </c>
      <c r="C421" t="s">
        <v>3479</v>
      </c>
      <c r="D421" t="s">
        <v>746</v>
      </c>
      <c r="E421" t="s">
        <v>3480</v>
      </c>
      <c r="F421" t="s">
        <v>3481</v>
      </c>
      <c r="G421" t="s">
        <v>3482</v>
      </c>
      <c r="H421" t="s">
        <v>3482</v>
      </c>
      <c r="I421" t="s">
        <v>3483</v>
      </c>
    </row>
    <row r="422" spans="1:9" x14ac:dyDescent="0.35">
      <c r="A422">
        <f t="shared" si="6"/>
        <v>421</v>
      </c>
      <c r="B422">
        <v>432</v>
      </c>
      <c r="C422" t="s">
        <v>3484</v>
      </c>
      <c r="D422" t="s">
        <v>748</v>
      </c>
      <c r="E422" t="s">
        <v>3485</v>
      </c>
      <c r="F422" t="s">
        <v>2069</v>
      </c>
      <c r="G422" t="s">
        <v>3486</v>
      </c>
      <c r="H422" t="s">
        <v>3487</v>
      </c>
      <c r="I422" t="s">
        <v>3488</v>
      </c>
    </row>
    <row r="423" spans="1:9" x14ac:dyDescent="0.35">
      <c r="A423">
        <f t="shared" si="6"/>
        <v>422</v>
      </c>
      <c r="B423">
        <v>433</v>
      </c>
      <c r="C423" t="s">
        <v>3489</v>
      </c>
      <c r="D423" t="s">
        <v>750</v>
      </c>
      <c r="E423" t="s">
        <v>3490</v>
      </c>
      <c r="F423" t="s">
        <v>1990</v>
      </c>
      <c r="G423" t="s">
        <v>3491</v>
      </c>
      <c r="H423" t="s">
        <v>3491</v>
      </c>
      <c r="I423" t="s">
        <v>3492</v>
      </c>
    </row>
    <row r="424" spans="1:9" x14ac:dyDescent="0.35">
      <c r="A424">
        <f t="shared" si="6"/>
        <v>423</v>
      </c>
      <c r="B424">
        <v>434</v>
      </c>
      <c r="C424" t="s">
        <v>3493</v>
      </c>
      <c r="D424" t="s">
        <v>752</v>
      </c>
      <c r="E424" t="s">
        <v>3494</v>
      </c>
      <c r="F424" t="s">
        <v>2229</v>
      </c>
      <c r="G424" t="s">
        <v>3495</v>
      </c>
      <c r="H424" t="s">
        <v>3495</v>
      </c>
      <c r="I424" t="s">
        <v>3496</v>
      </c>
    </row>
    <row r="425" spans="1:9" x14ac:dyDescent="0.35">
      <c r="A425">
        <f t="shared" si="6"/>
        <v>424</v>
      </c>
      <c r="B425">
        <v>435</v>
      </c>
      <c r="C425" t="s">
        <v>3497</v>
      </c>
      <c r="D425" t="s">
        <v>754</v>
      </c>
      <c r="E425" t="s">
        <v>3498</v>
      </c>
      <c r="F425" t="s">
        <v>2609</v>
      </c>
      <c r="G425" t="s">
        <v>3499</v>
      </c>
      <c r="H425" t="s">
        <v>3500</v>
      </c>
      <c r="I425" t="s">
        <v>3501</v>
      </c>
    </row>
    <row r="426" spans="1:9" x14ac:dyDescent="0.35">
      <c r="A426">
        <f t="shared" si="6"/>
        <v>425</v>
      </c>
      <c r="B426">
        <v>436</v>
      </c>
      <c r="C426" t="s">
        <v>3502</v>
      </c>
      <c r="D426" t="s">
        <v>754</v>
      </c>
      <c r="E426" t="s">
        <v>3503</v>
      </c>
      <c r="F426" t="s">
        <v>2299</v>
      </c>
      <c r="G426" t="s">
        <v>3504</v>
      </c>
      <c r="H426" t="s">
        <v>3505</v>
      </c>
      <c r="I426" t="s">
        <v>3506</v>
      </c>
    </row>
    <row r="427" spans="1:9" x14ac:dyDescent="0.35">
      <c r="A427">
        <f t="shared" si="6"/>
        <v>426</v>
      </c>
      <c r="B427">
        <v>437</v>
      </c>
      <c r="C427" t="s">
        <v>3507</v>
      </c>
      <c r="D427" t="s">
        <v>757</v>
      </c>
      <c r="E427" t="s">
        <v>3508</v>
      </c>
      <c r="F427" t="s">
        <v>2782</v>
      </c>
      <c r="G427" t="s">
        <v>3509</v>
      </c>
      <c r="H427" t="s">
        <v>3510</v>
      </c>
      <c r="I427" t="s">
        <v>3511</v>
      </c>
    </row>
    <row r="428" spans="1:9" x14ac:dyDescent="0.35">
      <c r="A428">
        <f t="shared" si="6"/>
        <v>427</v>
      </c>
      <c r="B428">
        <v>438</v>
      </c>
      <c r="C428" t="s">
        <v>3512</v>
      </c>
      <c r="D428" t="s">
        <v>442</v>
      </c>
      <c r="E428" t="s">
        <v>3513</v>
      </c>
      <c r="F428" t="s">
        <v>1652</v>
      </c>
      <c r="G428" t="s">
        <v>3514</v>
      </c>
      <c r="H428" t="s">
        <v>3514</v>
      </c>
      <c r="I428" t="s">
        <v>3515</v>
      </c>
    </row>
    <row r="429" spans="1:9" x14ac:dyDescent="0.35">
      <c r="A429">
        <f t="shared" si="6"/>
        <v>428</v>
      </c>
      <c r="B429">
        <v>439</v>
      </c>
      <c r="C429" t="s">
        <v>3516</v>
      </c>
      <c r="D429" t="s">
        <v>760</v>
      </c>
      <c r="E429" t="s">
        <v>3517</v>
      </c>
      <c r="F429" t="s">
        <v>1624</v>
      </c>
      <c r="G429" t="s">
        <v>3518</v>
      </c>
      <c r="H429" t="s">
        <v>3519</v>
      </c>
      <c r="I429" t="s">
        <v>3520</v>
      </c>
    </row>
    <row r="430" spans="1:9" x14ac:dyDescent="0.35">
      <c r="A430">
        <f t="shared" si="6"/>
        <v>429</v>
      </c>
      <c r="B430">
        <v>440</v>
      </c>
      <c r="C430" t="s">
        <v>3521</v>
      </c>
      <c r="D430" t="s">
        <v>762</v>
      </c>
      <c r="E430" t="s">
        <v>3522</v>
      </c>
      <c r="F430" t="s">
        <v>2272</v>
      </c>
      <c r="G430" t="s">
        <v>3523</v>
      </c>
      <c r="H430" t="s">
        <v>3523</v>
      </c>
      <c r="I430" t="s">
        <v>3524</v>
      </c>
    </row>
    <row r="431" spans="1:9" x14ac:dyDescent="0.35">
      <c r="A431">
        <f t="shared" si="6"/>
        <v>430</v>
      </c>
      <c r="B431">
        <v>441</v>
      </c>
      <c r="C431" t="s">
        <v>3525</v>
      </c>
      <c r="D431" t="s">
        <v>764</v>
      </c>
      <c r="E431" t="s">
        <v>3526</v>
      </c>
      <c r="F431" t="s">
        <v>1707</v>
      </c>
      <c r="G431" t="s">
        <v>3527</v>
      </c>
      <c r="H431" t="s">
        <v>3527</v>
      </c>
      <c r="I431" t="s">
        <v>3528</v>
      </c>
    </row>
    <row r="432" spans="1:9" x14ac:dyDescent="0.35">
      <c r="A432">
        <f t="shared" si="6"/>
        <v>431</v>
      </c>
      <c r="B432">
        <v>442</v>
      </c>
      <c r="C432" t="s">
        <v>3529</v>
      </c>
      <c r="D432" t="s">
        <v>766</v>
      </c>
      <c r="E432" t="s">
        <v>3530</v>
      </c>
      <c r="F432" t="s">
        <v>1758</v>
      </c>
      <c r="G432" t="s">
        <v>3531</v>
      </c>
      <c r="H432" t="s">
        <v>3531</v>
      </c>
      <c r="I432" t="s">
        <v>3532</v>
      </c>
    </row>
    <row r="433" spans="1:9" x14ac:dyDescent="0.35">
      <c r="A433">
        <f t="shared" si="6"/>
        <v>432</v>
      </c>
      <c r="B433">
        <v>443</v>
      </c>
      <c r="C433" t="s">
        <v>3533</v>
      </c>
      <c r="D433" t="s">
        <v>561</v>
      </c>
      <c r="E433" t="s">
        <v>3534</v>
      </c>
      <c r="F433" t="s">
        <v>2335</v>
      </c>
      <c r="G433" t="s">
        <v>3535</v>
      </c>
      <c r="H433" t="s">
        <v>3535</v>
      </c>
      <c r="I433" t="s">
        <v>3536</v>
      </c>
    </row>
    <row r="434" spans="1:9" x14ac:dyDescent="0.35">
      <c r="A434">
        <f t="shared" si="6"/>
        <v>433</v>
      </c>
      <c r="B434">
        <v>444</v>
      </c>
      <c r="C434" t="s">
        <v>3537</v>
      </c>
      <c r="D434" t="s">
        <v>76</v>
      </c>
      <c r="E434" t="s">
        <v>3538</v>
      </c>
      <c r="F434" t="s">
        <v>3539</v>
      </c>
      <c r="G434" t="s">
        <v>3540</v>
      </c>
      <c r="H434" t="s">
        <v>3540</v>
      </c>
      <c r="I434" t="s">
        <v>3541</v>
      </c>
    </row>
    <row r="435" spans="1:9" x14ac:dyDescent="0.35">
      <c r="A435">
        <f t="shared" si="6"/>
        <v>434</v>
      </c>
      <c r="B435">
        <v>445</v>
      </c>
      <c r="C435" t="s">
        <v>3542</v>
      </c>
      <c r="D435" t="s">
        <v>772</v>
      </c>
      <c r="E435" t="s">
        <v>3543</v>
      </c>
      <c r="F435" t="s">
        <v>1888</v>
      </c>
      <c r="G435" t="s">
        <v>3544</v>
      </c>
      <c r="H435" t="s">
        <v>3544</v>
      </c>
      <c r="I435" t="s">
        <v>3545</v>
      </c>
    </row>
    <row r="436" spans="1:9" x14ac:dyDescent="0.35">
      <c r="A436">
        <f t="shared" si="6"/>
        <v>435</v>
      </c>
      <c r="B436">
        <v>446</v>
      </c>
      <c r="C436" t="s">
        <v>3546</v>
      </c>
      <c r="D436" t="s">
        <v>772</v>
      </c>
      <c r="E436" t="s">
        <v>3547</v>
      </c>
      <c r="F436" t="s">
        <v>3548</v>
      </c>
      <c r="G436" t="s">
        <v>3549</v>
      </c>
      <c r="H436" t="s">
        <v>3549</v>
      </c>
      <c r="I436" t="s">
        <v>3550</v>
      </c>
    </row>
    <row r="437" spans="1:9" x14ac:dyDescent="0.35">
      <c r="A437">
        <f t="shared" si="6"/>
        <v>436</v>
      </c>
      <c r="B437">
        <v>447</v>
      </c>
      <c r="C437" t="s">
        <v>3551</v>
      </c>
      <c r="D437" t="s">
        <v>772</v>
      </c>
      <c r="E437" t="s">
        <v>3552</v>
      </c>
      <c r="F437" t="s">
        <v>2234</v>
      </c>
      <c r="G437" t="s">
        <v>3553</v>
      </c>
      <c r="H437" t="s">
        <v>3553</v>
      </c>
      <c r="I437" t="s">
        <v>3554</v>
      </c>
    </row>
    <row r="438" spans="1:9" x14ac:dyDescent="0.35">
      <c r="A438">
        <f t="shared" si="6"/>
        <v>437</v>
      </c>
      <c r="B438">
        <v>448</v>
      </c>
      <c r="C438" t="s">
        <v>3555</v>
      </c>
      <c r="D438" t="s">
        <v>772</v>
      </c>
      <c r="E438" t="s">
        <v>3556</v>
      </c>
      <c r="F438" t="s">
        <v>1844</v>
      </c>
      <c r="G438" t="s">
        <v>3557</v>
      </c>
      <c r="H438" t="s">
        <v>3557</v>
      </c>
      <c r="I438" t="s">
        <v>3558</v>
      </c>
    </row>
    <row r="439" spans="1:9" x14ac:dyDescent="0.35">
      <c r="A439">
        <f t="shared" si="6"/>
        <v>438</v>
      </c>
      <c r="B439">
        <v>449</v>
      </c>
      <c r="C439" t="s">
        <v>3559</v>
      </c>
      <c r="D439" t="s">
        <v>772</v>
      </c>
      <c r="E439" t="s">
        <v>3560</v>
      </c>
      <c r="F439" t="s">
        <v>3561</v>
      </c>
      <c r="G439" t="s">
        <v>3562</v>
      </c>
      <c r="H439" t="s">
        <v>3562</v>
      </c>
      <c r="I439" t="s">
        <v>3563</v>
      </c>
    </row>
    <row r="440" spans="1:9" x14ac:dyDescent="0.35">
      <c r="A440">
        <f t="shared" si="6"/>
        <v>439</v>
      </c>
      <c r="B440">
        <v>450</v>
      </c>
      <c r="C440" t="s">
        <v>3564</v>
      </c>
      <c r="D440" t="s">
        <v>594</v>
      </c>
      <c r="E440" t="s">
        <v>3565</v>
      </c>
      <c r="F440" t="s">
        <v>2977</v>
      </c>
      <c r="G440" t="s">
        <v>3566</v>
      </c>
      <c r="H440" t="s">
        <v>3566</v>
      </c>
      <c r="I440" t="s">
        <v>3567</v>
      </c>
    </row>
    <row r="441" spans="1:9" x14ac:dyDescent="0.35">
      <c r="A441">
        <f t="shared" si="6"/>
        <v>440</v>
      </c>
      <c r="B441">
        <v>451</v>
      </c>
      <c r="C441" t="s">
        <v>3568</v>
      </c>
      <c r="D441" t="s">
        <v>781</v>
      </c>
      <c r="E441" t="s">
        <v>3569</v>
      </c>
      <c r="F441" t="s">
        <v>1618</v>
      </c>
      <c r="G441" t="s">
        <v>3570</v>
      </c>
      <c r="H441" t="s">
        <v>3705</v>
      </c>
      <c r="I441" t="s">
        <v>3706</v>
      </c>
    </row>
    <row r="442" spans="1:9" x14ac:dyDescent="0.35">
      <c r="A442">
        <f t="shared" si="6"/>
        <v>441</v>
      </c>
      <c r="B442">
        <v>452</v>
      </c>
      <c r="C442" t="s">
        <v>3573</v>
      </c>
      <c r="D442" t="s">
        <v>783</v>
      </c>
      <c r="E442" t="s">
        <v>3574</v>
      </c>
      <c r="F442" t="s">
        <v>3575</v>
      </c>
      <c r="G442" t="s">
        <v>3576</v>
      </c>
      <c r="H442" t="s">
        <v>3707</v>
      </c>
      <c r="I442" t="s">
        <v>3708</v>
      </c>
    </row>
    <row r="443" spans="1:9" x14ac:dyDescent="0.35">
      <c r="A443">
        <f t="shared" si="6"/>
        <v>442</v>
      </c>
      <c r="B443">
        <v>453</v>
      </c>
      <c r="C443" t="s">
        <v>3578</v>
      </c>
      <c r="D443" t="s">
        <v>785</v>
      </c>
      <c r="E443" t="s">
        <v>3579</v>
      </c>
      <c r="F443" t="s">
        <v>2229</v>
      </c>
      <c r="G443" t="s">
        <v>3580</v>
      </c>
      <c r="H443" t="s">
        <v>3580</v>
      </c>
      <c r="I443" t="s">
        <v>3581</v>
      </c>
    </row>
    <row r="444" spans="1:9" x14ac:dyDescent="0.35">
      <c r="A444">
        <f t="shared" si="6"/>
        <v>443</v>
      </c>
      <c r="B444">
        <v>454</v>
      </c>
      <c r="C444" t="s">
        <v>3582</v>
      </c>
      <c r="D444" t="s">
        <v>785</v>
      </c>
      <c r="E444" t="s">
        <v>3583</v>
      </c>
      <c r="F444" t="s">
        <v>1929</v>
      </c>
      <c r="G444" t="s">
        <v>3584</v>
      </c>
      <c r="H444" t="s">
        <v>3584</v>
      </c>
      <c r="I444" t="s">
        <v>3585</v>
      </c>
    </row>
    <row r="445" spans="1:9" x14ac:dyDescent="0.35">
      <c r="A445">
        <f t="shared" si="6"/>
        <v>444</v>
      </c>
      <c r="B445">
        <v>455</v>
      </c>
      <c r="C445" t="s">
        <v>3586</v>
      </c>
      <c r="D445" t="s">
        <v>788</v>
      </c>
      <c r="E445" t="s">
        <v>3587</v>
      </c>
      <c r="F445" t="s">
        <v>3588</v>
      </c>
      <c r="G445" t="s">
        <v>3589</v>
      </c>
      <c r="H445" t="s">
        <v>3709</v>
      </c>
      <c r="I445" t="s">
        <v>3709</v>
      </c>
    </row>
    <row r="446" spans="1:9" x14ac:dyDescent="0.35">
      <c r="A446">
        <f t="shared" si="6"/>
        <v>445</v>
      </c>
      <c r="B446">
        <v>456</v>
      </c>
      <c r="C446" t="s">
        <v>3591</v>
      </c>
      <c r="D446" t="s">
        <v>790</v>
      </c>
      <c r="E446" t="s">
        <v>3592</v>
      </c>
      <c r="F446" t="s">
        <v>3593</v>
      </c>
      <c r="G446" t="s">
        <v>3594</v>
      </c>
      <c r="H446" t="s">
        <v>3595</v>
      </c>
      <c r="I446" t="s">
        <v>3596</v>
      </c>
    </row>
    <row r="447" spans="1:9" x14ac:dyDescent="0.35">
      <c r="A447">
        <f t="shared" si="6"/>
        <v>446</v>
      </c>
      <c r="B447">
        <v>457</v>
      </c>
      <c r="C447" t="s">
        <v>3597</v>
      </c>
      <c r="D447" t="s">
        <v>792</v>
      </c>
      <c r="E447" t="s">
        <v>3598</v>
      </c>
      <c r="F447" t="s">
        <v>1929</v>
      </c>
      <c r="G447" t="s">
        <v>3599</v>
      </c>
      <c r="H447" t="s">
        <v>3599</v>
      </c>
      <c r="I447" t="s">
        <v>3600</v>
      </c>
    </row>
    <row r="448" spans="1:9" x14ac:dyDescent="0.35">
      <c r="A448">
        <f t="shared" si="6"/>
        <v>447</v>
      </c>
      <c r="B448">
        <v>458</v>
      </c>
      <c r="C448" t="s">
        <v>3601</v>
      </c>
      <c r="D448" t="s">
        <v>794</v>
      </c>
      <c r="E448" t="s">
        <v>3602</v>
      </c>
      <c r="F448" t="s">
        <v>2186</v>
      </c>
      <c r="G448" t="s">
        <v>3603</v>
      </c>
      <c r="H448" t="s">
        <v>3603</v>
      </c>
      <c r="I448" t="s">
        <v>3604</v>
      </c>
    </row>
    <row r="449" spans="1:9" x14ac:dyDescent="0.35">
      <c r="A449">
        <f t="shared" si="6"/>
        <v>448</v>
      </c>
      <c r="B449">
        <v>459</v>
      </c>
      <c r="C449" t="s">
        <v>3605</v>
      </c>
      <c r="D449" t="s">
        <v>796</v>
      </c>
      <c r="E449" t="s">
        <v>3606</v>
      </c>
      <c r="F449" t="s">
        <v>1741</v>
      </c>
      <c r="G449" t="s">
        <v>3607</v>
      </c>
      <c r="H449" t="s">
        <v>3710</v>
      </c>
      <c r="I449" t="s">
        <v>3711</v>
      </c>
    </row>
    <row r="450" spans="1:9" x14ac:dyDescent="0.35">
      <c r="A450">
        <f t="shared" si="6"/>
        <v>449</v>
      </c>
      <c r="B450">
        <v>460</v>
      </c>
      <c r="C450" t="s">
        <v>3609</v>
      </c>
      <c r="D450" t="s">
        <v>798</v>
      </c>
      <c r="E450" t="s">
        <v>3610</v>
      </c>
      <c r="F450" t="s">
        <v>2604</v>
      </c>
      <c r="G450" t="s">
        <v>3611</v>
      </c>
      <c r="H450" t="s">
        <v>3611</v>
      </c>
      <c r="I450" t="s">
        <v>3612</v>
      </c>
    </row>
    <row r="451" spans="1:9" x14ac:dyDescent="0.35">
      <c r="A451">
        <f t="shared" si="6"/>
        <v>450</v>
      </c>
      <c r="B451">
        <v>461</v>
      </c>
      <c r="C451" t="s">
        <v>3613</v>
      </c>
      <c r="D451" t="s">
        <v>798</v>
      </c>
      <c r="E451" t="s">
        <v>3614</v>
      </c>
      <c r="F451" t="s">
        <v>1735</v>
      </c>
      <c r="G451" t="s">
        <v>3615</v>
      </c>
      <c r="H451" t="s">
        <v>3615</v>
      </c>
      <c r="I451" t="s">
        <v>3616</v>
      </c>
    </row>
    <row r="452" spans="1:9" x14ac:dyDescent="0.35">
      <c r="A452">
        <f t="shared" ref="A452" si="7">SUM(A451+1)</f>
        <v>451</v>
      </c>
      <c r="B452">
        <v>462</v>
      </c>
      <c r="C452" t="s">
        <v>3617</v>
      </c>
      <c r="D452" t="s">
        <v>801</v>
      </c>
      <c r="E452" t="s">
        <v>3618</v>
      </c>
      <c r="F452" t="s">
        <v>1785</v>
      </c>
      <c r="G452" t="s">
        <v>3619</v>
      </c>
      <c r="H452" t="s">
        <v>3619</v>
      </c>
      <c r="I452" t="s">
        <v>3620</v>
      </c>
    </row>
  </sheetData>
  <conditionalFormatting sqref="C2:C452">
    <cfRule type="duplicateValues" dxfId="10"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AA048-ED25-4F9D-A767-B53174366819}">
  <dimension ref="A1:O455"/>
  <sheetViews>
    <sheetView topLeftCell="H1" workbookViewId="0">
      <selection activeCell="N10" sqref="N10"/>
    </sheetView>
  </sheetViews>
  <sheetFormatPr defaultRowHeight="14.5" x14ac:dyDescent="0.35"/>
  <cols>
    <col min="1" max="1" width="5.453125" bestFit="1" customWidth="1"/>
    <col min="2" max="2" width="80.7265625" bestFit="1" customWidth="1"/>
    <col min="3" max="3" width="17.1796875" bestFit="1" customWidth="1"/>
    <col min="4" max="4" width="80.7265625" bestFit="1" customWidth="1"/>
    <col min="5" max="5" width="38.90625" bestFit="1" customWidth="1"/>
    <col min="6" max="8" width="80.7265625" bestFit="1" customWidth="1"/>
    <col min="9" max="9" width="12.26953125" bestFit="1" customWidth="1"/>
    <col min="10" max="10" width="24.1796875" bestFit="1" customWidth="1"/>
    <col min="12" max="12" width="9.7265625" bestFit="1" customWidth="1"/>
    <col min="13" max="13" width="7.36328125" bestFit="1" customWidth="1"/>
    <col min="14" max="14" width="12.26953125" bestFit="1" customWidth="1"/>
  </cols>
  <sheetData>
    <row r="1" spans="1:15" x14ac:dyDescent="0.35">
      <c r="A1" t="s">
        <v>0</v>
      </c>
      <c r="B1" t="s">
        <v>1</v>
      </c>
      <c r="C1" t="s">
        <v>2</v>
      </c>
      <c r="D1" t="s">
        <v>1589</v>
      </c>
      <c r="E1" t="s">
        <v>1590</v>
      </c>
      <c r="F1" t="s">
        <v>1591</v>
      </c>
      <c r="G1" t="s">
        <v>1592</v>
      </c>
      <c r="H1" t="s">
        <v>1593</v>
      </c>
      <c r="I1" t="s">
        <v>1588</v>
      </c>
      <c r="J1" t="s">
        <v>3635</v>
      </c>
    </row>
    <row r="2" spans="1:15" x14ac:dyDescent="0.35">
      <c r="A2">
        <v>1</v>
      </c>
      <c r="B2" t="s">
        <v>1594</v>
      </c>
      <c r="C2" t="s">
        <v>4</v>
      </c>
      <c r="D2" t="s">
        <v>1595</v>
      </c>
      <c r="E2" t="s">
        <v>1596</v>
      </c>
      <c r="F2" t="s">
        <v>1597</v>
      </c>
      <c r="G2" t="s">
        <v>1597</v>
      </c>
      <c r="H2" t="s">
        <v>1598</v>
      </c>
      <c r="I2" s="5" t="str" cm="1">
        <f t="array" ref="I2">IF(SUM(COUNTIF(Text_Preprocessing__224[[#This Row],[full_text]],{"*makan siang gratis*";"*MBG*";"*makan gratis*";"*makan bergizi gratis*";"*makangratis*";"*makanan gratis*"})),"Relevan","Tidak Relevan")</f>
        <v>Tidak Relevan</v>
      </c>
      <c r="J2" s="4" t="s">
        <v>3623</v>
      </c>
    </row>
    <row r="3" spans="1:15" x14ac:dyDescent="0.35">
      <c r="A3">
        <f>SUM(A2+1)</f>
        <v>2</v>
      </c>
      <c r="B3" t="s">
        <v>1599</v>
      </c>
      <c r="C3" t="s">
        <v>6</v>
      </c>
      <c r="D3" t="s">
        <v>1600</v>
      </c>
      <c r="E3" t="s">
        <v>1601</v>
      </c>
      <c r="F3" t="s">
        <v>1602</v>
      </c>
      <c r="G3" t="s">
        <v>1603</v>
      </c>
      <c r="H3" t="s">
        <v>1604</v>
      </c>
      <c r="I3" s="5" t="str" cm="1">
        <f t="array" ref="I3">IF(SUM(COUNTIF(Text_Preprocessing__224[[#This Row],[full_text]],{"*makan siang gratis*";"*MBG*";"*makan gratis*";"*makan bergizi gratis*";"*makangratis*";"*makanan gratis*"})),"Relevan","Tidak Relevan")</f>
        <v>Relevan</v>
      </c>
    </row>
    <row r="4" spans="1:15" x14ac:dyDescent="0.35">
      <c r="A4">
        <f t="shared" ref="A4:A67" si="0">SUM(A3+1)</f>
        <v>3</v>
      </c>
      <c r="B4" t="s">
        <v>1605</v>
      </c>
      <c r="C4" t="s">
        <v>8</v>
      </c>
      <c r="D4" t="s">
        <v>1606</v>
      </c>
      <c r="E4" t="s">
        <v>1607</v>
      </c>
      <c r="F4" t="s">
        <v>1608</v>
      </c>
      <c r="G4" t="s">
        <v>1609</v>
      </c>
      <c r="H4" t="s">
        <v>1610</v>
      </c>
      <c r="I4" s="5" t="str" cm="1">
        <f t="array" ref="I4">IF(SUM(COUNTIF(Text_Preprocessing__224[[#This Row],[full_text]],{"*makan siang gratis*";"*MBG*";"*makan gratis*";"*makan bergizi gratis*";"*makangratis*";"*makanan gratis*"})),"Relevan","Tidak Relevan")</f>
        <v>Relevan</v>
      </c>
    </row>
    <row r="5" spans="1:15" x14ac:dyDescent="0.35">
      <c r="A5">
        <f t="shared" si="0"/>
        <v>4</v>
      </c>
      <c r="B5" t="s">
        <v>1611</v>
      </c>
      <c r="C5" t="s">
        <v>10</v>
      </c>
      <c r="D5" t="s">
        <v>1612</v>
      </c>
      <c r="E5" t="s">
        <v>1613</v>
      </c>
      <c r="F5" t="s">
        <v>1614</v>
      </c>
      <c r="G5" t="s">
        <v>1614</v>
      </c>
      <c r="H5" t="s">
        <v>1615</v>
      </c>
      <c r="I5" s="5" t="str" cm="1">
        <f t="array" ref="I5">IF(SUM(COUNTIF(Text_Preprocessing__224[[#This Row],[full_text]],{"*makan siang gratis*";"*MBG*";"*makan gratis*";"*makan bergizi gratis*";"*makangratis*";"*makanan gratis*"})),"Relevan","Tidak Relevan")</f>
        <v>Relevan</v>
      </c>
    </row>
    <row r="6" spans="1:15" x14ac:dyDescent="0.35">
      <c r="A6">
        <f t="shared" si="0"/>
        <v>5</v>
      </c>
      <c r="B6" t="s">
        <v>1616</v>
      </c>
      <c r="C6" t="s">
        <v>12</v>
      </c>
      <c r="D6" t="s">
        <v>1617</v>
      </c>
      <c r="E6" t="s">
        <v>1618</v>
      </c>
      <c r="F6" t="s">
        <v>1619</v>
      </c>
      <c r="G6" t="s">
        <v>1620</v>
      </c>
      <c r="H6" t="s">
        <v>1621</v>
      </c>
      <c r="I6" s="5" t="str" cm="1">
        <f t="array" ref="I6">IF(SUM(COUNTIF(Text_Preprocessing__224[[#This Row],[full_text]],{"*makan siang gratis*";"*MBG*";"*makan gratis*";"*makan bergizi gratis*";"*makangratis*";"*makanan gratis*"})),"Relevan","Tidak Relevan")</f>
        <v>Relevan</v>
      </c>
    </row>
    <row r="7" spans="1:15" x14ac:dyDescent="0.35">
      <c r="A7">
        <f t="shared" si="0"/>
        <v>6</v>
      </c>
      <c r="B7" t="s">
        <v>1622</v>
      </c>
      <c r="C7" t="s">
        <v>14</v>
      </c>
      <c r="D7" t="s">
        <v>1623</v>
      </c>
      <c r="E7" t="s">
        <v>1624</v>
      </c>
      <c r="F7" t="s">
        <v>1625</v>
      </c>
      <c r="G7" t="s">
        <v>1625</v>
      </c>
      <c r="H7" t="s">
        <v>1626</v>
      </c>
      <c r="I7" s="5" t="str" cm="1">
        <f t="array" ref="I7">IF(SUM(COUNTIF(Text_Preprocessing__224[[#This Row],[full_text]],{"*makan siang gratis*";"*MBG*";"*makan gratis*";"*makan bergizi gratis*";"*makangratis*";"*makanan gratis*"})),"Relevan","Tidak Relevan")</f>
        <v>Relevan</v>
      </c>
      <c r="M7" t="s">
        <v>3622</v>
      </c>
      <c r="N7" t="s">
        <v>3623</v>
      </c>
    </row>
    <row r="8" spans="1:15" x14ac:dyDescent="0.35">
      <c r="A8">
        <f t="shared" si="0"/>
        <v>7</v>
      </c>
      <c r="B8" t="s">
        <v>1627</v>
      </c>
      <c r="C8" t="s">
        <v>16</v>
      </c>
      <c r="D8" t="s">
        <v>1628</v>
      </c>
      <c r="E8" t="s">
        <v>1629</v>
      </c>
      <c r="F8" t="s">
        <v>1630</v>
      </c>
      <c r="G8" t="s">
        <v>1630</v>
      </c>
      <c r="H8" t="s">
        <v>1631</v>
      </c>
      <c r="I8" s="5" t="str" cm="1">
        <f t="array" ref="I8">IF(SUM(COUNTIF(Text_Preprocessing__224[[#This Row],[full_text]],{"*makan siang gratis*";"*MBG*";"*makan gratis*";"*makan bergizi gratis*";"*makangratis*";"*makanan gratis*"})),"Relevan","Tidak Relevan")</f>
        <v>Relevan</v>
      </c>
      <c r="L8" t="s">
        <v>3624</v>
      </c>
      <c r="M8">
        <f>COUNTIF($I2:$I455, "Relevan")</f>
        <v>421</v>
      </c>
      <c r="N8">
        <f>COUNTIF($I2:$I455, "Tidak Relevan")</f>
        <v>33</v>
      </c>
    </row>
    <row r="9" spans="1:15" x14ac:dyDescent="0.35">
      <c r="A9">
        <f t="shared" si="0"/>
        <v>8</v>
      </c>
      <c r="B9" t="s">
        <v>1632</v>
      </c>
      <c r="C9" t="s">
        <v>18</v>
      </c>
      <c r="D9" t="s">
        <v>1633</v>
      </c>
      <c r="E9" t="s">
        <v>1634</v>
      </c>
      <c r="F9" t="s">
        <v>1635</v>
      </c>
      <c r="G9" t="s">
        <v>1636</v>
      </c>
      <c r="H9" t="s">
        <v>1637</v>
      </c>
      <c r="I9" s="5" t="str" cm="1">
        <f t="array" ref="I9">IF(SUM(COUNTIF(Text_Preprocessing__224[[#This Row],[full_text]],{"*makan siang gratis*";"*MBG*";"*makan gratis*";"*makan bergizi gratis*";"*makangratis*";"*makanan gratis*"})),"Relevan","Tidak Relevan")</f>
        <v>Tidak Relevan</v>
      </c>
      <c r="J9" t="s">
        <v>3622</v>
      </c>
      <c r="L9" t="s">
        <v>3625</v>
      </c>
      <c r="M9">
        <f>COUNTIF($J2:$J455, "Relevan")</f>
        <v>30</v>
      </c>
      <c r="N9">
        <f>COUNTIF($J2:$J455, "Tidak Relevan")</f>
        <v>3</v>
      </c>
    </row>
    <row r="10" spans="1:15" x14ac:dyDescent="0.35">
      <c r="A10">
        <f t="shared" si="0"/>
        <v>9</v>
      </c>
      <c r="B10" t="s">
        <v>1638</v>
      </c>
      <c r="C10" t="s">
        <v>20</v>
      </c>
      <c r="D10" t="s">
        <v>1639</v>
      </c>
      <c r="E10" t="s">
        <v>1640</v>
      </c>
      <c r="F10" t="s">
        <v>1641</v>
      </c>
      <c r="G10" t="s">
        <v>1642</v>
      </c>
      <c r="H10" t="s">
        <v>1643</v>
      </c>
      <c r="I10" s="5" t="str" cm="1">
        <f t="array" ref="I10">IF(SUM(COUNTIF(Text_Preprocessing__224[[#This Row],[full_text]],{"*makan siang gratis*";"*MBG*";"*makan gratis*";"*makan bergizi gratis*";"*makangratis*";"*makanan gratis*"})),"Relevan","Tidak Relevan")</f>
        <v>Tidak Relevan</v>
      </c>
      <c r="J10" t="s">
        <v>3622</v>
      </c>
      <c r="L10" t="s">
        <v>3626</v>
      </c>
      <c r="M10">
        <f>SUM(M8:M9)</f>
        <v>451</v>
      </c>
      <c r="N10">
        <v>3</v>
      </c>
      <c r="O10">
        <f>SUM(M10+N10)</f>
        <v>454</v>
      </c>
    </row>
    <row r="11" spans="1:15" x14ac:dyDescent="0.35">
      <c r="A11">
        <f t="shared" si="0"/>
        <v>10</v>
      </c>
      <c r="B11" t="s">
        <v>1644</v>
      </c>
      <c r="C11" t="s">
        <v>22</v>
      </c>
      <c r="D11" t="s">
        <v>1645</v>
      </c>
      <c r="E11" t="s">
        <v>1646</v>
      </c>
      <c r="F11" t="s">
        <v>1647</v>
      </c>
      <c r="G11" t="s">
        <v>1648</v>
      </c>
      <c r="H11" t="s">
        <v>1649</v>
      </c>
      <c r="I11" s="5" t="str" cm="1">
        <f t="array" ref="I11">IF(SUM(COUNTIF(Text_Preprocessing__224[[#This Row],[full_text]],{"*makan siang gratis*";"*MBG*";"*makan gratis*";"*makan bergizi gratis*";"*makangratis*";"*makanan gratis*"})),"Relevan","Tidak Relevan")</f>
        <v>Relevan</v>
      </c>
    </row>
    <row r="12" spans="1:15" x14ac:dyDescent="0.35">
      <c r="A12">
        <f t="shared" si="0"/>
        <v>11</v>
      </c>
      <c r="B12" t="s">
        <v>1650</v>
      </c>
      <c r="C12" t="s">
        <v>24</v>
      </c>
      <c r="D12" t="s">
        <v>1651</v>
      </c>
      <c r="E12" t="s">
        <v>1652</v>
      </c>
      <c r="F12" t="s">
        <v>1653</v>
      </c>
      <c r="G12" t="s">
        <v>1653</v>
      </c>
      <c r="H12" t="s">
        <v>1654</v>
      </c>
      <c r="I12" s="5" t="str" cm="1">
        <f t="array" ref="I12">IF(SUM(COUNTIF(Text_Preprocessing__224[[#This Row],[full_text]],{"*makan siang gratis*";"*MBG*";"*makan gratis*";"*makan bergizi gratis*";"*makangratis*";"*makanan gratis*"})),"Relevan","Tidak Relevan")</f>
        <v>Relevan</v>
      </c>
    </row>
    <row r="13" spans="1:15" x14ac:dyDescent="0.35">
      <c r="A13">
        <f t="shared" si="0"/>
        <v>12</v>
      </c>
      <c r="B13" t="s">
        <v>1655</v>
      </c>
      <c r="C13" t="s">
        <v>26</v>
      </c>
      <c r="D13" t="s">
        <v>1656</v>
      </c>
      <c r="E13" t="s">
        <v>1657</v>
      </c>
      <c r="F13" t="s">
        <v>1658</v>
      </c>
      <c r="G13" t="s">
        <v>1659</v>
      </c>
      <c r="H13" t="s">
        <v>1660</v>
      </c>
      <c r="I13" s="5" t="str" cm="1">
        <f t="array" ref="I13">IF(SUM(COUNTIF(Text_Preprocessing__224[[#This Row],[full_text]],{"*makan siang gratis*";"*MBG*";"*makan gratis*";"*makan bergizi gratis*";"*makangratis*";"*makanan gratis*"})),"Relevan","Tidak Relevan")</f>
        <v>Tidak Relevan</v>
      </c>
      <c r="J13" t="s">
        <v>3622</v>
      </c>
    </row>
    <row r="14" spans="1:15" x14ac:dyDescent="0.35">
      <c r="A14">
        <f t="shared" si="0"/>
        <v>13</v>
      </c>
      <c r="B14" t="s">
        <v>1661</v>
      </c>
      <c r="C14" t="s">
        <v>28</v>
      </c>
      <c r="D14" t="s">
        <v>1662</v>
      </c>
      <c r="E14" t="s">
        <v>1663</v>
      </c>
      <c r="F14" t="s">
        <v>1664</v>
      </c>
      <c r="G14" t="s">
        <v>1665</v>
      </c>
      <c r="H14" t="s">
        <v>1666</v>
      </c>
      <c r="I14" s="5" t="str" cm="1">
        <f t="array" ref="I14">IF(SUM(COUNTIF(Text_Preprocessing__224[[#This Row],[full_text]],{"*makan siang gratis*";"*MBG*";"*makan gratis*";"*makan bergizi gratis*";"*makangratis*";"*makanan gratis*"})),"Relevan","Tidak Relevan")</f>
        <v>Tidak Relevan</v>
      </c>
      <c r="J14" t="s">
        <v>3622</v>
      </c>
    </row>
    <row r="15" spans="1:15" x14ac:dyDescent="0.35">
      <c r="A15">
        <f t="shared" si="0"/>
        <v>14</v>
      </c>
      <c r="B15" t="s">
        <v>1667</v>
      </c>
      <c r="C15" t="s">
        <v>32</v>
      </c>
      <c r="D15" t="s">
        <v>1668</v>
      </c>
      <c r="E15" t="s">
        <v>1669</v>
      </c>
      <c r="F15" t="s">
        <v>1670</v>
      </c>
      <c r="G15" t="s">
        <v>1670</v>
      </c>
      <c r="H15" t="s">
        <v>1671</v>
      </c>
      <c r="I15" s="5" t="str" cm="1">
        <f t="array" ref="I15">IF(SUM(COUNTIF(Text_Preprocessing__224[[#This Row],[full_text]],{"*makan siang gratis*";"*MBG*";"*makan gratis*";"*makan bergizi gratis*";"*makangratis*";"*makanan gratis*"})),"Relevan","Tidak Relevan")</f>
        <v>Relevan</v>
      </c>
    </row>
    <row r="16" spans="1:15" x14ac:dyDescent="0.35">
      <c r="A16">
        <f t="shared" si="0"/>
        <v>15</v>
      </c>
      <c r="B16" t="s">
        <v>1672</v>
      </c>
      <c r="C16" t="s">
        <v>34</v>
      </c>
      <c r="D16" t="s">
        <v>1673</v>
      </c>
      <c r="E16" t="s">
        <v>1674</v>
      </c>
      <c r="F16" t="s">
        <v>1675</v>
      </c>
      <c r="G16" t="s">
        <v>1676</v>
      </c>
      <c r="H16" t="s">
        <v>1677</v>
      </c>
      <c r="I16" s="5" t="str" cm="1">
        <f t="array" ref="I16">IF(SUM(COUNTIF(Text_Preprocessing__224[[#This Row],[full_text]],{"*makan siang gratis*";"*MBG*";"*makan gratis*";"*makan bergizi gratis*";"*makangratis*";"*makanan gratis*"})),"Relevan","Tidak Relevan")</f>
        <v>Tidak Relevan</v>
      </c>
      <c r="J16" t="s">
        <v>3622</v>
      </c>
    </row>
    <row r="17" spans="1:10" x14ac:dyDescent="0.35">
      <c r="A17">
        <f t="shared" si="0"/>
        <v>16</v>
      </c>
      <c r="B17" t="s">
        <v>1678</v>
      </c>
      <c r="C17" t="s">
        <v>36</v>
      </c>
      <c r="D17" t="s">
        <v>1679</v>
      </c>
      <c r="E17" t="s">
        <v>1680</v>
      </c>
      <c r="F17" t="s">
        <v>1681</v>
      </c>
      <c r="G17" t="s">
        <v>1682</v>
      </c>
      <c r="H17" t="s">
        <v>1683</v>
      </c>
      <c r="I17" s="5" t="str" cm="1">
        <f t="array" ref="I17">IF(SUM(COUNTIF(Text_Preprocessing__224[[#This Row],[full_text]],{"*makan siang gratis*";"*MBG*";"*makan gratis*";"*makan bergizi gratis*";"*makangratis*";"*makanan gratis*"})),"Relevan","Tidak Relevan")</f>
        <v>Relevan</v>
      </c>
    </row>
    <row r="18" spans="1:10" x14ac:dyDescent="0.35">
      <c r="A18">
        <f t="shared" si="0"/>
        <v>17</v>
      </c>
      <c r="B18" t="s">
        <v>1684</v>
      </c>
      <c r="C18" t="s">
        <v>38</v>
      </c>
      <c r="D18" t="s">
        <v>1685</v>
      </c>
      <c r="E18" t="s">
        <v>1686</v>
      </c>
      <c r="F18" t="s">
        <v>1687</v>
      </c>
      <c r="G18" t="s">
        <v>1688</v>
      </c>
      <c r="H18" t="s">
        <v>1689</v>
      </c>
      <c r="I18" s="5" t="str" cm="1">
        <f t="array" ref="I18">IF(SUM(COUNTIF(Text_Preprocessing__224[[#This Row],[full_text]],{"*makan siang gratis*";"*MBG*";"*makan gratis*";"*makan bergizi gratis*";"*makangratis*";"*makanan gratis*"})),"Relevan","Tidak Relevan")</f>
        <v>Relevan</v>
      </c>
    </row>
    <row r="19" spans="1:10" x14ac:dyDescent="0.35">
      <c r="A19">
        <f t="shared" si="0"/>
        <v>18</v>
      </c>
      <c r="B19" t="s">
        <v>1690</v>
      </c>
      <c r="C19" t="s">
        <v>40</v>
      </c>
      <c r="D19" t="s">
        <v>1691</v>
      </c>
      <c r="E19" t="s">
        <v>1692</v>
      </c>
      <c r="F19" t="s">
        <v>1693</v>
      </c>
      <c r="G19" t="s">
        <v>1693</v>
      </c>
      <c r="H19" t="s">
        <v>1694</v>
      </c>
      <c r="I19" s="5" t="str" cm="1">
        <f t="array" ref="I19">IF(SUM(COUNTIF(Text_Preprocessing__224[[#This Row],[full_text]],{"*makan siang gratis*";"*MBG*";"*makan gratis*";"*makan bergizi gratis*";"*makangratis*";"*makanan gratis*"})),"Relevan","Tidak Relevan")</f>
        <v>Tidak Relevan</v>
      </c>
      <c r="J19" t="s">
        <v>3622</v>
      </c>
    </row>
    <row r="20" spans="1:10" x14ac:dyDescent="0.35">
      <c r="A20">
        <f t="shared" si="0"/>
        <v>19</v>
      </c>
      <c r="B20" t="s">
        <v>1695</v>
      </c>
      <c r="C20" t="s">
        <v>42</v>
      </c>
      <c r="D20" t="s">
        <v>1696</v>
      </c>
      <c r="E20" t="s">
        <v>1697</v>
      </c>
      <c r="F20" t="s">
        <v>1698</v>
      </c>
      <c r="G20" t="s">
        <v>1698</v>
      </c>
      <c r="H20" t="s">
        <v>1699</v>
      </c>
      <c r="I20" s="5" t="str" cm="1">
        <f t="array" ref="I20">IF(SUM(COUNTIF(Text_Preprocessing__224[[#This Row],[full_text]],{"*makan siang gratis*";"*MBG*";"*makan gratis*";"*makan bergizi gratis*";"*makangratis*";"*makanan gratis*"})),"Relevan","Tidak Relevan")</f>
        <v>Tidak Relevan</v>
      </c>
      <c r="J20" t="s">
        <v>3622</v>
      </c>
    </row>
    <row r="21" spans="1:10" x14ac:dyDescent="0.35">
      <c r="A21">
        <f t="shared" si="0"/>
        <v>20</v>
      </c>
      <c r="B21" t="s">
        <v>1700</v>
      </c>
      <c r="C21" t="s">
        <v>44</v>
      </c>
      <c r="D21" t="s">
        <v>1701</v>
      </c>
      <c r="E21" t="s">
        <v>1702</v>
      </c>
      <c r="F21" t="s">
        <v>1703</v>
      </c>
      <c r="G21" t="s">
        <v>1703</v>
      </c>
      <c r="H21" t="s">
        <v>1704</v>
      </c>
      <c r="I21" s="5" t="str" cm="1">
        <f t="array" ref="I21">IF(SUM(COUNTIF(Text_Preprocessing__224[[#This Row],[full_text]],{"*makan siang gratis*";"*MBG*";"*makan gratis*";"*makan bergizi gratis*";"*makangratis*";"*makanan gratis*"})),"Relevan","Tidak Relevan")</f>
        <v>Tidak Relevan</v>
      </c>
      <c r="J21" t="s">
        <v>3622</v>
      </c>
    </row>
    <row r="22" spans="1:10" x14ac:dyDescent="0.35">
      <c r="A22">
        <f t="shared" si="0"/>
        <v>21</v>
      </c>
      <c r="B22" t="s">
        <v>1705</v>
      </c>
      <c r="C22" t="s">
        <v>20</v>
      </c>
      <c r="D22" t="s">
        <v>1706</v>
      </c>
      <c r="E22" t="s">
        <v>1707</v>
      </c>
      <c r="F22" t="s">
        <v>1708</v>
      </c>
      <c r="G22" t="s">
        <v>1709</v>
      </c>
      <c r="H22" t="s">
        <v>1710</v>
      </c>
      <c r="I22" s="5" t="str" cm="1">
        <f t="array" ref="I22">IF(SUM(COUNTIF(Text_Preprocessing__224[[#This Row],[full_text]],{"*makan siang gratis*";"*MBG*";"*makan gratis*";"*makan bergizi gratis*";"*makangratis*";"*makanan gratis*"})),"Relevan","Tidak Relevan")</f>
        <v>Relevan</v>
      </c>
    </row>
    <row r="23" spans="1:10" x14ac:dyDescent="0.35">
      <c r="A23">
        <f t="shared" si="0"/>
        <v>22</v>
      </c>
      <c r="B23" t="s">
        <v>1711</v>
      </c>
      <c r="C23" t="s">
        <v>47</v>
      </c>
      <c r="D23" t="s">
        <v>1712</v>
      </c>
      <c r="E23" t="s">
        <v>1713</v>
      </c>
      <c r="F23" t="s">
        <v>1714</v>
      </c>
      <c r="G23" t="s">
        <v>1715</v>
      </c>
      <c r="H23" t="s">
        <v>1716</v>
      </c>
      <c r="I23" s="5" t="str" cm="1">
        <f t="array" ref="I23">IF(SUM(COUNTIF(Text_Preprocessing__224[[#This Row],[full_text]],{"*makan siang gratis*";"*MBG*";"*makan gratis*";"*makan bergizi gratis*";"*makangratis*";"*makanan gratis*"})),"Relevan","Tidak Relevan")</f>
        <v>Tidak Relevan</v>
      </c>
      <c r="J23" t="s">
        <v>3622</v>
      </c>
    </row>
    <row r="24" spans="1:10" x14ac:dyDescent="0.35">
      <c r="A24">
        <f t="shared" si="0"/>
        <v>23</v>
      </c>
      <c r="B24" t="s">
        <v>1717</v>
      </c>
      <c r="C24" t="s">
        <v>49</v>
      </c>
      <c r="D24" t="s">
        <v>1718</v>
      </c>
      <c r="E24" t="s">
        <v>1719</v>
      </c>
      <c r="F24" t="s">
        <v>1720</v>
      </c>
      <c r="G24" t="s">
        <v>1720</v>
      </c>
      <c r="H24" t="s">
        <v>1721</v>
      </c>
      <c r="I24" s="5" t="str" cm="1">
        <f t="array" ref="I24">IF(SUM(COUNTIF(Text_Preprocessing__224[[#This Row],[full_text]],{"*makan siang gratis*";"*MBG*";"*makan gratis*";"*makan bergizi gratis*";"*makangratis*";"*makanan gratis*"})),"Relevan","Tidak Relevan")</f>
        <v>Relevan</v>
      </c>
    </row>
    <row r="25" spans="1:10" x14ac:dyDescent="0.35">
      <c r="A25">
        <f t="shared" si="0"/>
        <v>24</v>
      </c>
      <c r="B25" t="s">
        <v>1722</v>
      </c>
      <c r="C25" t="s">
        <v>20</v>
      </c>
      <c r="D25" t="s">
        <v>1723</v>
      </c>
      <c r="E25" t="s">
        <v>1724</v>
      </c>
      <c r="F25" t="s">
        <v>1725</v>
      </c>
      <c r="G25" t="s">
        <v>1726</v>
      </c>
      <c r="H25" t="s">
        <v>1727</v>
      </c>
      <c r="I25" s="5" t="str" cm="1">
        <f t="array" ref="I25">IF(SUM(COUNTIF(Text_Preprocessing__224[[#This Row],[full_text]],{"*makan siang gratis*";"*MBG*";"*makan gratis*";"*makan bergizi gratis*";"*makangratis*";"*makanan gratis*"})),"Relevan","Tidak Relevan")</f>
        <v>Tidak Relevan</v>
      </c>
      <c r="J25" t="s">
        <v>3622</v>
      </c>
    </row>
    <row r="26" spans="1:10" x14ac:dyDescent="0.35">
      <c r="A26">
        <f t="shared" si="0"/>
        <v>25</v>
      </c>
      <c r="B26" t="s">
        <v>1728</v>
      </c>
      <c r="C26" t="s">
        <v>52</v>
      </c>
      <c r="D26" t="s">
        <v>1729</v>
      </c>
      <c r="E26" t="s">
        <v>1730</v>
      </c>
      <c r="F26" t="s">
        <v>1731</v>
      </c>
      <c r="G26" t="s">
        <v>1731</v>
      </c>
      <c r="H26" t="s">
        <v>1732</v>
      </c>
      <c r="I26" s="5" t="str" cm="1">
        <f t="array" ref="I26">IF(SUM(COUNTIF(Text_Preprocessing__224[[#This Row],[full_text]],{"*makan siang gratis*";"*MBG*";"*makan gratis*";"*makan bergizi gratis*";"*makangratis*";"*makanan gratis*"})),"Relevan","Tidak Relevan")</f>
        <v>Relevan</v>
      </c>
    </row>
    <row r="27" spans="1:10" x14ac:dyDescent="0.35">
      <c r="A27">
        <f t="shared" si="0"/>
        <v>26</v>
      </c>
      <c r="B27" t="s">
        <v>1733</v>
      </c>
      <c r="C27" t="s">
        <v>54</v>
      </c>
      <c r="D27" t="s">
        <v>1734</v>
      </c>
      <c r="E27" t="s">
        <v>1735</v>
      </c>
      <c r="F27" t="s">
        <v>1736</v>
      </c>
      <c r="G27" t="s">
        <v>1737</v>
      </c>
      <c r="H27" t="s">
        <v>1738</v>
      </c>
      <c r="I27" s="5" t="str" cm="1">
        <f t="array" ref="I27">IF(SUM(COUNTIF(Text_Preprocessing__224[[#This Row],[full_text]],{"*makan siang gratis*";"*MBG*";"*makan gratis*";"*makan bergizi gratis*";"*makangratis*";"*makanan gratis*"})),"Relevan","Tidak Relevan")</f>
        <v>Relevan</v>
      </c>
    </row>
    <row r="28" spans="1:10" x14ac:dyDescent="0.35">
      <c r="A28">
        <f t="shared" si="0"/>
        <v>27</v>
      </c>
      <c r="B28" t="s">
        <v>1739</v>
      </c>
      <c r="C28" t="s">
        <v>56</v>
      </c>
      <c r="D28" t="s">
        <v>1740</v>
      </c>
      <c r="E28" t="s">
        <v>1741</v>
      </c>
      <c r="F28" t="s">
        <v>1742</v>
      </c>
      <c r="G28" t="s">
        <v>1743</v>
      </c>
      <c r="H28" t="s">
        <v>1744</v>
      </c>
      <c r="I28" s="5" t="str" cm="1">
        <f t="array" ref="I28">IF(SUM(COUNTIF(Text_Preprocessing__224[[#This Row],[full_text]],{"*makan siang gratis*";"*MBG*";"*makan gratis*";"*makan bergizi gratis*";"*makangratis*";"*makanan gratis*"})),"Relevan","Tidak Relevan")</f>
        <v>Relevan</v>
      </c>
    </row>
    <row r="29" spans="1:10" x14ac:dyDescent="0.35">
      <c r="A29">
        <f t="shared" si="0"/>
        <v>28</v>
      </c>
      <c r="B29" t="s">
        <v>1745</v>
      </c>
      <c r="C29" t="s">
        <v>58</v>
      </c>
      <c r="D29" t="s">
        <v>1746</v>
      </c>
      <c r="E29" t="s">
        <v>1747</v>
      </c>
      <c r="F29" t="s">
        <v>1748</v>
      </c>
      <c r="G29" t="s">
        <v>1748</v>
      </c>
      <c r="H29" t="s">
        <v>1749</v>
      </c>
      <c r="I29" s="5" t="str" cm="1">
        <f t="array" ref="I29">IF(SUM(COUNTIF(Text_Preprocessing__224[[#This Row],[full_text]],{"*makan siang gratis*";"*MBG*";"*makan gratis*";"*makan bergizi gratis*";"*makangratis*";"*makanan gratis*"})),"Relevan","Tidak Relevan")</f>
        <v>Relevan</v>
      </c>
    </row>
    <row r="30" spans="1:10" x14ac:dyDescent="0.35">
      <c r="A30">
        <f t="shared" si="0"/>
        <v>29</v>
      </c>
      <c r="B30" t="s">
        <v>1750</v>
      </c>
      <c r="C30" t="s">
        <v>60</v>
      </c>
      <c r="D30" t="s">
        <v>1751</v>
      </c>
      <c r="E30" t="s">
        <v>1752</v>
      </c>
      <c r="F30" t="s">
        <v>1753</v>
      </c>
      <c r="G30" t="s">
        <v>1754</v>
      </c>
      <c r="H30" t="s">
        <v>1755</v>
      </c>
      <c r="I30" s="5" t="str" cm="1">
        <f t="array" ref="I30">IF(SUM(COUNTIF(Text_Preprocessing__224[[#This Row],[full_text]],{"*makan siang gratis*";"*MBG*";"*makan gratis*";"*makan bergizi gratis*";"*makangratis*";"*makanan gratis*"})),"Relevan","Tidak Relevan")</f>
        <v>Relevan</v>
      </c>
    </row>
    <row r="31" spans="1:10" x14ac:dyDescent="0.35">
      <c r="A31">
        <f t="shared" si="0"/>
        <v>30</v>
      </c>
      <c r="B31" t="s">
        <v>1756</v>
      </c>
      <c r="C31" t="s">
        <v>62</v>
      </c>
      <c r="D31" t="s">
        <v>1757</v>
      </c>
      <c r="E31" t="s">
        <v>1758</v>
      </c>
      <c r="F31" t="s">
        <v>1759</v>
      </c>
      <c r="G31" t="s">
        <v>1760</v>
      </c>
      <c r="H31" t="s">
        <v>1761</v>
      </c>
      <c r="I31" s="5" t="str" cm="1">
        <f t="array" ref="I31">IF(SUM(COUNTIF(Text_Preprocessing__224[[#This Row],[full_text]],{"*makan siang gratis*";"*MBG*";"*makan gratis*";"*makan bergizi gratis*";"*makangratis*";"*makanan gratis*"})),"Relevan","Tidak Relevan")</f>
        <v>Relevan</v>
      </c>
    </row>
    <row r="32" spans="1:10" x14ac:dyDescent="0.35">
      <c r="A32">
        <f t="shared" si="0"/>
        <v>31</v>
      </c>
      <c r="B32" t="s">
        <v>1762</v>
      </c>
      <c r="C32" t="s">
        <v>64</v>
      </c>
      <c r="D32" t="s">
        <v>1763</v>
      </c>
      <c r="E32" t="s">
        <v>1764</v>
      </c>
      <c r="F32" t="s">
        <v>1765</v>
      </c>
      <c r="G32" t="s">
        <v>1766</v>
      </c>
      <c r="H32" t="s">
        <v>1767</v>
      </c>
      <c r="I32" s="5" t="str" cm="1">
        <f t="array" ref="I32">IF(SUM(COUNTIF(Text_Preprocessing__224[[#This Row],[full_text]],{"*makan siang gratis*";"*MBG*";"*makan gratis*";"*makan bergizi gratis*";"*makangratis*";"*makanan gratis*"})),"Relevan","Tidak Relevan")</f>
        <v>Relevan</v>
      </c>
    </row>
    <row r="33" spans="1:10" x14ac:dyDescent="0.35">
      <c r="A33">
        <f t="shared" si="0"/>
        <v>32</v>
      </c>
      <c r="B33" t="s">
        <v>1768</v>
      </c>
      <c r="C33" t="s">
        <v>66</v>
      </c>
      <c r="D33" t="s">
        <v>1769</v>
      </c>
      <c r="E33" t="s">
        <v>1770</v>
      </c>
      <c r="F33" t="s">
        <v>1771</v>
      </c>
      <c r="G33" t="s">
        <v>1771</v>
      </c>
      <c r="H33" t="s">
        <v>1772</v>
      </c>
      <c r="I33" s="5" t="str" cm="1">
        <f t="array" ref="I33">IF(SUM(COUNTIF(Text_Preprocessing__224[[#This Row],[full_text]],{"*makan siang gratis*";"*MBG*";"*makan gratis*";"*makan bergizi gratis*";"*makangratis*";"*makanan gratis*"})),"Relevan","Tidak Relevan")</f>
        <v>Relevan</v>
      </c>
    </row>
    <row r="34" spans="1:10" x14ac:dyDescent="0.35">
      <c r="A34">
        <f t="shared" si="0"/>
        <v>33</v>
      </c>
      <c r="B34" t="s">
        <v>1773</v>
      </c>
      <c r="C34" t="s">
        <v>68</v>
      </c>
      <c r="D34" t="s">
        <v>1774</v>
      </c>
      <c r="E34" t="s">
        <v>1775</v>
      </c>
      <c r="F34" t="s">
        <v>1776</v>
      </c>
      <c r="G34" t="s">
        <v>1776</v>
      </c>
      <c r="H34" t="s">
        <v>1777</v>
      </c>
      <c r="I34" s="5" t="str" cm="1">
        <f t="array" ref="I34">IF(SUM(COUNTIF(Text_Preprocessing__224[[#This Row],[full_text]],{"*makan siang gratis*";"*MBG*";"*makan gratis*";"*makan bergizi gratis*";"*makangratis*";"*makanan gratis*"})),"Relevan","Tidak Relevan")</f>
        <v>Relevan</v>
      </c>
    </row>
    <row r="35" spans="1:10" x14ac:dyDescent="0.35">
      <c r="A35">
        <f t="shared" si="0"/>
        <v>34</v>
      </c>
      <c r="B35" t="s">
        <v>1778</v>
      </c>
      <c r="C35" t="s">
        <v>70</v>
      </c>
      <c r="D35" t="s">
        <v>1779</v>
      </c>
      <c r="E35" t="s">
        <v>1780</v>
      </c>
      <c r="F35" t="s">
        <v>1781</v>
      </c>
      <c r="G35" t="s">
        <v>1781</v>
      </c>
      <c r="H35" t="s">
        <v>1782</v>
      </c>
      <c r="I35" s="5" t="str" cm="1">
        <f t="array" ref="I35">IF(SUM(COUNTIF(Text_Preprocessing__224[[#This Row],[full_text]],{"*makan siang gratis*";"*MBG*";"*makan gratis*";"*makan bergizi gratis*";"*makangratis*";"*makanan gratis*"})),"Relevan","Tidak Relevan")</f>
        <v>Tidak Relevan</v>
      </c>
      <c r="J35" t="s">
        <v>3622</v>
      </c>
    </row>
    <row r="36" spans="1:10" x14ac:dyDescent="0.35">
      <c r="A36">
        <f t="shared" si="0"/>
        <v>35</v>
      </c>
      <c r="B36" t="s">
        <v>1783</v>
      </c>
      <c r="C36" t="s">
        <v>72</v>
      </c>
      <c r="D36" t="s">
        <v>1784</v>
      </c>
      <c r="E36" t="s">
        <v>1785</v>
      </c>
      <c r="F36" t="s">
        <v>1786</v>
      </c>
      <c r="G36" t="s">
        <v>1786</v>
      </c>
      <c r="H36" t="s">
        <v>1787</v>
      </c>
      <c r="I36" s="5" t="str" cm="1">
        <f t="array" ref="I36">IF(SUM(COUNTIF(Text_Preprocessing__224[[#This Row],[full_text]],{"*makan siang gratis*";"*MBG*";"*makan gratis*";"*makan bergizi gratis*";"*makangratis*";"*makanan gratis*"})),"Relevan","Tidak Relevan")</f>
        <v>Tidak Relevan</v>
      </c>
      <c r="J36" t="s">
        <v>3622</v>
      </c>
    </row>
    <row r="37" spans="1:10" x14ac:dyDescent="0.35">
      <c r="A37">
        <f t="shared" si="0"/>
        <v>36</v>
      </c>
      <c r="B37" t="s">
        <v>1788</v>
      </c>
      <c r="C37" t="s">
        <v>74</v>
      </c>
      <c r="D37" t="s">
        <v>1789</v>
      </c>
      <c r="E37" t="s">
        <v>1730</v>
      </c>
      <c r="F37" t="s">
        <v>1790</v>
      </c>
      <c r="G37" t="s">
        <v>1790</v>
      </c>
      <c r="H37" t="s">
        <v>1791</v>
      </c>
      <c r="I37" s="5" t="str" cm="1">
        <f t="array" ref="I37">IF(SUM(COUNTIF(Text_Preprocessing__224[[#This Row],[full_text]],{"*makan siang gratis*";"*MBG*";"*makan gratis*";"*makan bergizi gratis*";"*makangratis*";"*makanan gratis*"})),"Relevan","Tidak Relevan")</f>
        <v>Relevan</v>
      </c>
    </row>
    <row r="38" spans="1:10" x14ac:dyDescent="0.35">
      <c r="A38">
        <f t="shared" si="0"/>
        <v>37</v>
      </c>
      <c r="B38" t="s">
        <v>1792</v>
      </c>
      <c r="C38" t="s">
        <v>76</v>
      </c>
      <c r="D38" t="s">
        <v>1793</v>
      </c>
      <c r="E38" t="s">
        <v>1794</v>
      </c>
      <c r="F38" t="s">
        <v>1795</v>
      </c>
      <c r="G38" t="s">
        <v>1795</v>
      </c>
      <c r="H38" t="s">
        <v>1796</v>
      </c>
      <c r="I38" s="5" t="str" cm="1">
        <f t="array" ref="I38">IF(SUM(COUNTIF(Text_Preprocessing__224[[#This Row],[full_text]],{"*makan siang gratis*";"*MBG*";"*makan gratis*";"*makan bergizi gratis*";"*makangratis*";"*makanan gratis*"})),"Relevan","Tidak Relevan")</f>
        <v>Relevan</v>
      </c>
    </row>
    <row r="39" spans="1:10" x14ac:dyDescent="0.35">
      <c r="A39">
        <f t="shared" si="0"/>
        <v>38</v>
      </c>
      <c r="B39" t="s">
        <v>1797</v>
      </c>
      <c r="C39" t="s">
        <v>78</v>
      </c>
      <c r="D39" t="s">
        <v>1798</v>
      </c>
      <c r="E39" t="s">
        <v>1799</v>
      </c>
      <c r="F39" t="s">
        <v>1800</v>
      </c>
      <c r="G39" t="s">
        <v>1800</v>
      </c>
      <c r="H39" t="s">
        <v>1801</v>
      </c>
      <c r="I39" s="5" t="str" cm="1">
        <f t="array" ref="I39">IF(SUM(COUNTIF(Text_Preprocessing__224[[#This Row],[full_text]],{"*makan siang gratis*";"*MBG*";"*makan gratis*";"*makan bergizi gratis*";"*makangratis*";"*makanan gratis*"})),"Relevan","Tidak Relevan")</f>
        <v>Relevan</v>
      </c>
    </row>
    <row r="40" spans="1:10" x14ac:dyDescent="0.35">
      <c r="A40">
        <f t="shared" si="0"/>
        <v>39</v>
      </c>
      <c r="B40" t="s">
        <v>1802</v>
      </c>
      <c r="C40" t="s">
        <v>80</v>
      </c>
      <c r="D40" t="s">
        <v>1803</v>
      </c>
      <c r="E40" t="s">
        <v>1804</v>
      </c>
      <c r="F40" t="s">
        <v>1805</v>
      </c>
      <c r="G40" t="s">
        <v>1805</v>
      </c>
      <c r="H40" t="s">
        <v>1806</v>
      </c>
      <c r="I40" s="5" t="str" cm="1">
        <f t="array" ref="I40">IF(SUM(COUNTIF(Text_Preprocessing__224[[#This Row],[full_text]],{"*makan siang gratis*";"*MBG*";"*makan gratis*";"*makan bergizi gratis*";"*makangratis*";"*makanan gratis*"})),"Relevan","Tidak Relevan")</f>
        <v>Relevan</v>
      </c>
    </row>
    <row r="41" spans="1:10" x14ac:dyDescent="0.35">
      <c r="A41">
        <f t="shared" si="0"/>
        <v>40</v>
      </c>
      <c r="B41" t="s">
        <v>1807</v>
      </c>
      <c r="C41" t="s">
        <v>82</v>
      </c>
      <c r="D41" t="s">
        <v>1808</v>
      </c>
      <c r="E41" t="s">
        <v>1809</v>
      </c>
      <c r="F41" t="s">
        <v>1810</v>
      </c>
      <c r="G41" t="s">
        <v>1810</v>
      </c>
      <c r="H41" t="s">
        <v>1811</v>
      </c>
      <c r="I41" s="5" t="str" cm="1">
        <f t="array" ref="I41">IF(SUM(COUNTIF(Text_Preprocessing__224[[#This Row],[full_text]],{"*makan siang gratis*";"*MBG*";"*makan gratis*";"*makan bergizi gratis*";"*makangratis*";"*makanan gratis*"})),"Relevan","Tidak Relevan")</f>
        <v>Relevan</v>
      </c>
    </row>
    <row r="42" spans="1:10" x14ac:dyDescent="0.35">
      <c r="A42">
        <f t="shared" si="0"/>
        <v>41</v>
      </c>
      <c r="B42" t="s">
        <v>1812</v>
      </c>
      <c r="C42" t="s">
        <v>84</v>
      </c>
      <c r="D42" t="s">
        <v>1813</v>
      </c>
      <c r="E42" t="s">
        <v>1692</v>
      </c>
      <c r="F42" t="s">
        <v>1814</v>
      </c>
      <c r="G42" t="s">
        <v>1814</v>
      </c>
      <c r="H42" t="s">
        <v>1815</v>
      </c>
      <c r="I42" s="5" t="str" cm="1">
        <f t="array" ref="I42">IF(SUM(COUNTIF(Text_Preprocessing__224[[#This Row],[full_text]],{"*makan siang gratis*";"*MBG*";"*makan gratis*";"*makan bergizi gratis*";"*makangratis*";"*makanan gratis*"})),"Relevan","Tidak Relevan")</f>
        <v>Tidak Relevan</v>
      </c>
      <c r="J42" t="s">
        <v>3622</v>
      </c>
    </row>
    <row r="43" spans="1:10" x14ac:dyDescent="0.35">
      <c r="A43">
        <f t="shared" si="0"/>
        <v>42</v>
      </c>
      <c r="B43" t="s">
        <v>1816</v>
      </c>
      <c r="C43" t="s">
        <v>76</v>
      </c>
      <c r="D43" t="s">
        <v>1817</v>
      </c>
      <c r="E43" t="s">
        <v>1818</v>
      </c>
      <c r="F43" t="s">
        <v>1819</v>
      </c>
      <c r="G43" t="s">
        <v>1819</v>
      </c>
      <c r="H43" t="s">
        <v>1820</v>
      </c>
      <c r="I43" s="5" t="str" cm="1">
        <f t="array" ref="I43">IF(SUM(COUNTIF(Text_Preprocessing__224[[#This Row],[full_text]],{"*makan siang gratis*";"*MBG*";"*makan gratis*";"*makan bergizi gratis*";"*makangratis*";"*makanan gratis*"})),"Relevan","Tidak Relevan")</f>
        <v>Relevan</v>
      </c>
    </row>
    <row r="44" spans="1:10" x14ac:dyDescent="0.35">
      <c r="A44">
        <f t="shared" si="0"/>
        <v>43</v>
      </c>
      <c r="B44" t="s">
        <v>1821</v>
      </c>
      <c r="C44" t="s">
        <v>87</v>
      </c>
      <c r="D44" t="s">
        <v>1822</v>
      </c>
      <c r="E44" t="s">
        <v>1823</v>
      </c>
      <c r="F44" t="s">
        <v>1824</v>
      </c>
      <c r="G44" t="s">
        <v>1825</v>
      </c>
      <c r="H44" t="s">
        <v>1826</v>
      </c>
      <c r="I44" s="5" t="str" cm="1">
        <f t="array" ref="I44">IF(SUM(COUNTIF(Text_Preprocessing__224[[#This Row],[full_text]],{"*makan siang gratis*";"*MBG*";"*makan gratis*";"*makan bergizi gratis*";"*makangratis*";"*makanan gratis*"})),"Relevan","Tidak Relevan")</f>
        <v>Relevan</v>
      </c>
    </row>
    <row r="45" spans="1:10" x14ac:dyDescent="0.35">
      <c r="A45">
        <f t="shared" si="0"/>
        <v>44</v>
      </c>
      <c r="B45" t="s">
        <v>1827</v>
      </c>
      <c r="C45" t="s">
        <v>84</v>
      </c>
      <c r="D45" t="s">
        <v>1828</v>
      </c>
      <c r="E45" t="s">
        <v>1829</v>
      </c>
      <c r="F45" t="s">
        <v>1830</v>
      </c>
      <c r="G45" t="s">
        <v>1830</v>
      </c>
      <c r="H45" t="s">
        <v>1831</v>
      </c>
      <c r="I45" s="5" t="str" cm="1">
        <f t="array" ref="I45">IF(SUM(COUNTIF(Text_Preprocessing__224[[#This Row],[full_text]],{"*makan siang gratis*";"*MBG*";"*makan gratis*";"*makan bergizi gratis*";"*makangratis*";"*makanan gratis*"})),"Relevan","Tidak Relevan")</f>
        <v>Relevan</v>
      </c>
    </row>
    <row r="46" spans="1:10" x14ac:dyDescent="0.35">
      <c r="A46">
        <f t="shared" si="0"/>
        <v>45</v>
      </c>
      <c r="B46" t="s">
        <v>1832</v>
      </c>
      <c r="C46" t="s">
        <v>76</v>
      </c>
      <c r="D46" t="s">
        <v>1833</v>
      </c>
      <c r="E46" t="s">
        <v>1834</v>
      </c>
      <c r="F46" t="s">
        <v>1835</v>
      </c>
      <c r="G46" t="s">
        <v>1835</v>
      </c>
      <c r="H46" t="s">
        <v>1836</v>
      </c>
      <c r="I46" s="5" t="str" cm="1">
        <f t="array" ref="I46">IF(SUM(COUNTIF(Text_Preprocessing__224[[#This Row],[full_text]],{"*makan siang gratis*";"*MBG*";"*makan gratis*";"*makan bergizi gratis*";"*makangratis*";"*makanan gratis*"})),"Relevan","Tidak Relevan")</f>
        <v>Relevan</v>
      </c>
    </row>
    <row r="47" spans="1:10" x14ac:dyDescent="0.35">
      <c r="A47">
        <f t="shared" si="0"/>
        <v>46</v>
      </c>
      <c r="B47" t="s">
        <v>1837</v>
      </c>
      <c r="C47" t="s">
        <v>91</v>
      </c>
      <c r="D47" t="s">
        <v>1838</v>
      </c>
      <c r="E47" t="s">
        <v>1839</v>
      </c>
      <c r="F47" t="s">
        <v>1840</v>
      </c>
      <c r="G47" t="s">
        <v>1840</v>
      </c>
      <c r="H47" t="s">
        <v>1841</v>
      </c>
      <c r="I47" s="5" t="str" cm="1">
        <f t="array" ref="I47">IF(SUM(COUNTIF(Text_Preprocessing__224[[#This Row],[full_text]],{"*makan siang gratis*";"*MBG*";"*makan gratis*";"*makan bergizi gratis*";"*makangratis*";"*makanan gratis*"})),"Relevan","Tidak Relevan")</f>
        <v>Relevan</v>
      </c>
    </row>
    <row r="48" spans="1:10" x14ac:dyDescent="0.35">
      <c r="A48">
        <f t="shared" si="0"/>
        <v>47</v>
      </c>
      <c r="B48" t="s">
        <v>1842</v>
      </c>
      <c r="C48" t="s">
        <v>93</v>
      </c>
      <c r="D48" t="s">
        <v>1843</v>
      </c>
      <c r="E48" t="s">
        <v>1844</v>
      </c>
      <c r="F48" t="s">
        <v>1845</v>
      </c>
      <c r="G48" t="s">
        <v>1845</v>
      </c>
      <c r="H48" t="s">
        <v>1846</v>
      </c>
      <c r="I48" s="5" t="str" cm="1">
        <f t="array" ref="I48">IF(SUM(COUNTIF(Text_Preprocessing__224[[#This Row],[full_text]],{"*makan siang gratis*";"*MBG*";"*makan gratis*";"*makan bergizi gratis*";"*makangratis*";"*makanan gratis*"})),"Relevan","Tidak Relevan")</f>
        <v>Relevan</v>
      </c>
    </row>
    <row r="49" spans="1:9" x14ac:dyDescent="0.35">
      <c r="A49">
        <f t="shared" si="0"/>
        <v>48</v>
      </c>
      <c r="B49" t="s">
        <v>1847</v>
      </c>
      <c r="C49" t="s">
        <v>93</v>
      </c>
      <c r="D49" t="s">
        <v>1848</v>
      </c>
      <c r="E49" t="s">
        <v>1804</v>
      </c>
      <c r="F49" t="s">
        <v>1849</v>
      </c>
      <c r="G49" t="s">
        <v>1849</v>
      </c>
      <c r="H49" t="s">
        <v>1850</v>
      </c>
      <c r="I49" s="5" t="str" cm="1">
        <f t="array" ref="I49">IF(SUM(COUNTIF(Text_Preprocessing__224[[#This Row],[full_text]],{"*makan siang gratis*";"*MBG*";"*makan gratis*";"*makan bergizi gratis*";"*makangratis*";"*makanan gratis*"})),"Relevan","Tidak Relevan")</f>
        <v>Relevan</v>
      </c>
    </row>
    <row r="50" spans="1:9" x14ac:dyDescent="0.35">
      <c r="A50">
        <f t="shared" si="0"/>
        <v>49</v>
      </c>
      <c r="B50" t="s">
        <v>1851</v>
      </c>
      <c r="C50" t="s">
        <v>76</v>
      </c>
      <c r="D50" t="s">
        <v>1852</v>
      </c>
      <c r="E50" t="s">
        <v>1853</v>
      </c>
      <c r="F50" t="s">
        <v>1854</v>
      </c>
      <c r="G50" t="s">
        <v>1854</v>
      </c>
      <c r="H50" t="s">
        <v>1855</v>
      </c>
      <c r="I50" s="5" t="str" cm="1">
        <f t="array" ref="I50">IF(SUM(COUNTIF(Text_Preprocessing__224[[#This Row],[full_text]],{"*makan siang gratis*";"*MBG*";"*makan gratis*";"*makan bergizi gratis*";"*makangratis*";"*makanan gratis*"})),"Relevan","Tidak Relevan")</f>
        <v>Relevan</v>
      </c>
    </row>
    <row r="51" spans="1:9" x14ac:dyDescent="0.35">
      <c r="A51">
        <f t="shared" si="0"/>
        <v>50</v>
      </c>
      <c r="B51" t="s">
        <v>1856</v>
      </c>
      <c r="C51" t="s">
        <v>93</v>
      </c>
      <c r="D51" t="s">
        <v>1857</v>
      </c>
      <c r="E51" t="s">
        <v>1596</v>
      </c>
      <c r="F51" t="s">
        <v>1858</v>
      </c>
      <c r="G51" t="s">
        <v>1858</v>
      </c>
      <c r="H51" t="s">
        <v>1859</v>
      </c>
      <c r="I51" s="5" t="str" cm="1">
        <f t="array" ref="I51">IF(SUM(COUNTIF(Text_Preprocessing__224[[#This Row],[full_text]],{"*makan siang gratis*";"*MBG*";"*makan gratis*";"*makan bergizi gratis*";"*makangratis*";"*makanan gratis*"})),"Relevan","Tidak Relevan")</f>
        <v>Relevan</v>
      </c>
    </row>
    <row r="52" spans="1:9" x14ac:dyDescent="0.35">
      <c r="A52">
        <f t="shared" si="0"/>
        <v>51</v>
      </c>
      <c r="B52" t="s">
        <v>1860</v>
      </c>
      <c r="C52" t="s">
        <v>98</v>
      </c>
      <c r="D52" t="s">
        <v>1861</v>
      </c>
      <c r="E52" t="s">
        <v>1692</v>
      </c>
      <c r="F52" t="s">
        <v>1862</v>
      </c>
      <c r="G52" t="s">
        <v>1862</v>
      </c>
      <c r="H52" t="s">
        <v>1863</v>
      </c>
      <c r="I52" s="5" t="str" cm="1">
        <f t="array" ref="I52">IF(SUM(COUNTIF(Text_Preprocessing__224[[#This Row],[full_text]],{"*makan siang gratis*";"*MBG*";"*makan gratis*";"*makan bergizi gratis*";"*makangratis*";"*makanan gratis*"})),"Relevan","Tidak Relevan")</f>
        <v>Relevan</v>
      </c>
    </row>
    <row r="53" spans="1:9" x14ac:dyDescent="0.35">
      <c r="A53">
        <f t="shared" si="0"/>
        <v>52</v>
      </c>
      <c r="B53" t="s">
        <v>1864</v>
      </c>
      <c r="C53" t="s">
        <v>100</v>
      </c>
      <c r="D53" t="s">
        <v>1865</v>
      </c>
      <c r="E53" t="s">
        <v>1730</v>
      </c>
      <c r="F53" t="s">
        <v>1866</v>
      </c>
      <c r="G53" t="s">
        <v>1866</v>
      </c>
      <c r="H53" t="s">
        <v>1867</v>
      </c>
      <c r="I53" s="5" t="str" cm="1">
        <f t="array" ref="I53">IF(SUM(COUNTIF(Text_Preprocessing__224[[#This Row],[full_text]],{"*makan siang gratis*";"*MBG*";"*makan gratis*";"*makan bergizi gratis*";"*makangratis*";"*makanan gratis*"})),"Relevan","Tidak Relevan")</f>
        <v>Relevan</v>
      </c>
    </row>
    <row r="54" spans="1:9" x14ac:dyDescent="0.35">
      <c r="A54">
        <f t="shared" si="0"/>
        <v>53</v>
      </c>
      <c r="B54" t="s">
        <v>1868</v>
      </c>
      <c r="C54" t="s">
        <v>102</v>
      </c>
      <c r="D54" t="s">
        <v>1869</v>
      </c>
      <c r="E54" t="s">
        <v>1596</v>
      </c>
      <c r="F54" t="s">
        <v>1870</v>
      </c>
      <c r="G54" t="s">
        <v>1871</v>
      </c>
      <c r="H54" t="s">
        <v>1872</v>
      </c>
      <c r="I54" s="5" t="str" cm="1">
        <f t="array" ref="I54">IF(SUM(COUNTIF(Text_Preprocessing__224[[#This Row],[full_text]],{"*makan siang gratis*";"*MBG*";"*makan gratis*";"*makan bergizi gratis*";"*makangratis*";"*makanan gratis*"})),"Relevan","Tidak Relevan")</f>
        <v>Relevan</v>
      </c>
    </row>
    <row r="55" spans="1:9" x14ac:dyDescent="0.35">
      <c r="A55">
        <f t="shared" si="0"/>
        <v>54</v>
      </c>
      <c r="B55" t="s">
        <v>1873</v>
      </c>
      <c r="C55" t="s">
        <v>100</v>
      </c>
      <c r="D55" t="s">
        <v>1874</v>
      </c>
      <c r="E55" t="s">
        <v>1804</v>
      </c>
      <c r="F55" t="s">
        <v>1875</v>
      </c>
      <c r="G55" t="s">
        <v>1875</v>
      </c>
      <c r="H55" t="s">
        <v>1876</v>
      </c>
      <c r="I55" s="5" t="str" cm="1">
        <f t="array" ref="I55">IF(SUM(COUNTIF(Text_Preprocessing__224[[#This Row],[full_text]],{"*makan siang gratis*";"*MBG*";"*makan gratis*";"*makan bergizi gratis*";"*makangratis*";"*makanan gratis*"})),"Relevan","Tidak Relevan")</f>
        <v>Relevan</v>
      </c>
    </row>
    <row r="56" spans="1:9" x14ac:dyDescent="0.35">
      <c r="A56">
        <f t="shared" si="0"/>
        <v>55</v>
      </c>
      <c r="B56" t="s">
        <v>1877</v>
      </c>
      <c r="C56" t="s">
        <v>105</v>
      </c>
      <c r="D56" t="s">
        <v>1878</v>
      </c>
      <c r="E56" t="s">
        <v>1879</v>
      </c>
      <c r="F56" t="s">
        <v>1880</v>
      </c>
      <c r="G56" t="s">
        <v>1880</v>
      </c>
      <c r="H56" t="s">
        <v>1881</v>
      </c>
      <c r="I56" s="5" t="str" cm="1">
        <f t="array" ref="I56">IF(SUM(COUNTIF(Text_Preprocessing__224[[#This Row],[full_text]],{"*makan siang gratis*";"*MBG*";"*makan gratis*";"*makan bergizi gratis*";"*makangratis*";"*makanan gratis*"})),"Relevan","Tidak Relevan")</f>
        <v>Relevan</v>
      </c>
    </row>
    <row r="57" spans="1:9" x14ac:dyDescent="0.35">
      <c r="A57">
        <f t="shared" si="0"/>
        <v>56</v>
      </c>
      <c r="B57" t="s">
        <v>1882</v>
      </c>
      <c r="C57" t="s">
        <v>108</v>
      </c>
      <c r="D57" t="s">
        <v>1883</v>
      </c>
      <c r="E57" t="s">
        <v>1884</v>
      </c>
      <c r="F57" t="s">
        <v>1883</v>
      </c>
      <c r="G57" t="s">
        <v>1883</v>
      </c>
      <c r="H57" t="s">
        <v>1885</v>
      </c>
      <c r="I57" s="5" t="str" cm="1">
        <f t="array" ref="I57">IF(SUM(COUNTIF(Text_Preprocessing__224[[#This Row],[full_text]],{"*makan siang gratis*";"*MBG*";"*makan gratis*";"*makan bergizi gratis*";"*makangratis*";"*makanan gratis*"})),"Relevan","Tidak Relevan")</f>
        <v>Relevan</v>
      </c>
    </row>
    <row r="58" spans="1:9" x14ac:dyDescent="0.35">
      <c r="A58">
        <f t="shared" si="0"/>
        <v>57</v>
      </c>
      <c r="B58" t="s">
        <v>1886</v>
      </c>
      <c r="C58" t="s">
        <v>110</v>
      </c>
      <c r="D58" t="s">
        <v>1887</v>
      </c>
      <c r="E58" t="s">
        <v>1888</v>
      </c>
      <c r="F58" t="s">
        <v>1887</v>
      </c>
      <c r="G58" t="s">
        <v>1889</v>
      </c>
      <c r="H58" t="s">
        <v>1890</v>
      </c>
      <c r="I58" s="5" t="str" cm="1">
        <f t="array" ref="I58">IF(SUM(COUNTIF(Text_Preprocessing__224[[#This Row],[full_text]],{"*makan siang gratis*";"*MBG*";"*makan gratis*";"*makan bergizi gratis*";"*makangratis*";"*makanan gratis*"})),"Relevan","Tidak Relevan")</f>
        <v>Relevan</v>
      </c>
    </row>
    <row r="59" spans="1:9" x14ac:dyDescent="0.35">
      <c r="A59">
        <f t="shared" si="0"/>
        <v>58</v>
      </c>
      <c r="B59" t="s">
        <v>1891</v>
      </c>
      <c r="C59" t="s">
        <v>112</v>
      </c>
      <c r="D59" t="s">
        <v>1892</v>
      </c>
      <c r="E59" t="s">
        <v>1893</v>
      </c>
      <c r="F59" t="s">
        <v>1894</v>
      </c>
      <c r="G59" t="s">
        <v>1894</v>
      </c>
      <c r="H59" t="s">
        <v>1895</v>
      </c>
      <c r="I59" s="5" t="str" cm="1">
        <f t="array" ref="I59">IF(SUM(COUNTIF(Text_Preprocessing__224[[#This Row],[full_text]],{"*makan siang gratis*";"*MBG*";"*makan gratis*";"*makan bergizi gratis*";"*makangratis*";"*makanan gratis*"})),"Relevan","Tidak Relevan")</f>
        <v>Relevan</v>
      </c>
    </row>
    <row r="60" spans="1:9" x14ac:dyDescent="0.35">
      <c r="A60">
        <f t="shared" si="0"/>
        <v>59</v>
      </c>
      <c r="B60" t="s">
        <v>1896</v>
      </c>
      <c r="C60" t="s">
        <v>114</v>
      </c>
      <c r="D60" t="s">
        <v>1897</v>
      </c>
      <c r="E60" t="s">
        <v>1596</v>
      </c>
      <c r="F60" t="s">
        <v>1897</v>
      </c>
      <c r="G60" t="s">
        <v>1897</v>
      </c>
      <c r="H60" t="s">
        <v>1898</v>
      </c>
      <c r="I60" s="5" t="str" cm="1">
        <f t="array" ref="I60">IF(SUM(COUNTIF(Text_Preprocessing__224[[#This Row],[full_text]],{"*makan siang gratis*";"*MBG*";"*makan gratis*";"*makan bergizi gratis*";"*makangratis*";"*makanan gratis*"})),"Relevan","Tidak Relevan")</f>
        <v>Relevan</v>
      </c>
    </row>
    <row r="61" spans="1:9" x14ac:dyDescent="0.35">
      <c r="A61">
        <f t="shared" si="0"/>
        <v>60</v>
      </c>
      <c r="B61" t="s">
        <v>1899</v>
      </c>
      <c r="C61" t="s">
        <v>116</v>
      </c>
      <c r="D61" t="s">
        <v>1900</v>
      </c>
      <c r="E61" t="s">
        <v>1829</v>
      </c>
      <c r="F61" t="s">
        <v>1901</v>
      </c>
      <c r="G61" t="s">
        <v>1902</v>
      </c>
      <c r="H61" t="s">
        <v>1903</v>
      </c>
      <c r="I61" s="5" t="str" cm="1">
        <f t="array" ref="I61">IF(SUM(COUNTIF(Text_Preprocessing__224[[#This Row],[full_text]],{"*makan siang gratis*";"*MBG*";"*makan gratis*";"*makan bergizi gratis*";"*makangratis*";"*makanan gratis*"})),"Relevan","Tidak Relevan")</f>
        <v>Relevan</v>
      </c>
    </row>
    <row r="62" spans="1:9" x14ac:dyDescent="0.35">
      <c r="A62">
        <f t="shared" si="0"/>
        <v>61</v>
      </c>
      <c r="B62" t="s">
        <v>1904</v>
      </c>
      <c r="C62" t="s">
        <v>119</v>
      </c>
      <c r="D62" t="s">
        <v>1905</v>
      </c>
      <c r="E62" t="s">
        <v>1906</v>
      </c>
      <c r="F62" t="s">
        <v>1907</v>
      </c>
      <c r="G62" t="s">
        <v>1907</v>
      </c>
      <c r="H62" t="s">
        <v>1908</v>
      </c>
      <c r="I62" s="5" t="str" cm="1">
        <f t="array" ref="I62">IF(SUM(COUNTIF(Text_Preprocessing__224[[#This Row],[full_text]],{"*makan siang gratis*";"*MBG*";"*makan gratis*";"*makan bergizi gratis*";"*makangratis*";"*makanan gratis*"})),"Relevan","Tidak Relevan")</f>
        <v>Relevan</v>
      </c>
    </row>
    <row r="63" spans="1:9" x14ac:dyDescent="0.35">
      <c r="A63">
        <f t="shared" si="0"/>
        <v>62</v>
      </c>
      <c r="B63" t="s">
        <v>1909</v>
      </c>
      <c r="C63" t="s">
        <v>121</v>
      </c>
      <c r="D63" t="s">
        <v>1910</v>
      </c>
      <c r="E63" t="s">
        <v>1652</v>
      </c>
      <c r="F63" t="s">
        <v>1911</v>
      </c>
      <c r="G63" t="s">
        <v>1911</v>
      </c>
      <c r="H63" t="s">
        <v>1912</v>
      </c>
      <c r="I63" s="5" t="str" cm="1">
        <f t="array" ref="I63">IF(SUM(COUNTIF(Text_Preprocessing__224[[#This Row],[full_text]],{"*makan siang gratis*";"*MBG*";"*makan gratis*";"*makan bergizi gratis*";"*makangratis*";"*makanan gratis*"})),"Relevan","Tidak Relevan")</f>
        <v>Relevan</v>
      </c>
    </row>
    <row r="64" spans="1:9" x14ac:dyDescent="0.35">
      <c r="A64">
        <f t="shared" si="0"/>
        <v>63</v>
      </c>
      <c r="B64" t="s">
        <v>1913</v>
      </c>
      <c r="C64" t="s">
        <v>123</v>
      </c>
      <c r="D64" t="s">
        <v>1914</v>
      </c>
      <c r="E64" t="s">
        <v>1915</v>
      </c>
      <c r="F64" t="s">
        <v>1916</v>
      </c>
      <c r="G64" t="s">
        <v>1916</v>
      </c>
      <c r="H64" t="s">
        <v>1917</v>
      </c>
      <c r="I64" s="5" t="str" cm="1">
        <f t="array" ref="I64">IF(SUM(COUNTIF(Text_Preprocessing__224[[#This Row],[full_text]],{"*makan siang gratis*";"*MBG*";"*makan gratis*";"*makan bergizi gratis*";"*makangratis*";"*makanan gratis*"})),"Relevan","Tidak Relevan")</f>
        <v>Relevan</v>
      </c>
    </row>
    <row r="65" spans="1:9" x14ac:dyDescent="0.35">
      <c r="A65">
        <f t="shared" si="0"/>
        <v>64</v>
      </c>
      <c r="B65" t="s">
        <v>1918</v>
      </c>
      <c r="C65" t="s">
        <v>125</v>
      </c>
      <c r="D65" t="s">
        <v>1919</v>
      </c>
      <c r="E65" t="s">
        <v>1920</v>
      </c>
      <c r="F65" t="s">
        <v>1921</v>
      </c>
      <c r="G65" t="s">
        <v>1921</v>
      </c>
      <c r="H65" t="s">
        <v>1922</v>
      </c>
      <c r="I65" s="5" t="str" cm="1">
        <f t="array" ref="I65">IF(SUM(COUNTIF(Text_Preprocessing__224[[#This Row],[full_text]],{"*makan siang gratis*";"*MBG*";"*makan gratis*";"*makan bergizi gratis*";"*makangratis*";"*makanan gratis*"})),"Relevan","Tidak Relevan")</f>
        <v>Relevan</v>
      </c>
    </row>
    <row r="66" spans="1:9" x14ac:dyDescent="0.35">
      <c r="A66">
        <f t="shared" si="0"/>
        <v>65</v>
      </c>
      <c r="B66" t="s">
        <v>1923</v>
      </c>
      <c r="C66" t="s">
        <v>127</v>
      </c>
      <c r="D66" t="s">
        <v>1924</v>
      </c>
      <c r="E66" t="s">
        <v>1624</v>
      </c>
      <c r="F66" t="s">
        <v>1925</v>
      </c>
      <c r="G66" t="s">
        <v>1925</v>
      </c>
      <c r="H66" t="s">
        <v>1926</v>
      </c>
      <c r="I66" s="5" t="str" cm="1">
        <f t="array" ref="I66">IF(SUM(COUNTIF(Text_Preprocessing__224[[#This Row],[full_text]],{"*makan siang gratis*";"*MBG*";"*makan gratis*";"*makan bergizi gratis*";"*makangratis*";"*makanan gratis*"})),"Relevan","Tidak Relevan")</f>
        <v>Relevan</v>
      </c>
    </row>
    <row r="67" spans="1:9" x14ac:dyDescent="0.35">
      <c r="A67">
        <f t="shared" si="0"/>
        <v>66</v>
      </c>
      <c r="B67" t="s">
        <v>1927</v>
      </c>
      <c r="C67" t="s">
        <v>129</v>
      </c>
      <c r="D67" t="s">
        <v>1928</v>
      </c>
      <c r="E67" t="s">
        <v>1929</v>
      </c>
      <c r="F67" t="s">
        <v>1930</v>
      </c>
      <c r="G67" t="s">
        <v>1931</v>
      </c>
      <c r="H67" t="s">
        <v>1932</v>
      </c>
      <c r="I67" s="5" t="str" cm="1">
        <f t="array" ref="I67">IF(SUM(COUNTIF(Text_Preprocessing__224[[#This Row],[full_text]],{"*makan siang gratis*";"*MBG*";"*makan gratis*";"*makan bergizi gratis*";"*makangratis*";"*makanan gratis*"})),"Relevan","Tidak Relevan")</f>
        <v>Relevan</v>
      </c>
    </row>
    <row r="68" spans="1:9" x14ac:dyDescent="0.35">
      <c r="A68">
        <f t="shared" ref="A68:A131" si="1">SUM(A67+1)</f>
        <v>67</v>
      </c>
      <c r="B68" t="s">
        <v>1933</v>
      </c>
      <c r="C68" t="s">
        <v>93</v>
      </c>
      <c r="D68" t="s">
        <v>1934</v>
      </c>
      <c r="E68" t="s">
        <v>1596</v>
      </c>
      <c r="F68" t="s">
        <v>1935</v>
      </c>
      <c r="G68" t="s">
        <v>1935</v>
      </c>
      <c r="H68" t="s">
        <v>1936</v>
      </c>
      <c r="I68" s="5" t="str" cm="1">
        <f t="array" ref="I68">IF(SUM(COUNTIF(Text_Preprocessing__224[[#This Row],[full_text]],{"*makan siang gratis*";"*MBG*";"*makan gratis*";"*makan bergizi gratis*";"*makangratis*";"*makanan gratis*"})),"Relevan","Tidak Relevan")</f>
        <v>Relevan</v>
      </c>
    </row>
    <row r="69" spans="1:9" x14ac:dyDescent="0.35">
      <c r="A69">
        <f t="shared" si="1"/>
        <v>68</v>
      </c>
      <c r="B69" t="s">
        <v>1937</v>
      </c>
      <c r="C69" t="s">
        <v>133</v>
      </c>
      <c r="D69" t="s">
        <v>1938</v>
      </c>
      <c r="E69" t="s">
        <v>1596</v>
      </c>
      <c r="F69" t="s">
        <v>1938</v>
      </c>
      <c r="G69" t="s">
        <v>1938</v>
      </c>
      <c r="H69" t="s">
        <v>1939</v>
      </c>
      <c r="I69" s="5" t="str" cm="1">
        <f t="array" ref="I69">IF(SUM(COUNTIF(Text_Preprocessing__224[[#This Row],[full_text]],{"*makan siang gratis*";"*MBG*";"*makan gratis*";"*makan bergizi gratis*";"*makangratis*";"*makanan gratis*"})),"Relevan","Tidak Relevan")</f>
        <v>Relevan</v>
      </c>
    </row>
    <row r="70" spans="1:9" x14ac:dyDescent="0.35">
      <c r="A70">
        <f t="shared" si="1"/>
        <v>69</v>
      </c>
      <c r="B70" t="s">
        <v>1940</v>
      </c>
      <c r="C70" t="s">
        <v>135</v>
      </c>
      <c r="D70" t="s">
        <v>1941</v>
      </c>
      <c r="E70" t="s">
        <v>1692</v>
      </c>
      <c r="F70" t="s">
        <v>1942</v>
      </c>
      <c r="G70" t="s">
        <v>1942</v>
      </c>
      <c r="H70" t="s">
        <v>1943</v>
      </c>
      <c r="I70" s="5" t="str" cm="1">
        <f t="array" ref="I70">IF(SUM(COUNTIF(Text_Preprocessing__224[[#This Row],[full_text]],{"*makan siang gratis*";"*MBG*";"*makan gratis*";"*makan bergizi gratis*";"*makangratis*";"*makanan gratis*"})),"Relevan","Tidak Relevan")</f>
        <v>Relevan</v>
      </c>
    </row>
    <row r="71" spans="1:9" x14ac:dyDescent="0.35">
      <c r="A71">
        <f t="shared" si="1"/>
        <v>70</v>
      </c>
      <c r="B71" t="s">
        <v>1944</v>
      </c>
      <c r="C71" t="s">
        <v>137</v>
      </c>
      <c r="D71" t="s">
        <v>1945</v>
      </c>
      <c r="E71" t="s">
        <v>1946</v>
      </c>
      <c r="F71" t="s">
        <v>1947</v>
      </c>
      <c r="G71" t="s">
        <v>1947</v>
      </c>
      <c r="H71" t="s">
        <v>1948</v>
      </c>
      <c r="I71" s="5" t="str" cm="1">
        <f t="array" ref="I71">IF(SUM(COUNTIF(Text_Preprocessing__224[[#This Row],[full_text]],{"*makan siang gratis*";"*MBG*";"*makan gratis*";"*makan bergizi gratis*";"*makangratis*";"*makanan gratis*"})),"Relevan","Tidak Relevan")</f>
        <v>Relevan</v>
      </c>
    </row>
    <row r="72" spans="1:9" x14ac:dyDescent="0.35">
      <c r="A72">
        <f t="shared" si="1"/>
        <v>71</v>
      </c>
      <c r="B72" t="s">
        <v>1949</v>
      </c>
      <c r="C72" t="s">
        <v>139</v>
      </c>
      <c r="D72" t="s">
        <v>1950</v>
      </c>
      <c r="E72" t="s">
        <v>1951</v>
      </c>
      <c r="F72" t="s">
        <v>1952</v>
      </c>
      <c r="G72" t="s">
        <v>1952</v>
      </c>
      <c r="H72" t="s">
        <v>1953</v>
      </c>
      <c r="I72" s="5" t="str" cm="1">
        <f t="array" ref="I72">IF(SUM(COUNTIF(Text_Preprocessing__224[[#This Row],[full_text]],{"*makan siang gratis*";"*MBG*";"*makan gratis*";"*makan bergizi gratis*";"*makangratis*";"*makanan gratis*"})),"Relevan","Tidak Relevan")</f>
        <v>Relevan</v>
      </c>
    </row>
    <row r="73" spans="1:9" x14ac:dyDescent="0.35">
      <c r="A73">
        <f t="shared" si="1"/>
        <v>72</v>
      </c>
      <c r="B73" t="s">
        <v>1954</v>
      </c>
      <c r="C73" t="s">
        <v>141</v>
      </c>
      <c r="D73" t="s">
        <v>1955</v>
      </c>
      <c r="E73" t="s">
        <v>1730</v>
      </c>
      <c r="F73" t="s">
        <v>1956</v>
      </c>
      <c r="G73" t="s">
        <v>1956</v>
      </c>
      <c r="H73" t="s">
        <v>1957</v>
      </c>
      <c r="I73" s="5" t="str" cm="1">
        <f t="array" ref="I73">IF(SUM(COUNTIF(Text_Preprocessing__224[[#This Row],[full_text]],{"*makan siang gratis*";"*MBG*";"*makan gratis*";"*makan bergizi gratis*";"*makangratis*";"*makanan gratis*"})),"Relevan","Tidak Relevan")</f>
        <v>Relevan</v>
      </c>
    </row>
    <row r="74" spans="1:9" x14ac:dyDescent="0.35">
      <c r="A74">
        <f t="shared" si="1"/>
        <v>73</v>
      </c>
      <c r="B74" t="s">
        <v>1958</v>
      </c>
      <c r="C74" t="s">
        <v>143</v>
      </c>
      <c r="D74" t="s">
        <v>1959</v>
      </c>
      <c r="E74" t="s">
        <v>1893</v>
      </c>
      <c r="F74" t="s">
        <v>1960</v>
      </c>
      <c r="G74" t="s">
        <v>1960</v>
      </c>
      <c r="H74" t="s">
        <v>1961</v>
      </c>
      <c r="I74" s="5" t="str" cm="1">
        <f t="array" ref="I74">IF(SUM(COUNTIF(Text_Preprocessing__224[[#This Row],[full_text]],{"*makan siang gratis*";"*MBG*";"*makan gratis*";"*makan bergizi gratis*";"*makangratis*";"*makanan gratis*"})),"Relevan","Tidak Relevan")</f>
        <v>Relevan</v>
      </c>
    </row>
    <row r="75" spans="1:9" x14ac:dyDescent="0.35">
      <c r="A75">
        <f t="shared" si="1"/>
        <v>74</v>
      </c>
      <c r="B75" t="s">
        <v>1962</v>
      </c>
      <c r="C75" t="s">
        <v>143</v>
      </c>
      <c r="D75" t="s">
        <v>1963</v>
      </c>
      <c r="E75" t="s">
        <v>1964</v>
      </c>
      <c r="F75" t="s">
        <v>1965</v>
      </c>
      <c r="G75" t="s">
        <v>1965</v>
      </c>
      <c r="H75" t="s">
        <v>1966</v>
      </c>
      <c r="I75" s="5" t="str" cm="1">
        <f t="array" ref="I75">IF(SUM(COUNTIF(Text_Preprocessing__224[[#This Row],[full_text]],{"*makan siang gratis*";"*MBG*";"*makan gratis*";"*makan bergizi gratis*";"*makangratis*";"*makanan gratis*"})),"Relevan","Tidak Relevan")</f>
        <v>Relevan</v>
      </c>
    </row>
    <row r="76" spans="1:9" x14ac:dyDescent="0.35">
      <c r="A76">
        <f t="shared" si="1"/>
        <v>75</v>
      </c>
      <c r="B76" t="s">
        <v>1967</v>
      </c>
      <c r="C76" t="s">
        <v>143</v>
      </c>
      <c r="D76" t="s">
        <v>1968</v>
      </c>
      <c r="E76" t="s">
        <v>1893</v>
      </c>
      <c r="F76" t="s">
        <v>1969</v>
      </c>
      <c r="G76" t="s">
        <v>1969</v>
      </c>
      <c r="H76" t="s">
        <v>1970</v>
      </c>
      <c r="I76" s="5" t="str" cm="1">
        <f t="array" ref="I76">IF(SUM(COUNTIF(Text_Preprocessing__224[[#This Row],[full_text]],{"*makan siang gratis*";"*MBG*";"*makan gratis*";"*makan bergizi gratis*";"*makangratis*";"*makanan gratis*"})),"Relevan","Tidak Relevan")</f>
        <v>Relevan</v>
      </c>
    </row>
    <row r="77" spans="1:9" x14ac:dyDescent="0.35">
      <c r="A77">
        <f t="shared" si="1"/>
        <v>76</v>
      </c>
      <c r="B77" t="s">
        <v>1971</v>
      </c>
      <c r="C77" t="s">
        <v>149</v>
      </c>
      <c r="D77" t="s">
        <v>1972</v>
      </c>
      <c r="E77" t="s">
        <v>1973</v>
      </c>
      <c r="F77" t="s">
        <v>1974</v>
      </c>
      <c r="G77" t="s">
        <v>1974</v>
      </c>
      <c r="H77" t="s">
        <v>1975</v>
      </c>
      <c r="I77" s="5" t="str" cm="1">
        <f t="array" ref="I77">IF(SUM(COUNTIF(Text_Preprocessing__224[[#This Row],[full_text]],{"*makan siang gratis*";"*MBG*";"*makan gratis*";"*makan bergizi gratis*";"*makangratis*";"*makanan gratis*"})),"Relevan","Tidak Relevan")</f>
        <v>Relevan</v>
      </c>
    </row>
    <row r="78" spans="1:9" x14ac:dyDescent="0.35">
      <c r="A78">
        <f t="shared" si="1"/>
        <v>77</v>
      </c>
      <c r="B78" t="s">
        <v>1976</v>
      </c>
      <c r="C78" t="s">
        <v>143</v>
      </c>
      <c r="D78" t="s">
        <v>1977</v>
      </c>
      <c r="E78" t="s">
        <v>1724</v>
      </c>
      <c r="F78" t="s">
        <v>1978</v>
      </c>
      <c r="G78" t="s">
        <v>1978</v>
      </c>
      <c r="H78" t="s">
        <v>1979</v>
      </c>
      <c r="I78" s="5" t="str" cm="1">
        <f t="array" ref="I78">IF(SUM(COUNTIF(Text_Preprocessing__224[[#This Row],[full_text]],{"*makan siang gratis*";"*MBG*";"*makan gratis*";"*makan bergizi gratis*";"*makangratis*";"*makanan gratis*"})),"Relevan","Tidak Relevan")</f>
        <v>Relevan</v>
      </c>
    </row>
    <row r="79" spans="1:9" x14ac:dyDescent="0.35">
      <c r="A79">
        <f t="shared" si="1"/>
        <v>78</v>
      </c>
      <c r="B79" t="s">
        <v>1980</v>
      </c>
      <c r="C79" t="s">
        <v>143</v>
      </c>
      <c r="D79" t="s">
        <v>1981</v>
      </c>
      <c r="E79" t="s">
        <v>1692</v>
      </c>
      <c r="F79" t="s">
        <v>1982</v>
      </c>
      <c r="G79" t="s">
        <v>1982</v>
      </c>
      <c r="H79" t="s">
        <v>1983</v>
      </c>
      <c r="I79" s="5" t="str" cm="1">
        <f t="array" ref="I79">IF(SUM(COUNTIF(Text_Preprocessing__224[[#This Row],[full_text]],{"*makan siang gratis*";"*MBG*";"*makan gratis*";"*makan bergizi gratis*";"*makangratis*";"*makanan gratis*"})),"Relevan","Tidak Relevan")</f>
        <v>Relevan</v>
      </c>
    </row>
    <row r="80" spans="1:9" x14ac:dyDescent="0.35">
      <c r="A80">
        <f t="shared" si="1"/>
        <v>79</v>
      </c>
      <c r="B80" t="s">
        <v>1984</v>
      </c>
      <c r="C80" t="s">
        <v>153</v>
      </c>
      <c r="D80" t="s">
        <v>1985</v>
      </c>
      <c r="E80" t="s">
        <v>1804</v>
      </c>
      <c r="F80" t="s">
        <v>1986</v>
      </c>
      <c r="G80" t="s">
        <v>1986</v>
      </c>
      <c r="H80" t="s">
        <v>1987</v>
      </c>
      <c r="I80" s="5" t="str" cm="1">
        <f t="array" ref="I80">IF(SUM(COUNTIF(Text_Preprocessing__224[[#This Row],[full_text]],{"*makan siang gratis*";"*MBG*";"*makan gratis*";"*makan bergizi gratis*";"*makangratis*";"*makanan gratis*"})),"Relevan","Tidak Relevan")</f>
        <v>Relevan</v>
      </c>
    </row>
    <row r="81" spans="1:10" x14ac:dyDescent="0.35">
      <c r="A81">
        <f t="shared" si="1"/>
        <v>80</v>
      </c>
      <c r="B81" t="s">
        <v>1988</v>
      </c>
      <c r="C81" t="s">
        <v>157</v>
      </c>
      <c r="D81" t="s">
        <v>1989</v>
      </c>
      <c r="E81" t="s">
        <v>1990</v>
      </c>
      <c r="F81" t="s">
        <v>1991</v>
      </c>
      <c r="G81" t="s">
        <v>1991</v>
      </c>
      <c r="H81" t="s">
        <v>1992</v>
      </c>
      <c r="I81" s="5" t="str" cm="1">
        <f t="array" ref="I81">IF(SUM(COUNTIF(Text_Preprocessing__224[[#This Row],[full_text]],{"*makan siang gratis*";"*MBG*";"*makan gratis*";"*makan bergizi gratis*";"*makangratis*";"*makanan gratis*"})),"Relevan","Tidak Relevan")</f>
        <v>Relevan</v>
      </c>
    </row>
    <row r="82" spans="1:10" x14ac:dyDescent="0.35">
      <c r="A82">
        <f t="shared" si="1"/>
        <v>81</v>
      </c>
      <c r="B82" t="s">
        <v>1993</v>
      </c>
      <c r="C82" t="s">
        <v>159</v>
      </c>
      <c r="D82" t="s">
        <v>1994</v>
      </c>
      <c r="E82" t="s">
        <v>1735</v>
      </c>
      <c r="F82" t="s">
        <v>1995</v>
      </c>
      <c r="G82" t="s">
        <v>1995</v>
      </c>
      <c r="H82" t="s">
        <v>1996</v>
      </c>
      <c r="I82" s="5" t="str" cm="1">
        <f t="array" ref="I82">IF(SUM(COUNTIF(Text_Preprocessing__224[[#This Row],[full_text]],{"*makan siang gratis*";"*MBG*";"*makan gratis*";"*makan bergizi gratis*";"*makangratis*";"*makanan gratis*"})),"Relevan","Tidak Relevan")</f>
        <v>Relevan</v>
      </c>
    </row>
    <row r="83" spans="1:10" x14ac:dyDescent="0.35">
      <c r="A83">
        <f t="shared" si="1"/>
        <v>82</v>
      </c>
      <c r="B83" t="s">
        <v>1997</v>
      </c>
      <c r="C83" t="s">
        <v>161</v>
      </c>
      <c r="D83" t="s">
        <v>1998</v>
      </c>
      <c r="E83" t="s">
        <v>1999</v>
      </c>
      <c r="F83" t="s">
        <v>2000</v>
      </c>
      <c r="G83" t="s">
        <v>2000</v>
      </c>
      <c r="H83" t="s">
        <v>2001</v>
      </c>
      <c r="I83" s="5" t="str" cm="1">
        <f t="array" ref="I83">IF(SUM(COUNTIF(Text_Preprocessing__224[[#This Row],[full_text]],{"*makan siang gratis*";"*MBG*";"*makan gratis*";"*makan bergizi gratis*";"*makangratis*";"*makanan gratis*"})),"Relevan","Tidak Relevan")</f>
        <v>Relevan</v>
      </c>
    </row>
    <row r="84" spans="1:10" x14ac:dyDescent="0.35">
      <c r="A84">
        <f t="shared" si="1"/>
        <v>83</v>
      </c>
      <c r="B84" t="s">
        <v>2002</v>
      </c>
      <c r="C84" t="s">
        <v>102</v>
      </c>
      <c r="D84" t="s">
        <v>2003</v>
      </c>
      <c r="E84" t="s">
        <v>1613</v>
      </c>
      <c r="F84" t="s">
        <v>2004</v>
      </c>
      <c r="G84" t="s">
        <v>2004</v>
      </c>
      <c r="H84" t="s">
        <v>2005</v>
      </c>
      <c r="I84" s="5" t="str" cm="1">
        <f t="array" ref="I84">IF(SUM(COUNTIF(Text_Preprocessing__224[[#This Row],[full_text]],{"*makan siang gratis*";"*MBG*";"*makan gratis*";"*makan bergizi gratis*";"*makangratis*";"*makanan gratis*"})),"Relevan","Tidak Relevan")</f>
        <v>Relevan</v>
      </c>
    </row>
    <row r="85" spans="1:10" x14ac:dyDescent="0.35">
      <c r="A85">
        <f t="shared" si="1"/>
        <v>84</v>
      </c>
      <c r="B85" t="s">
        <v>2006</v>
      </c>
      <c r="C85" t="s">
        <v>125</v>
      </c>
      <c r="D85" t="s">
        <v>2007</v>
      </c>
      <c r="E85" t="s">
        <v>2008</v>
      </c>
      <c r="F85" t="s">
        <v>2009</v>
      </c>
      <c r="G85" t="s">
        <v>2009</v>
      </c>
      <c r="H85" t="s">
        <v>2010</v>
      </c>
      <c r="I85" s="5" t="str" cm="1">
        <f t="array" ref="I85">IF(SUM(COUNTIF(Text_Preprocessing__224[[#This Row],[full_text]],{"*makan siang gratis*";"*MBG*";"*makan gratis*";"*makan bergizi gratis*";"*makangratis*";"*makanan gratis*"})),"Relevan","Tidak Relevan")</f>
        <v>Relevan</v>
      </c>
    </row>
    <row r="86" spans="1:10" x14ac:dyDescent="0.35">
      <c r="A86">
        <f t="shared" si="1"/>
        <v>85</v>
      </c>
      <c r="B86" t="s">
        <v>2011</v>
      </c>
      <c r="C86" t="s">
        <v>137</v>
      </c>
      <c r="D86" t="s">
        <v>2012</v>
      </c>
      <c r="E86" t="s">
        <v>1613</v>
      </c>
      <c r="F86" t="s">
        <v>2013</v>
      </c>
      <c r="G86" t="s">
        <v>2014</v>
      </c>
      <c r="H86" t="s">
        <v>2015</v>
      </c>
      <c r="I86" s="5" t="str" cm="1">
        <f t="array" ref="I86">IF(SUM(COUNTIF(Text_Preprocessing__224[[#This Row],[full_text]],{"*makan siang gratis*";"*MBG*";"*makan gratis*";"*makan bergizi gratis*";"*makangratis*";"*makanan gratis*"})),"Relevan","Tidak Relevan")</f>
        <v>Tidak Relevan</v>
      </c>
      <c r="J86" t="s">
        <v>3622</v>
      </c>
    </row>
    <row r="87" spans="1:10" x14ac:dyDescent="0.35">
      <c r="A87">
        <f t="shared" si="1"/>
        <v>86</v>
      </c>
      <c r="B87" t="s">
        <v>2016</v>
      </c>
      <c r="C87" t="s">
        <v>166</v>
      </c>
      <c r="D87" t="s">
        <v>2017</v>
      </c>
      <c r="E87" t="s">
        <v>1844</v>
      </c>
      <c r="F87" t="s">
        <v>2018</v>
      </c>
      <c r="G87" t="s">
        <v>2018</v>
      </c>
      <c r="H87" t="s">
        <v>2019</v>
      </c>
      <c r="I87" s="5" t="str" cm="1">
        <f t="array" ref="I87">IF(SUM(COUNTIF(Text_Preprocessing__224[[#This Row],[full_text]],{"*makan siang gratis*";"*MBG*";"*makan gratis*";"*makan bergizi gratis*";"*makangratis*";"*makanan gratis*"})),"Relevan","Tidak Relevan")</f>
        <v>Relevan</v>
      </c>
    </row>
    <row r="88" spans="1:10" x14ac:dyDescent="0.35">
      <c r="A88">
        <f t="shared" si="1"/>
        <v>87</v>
      </c>
      <c r="B88" t="s">
        <v>2020</v>
      </c>
      <c r="C88" t="s">
        <v>168</v>
      </c>
      <c r="D88" t="s">
        <v>2021</v>
      </c>
      <c r="E88" t="s">
        <v>2022</v>
      </c>
      <c r="F88" t="s">
        <v>2023</v>
      </c>
      <c r="G88" t="s">
        <v>2024</v>
      </c>
      <c r="H88" t="s">
        <v>2025</v>
      </c>
      <c r="I88" s="5" t="str" cm="1">
        <f t="array" ref="I88">IF(SUM(COUNTIF(Text_Preprocessing__224[[#This Row],[full_text]],{"*makan siang gratis*";"*MBG*";"*makan gratis*";"*makan bergizi gratis*";"*makangratis*";"*makanan gratis*"})),"Relevan","Tidak Relevan")</f>
        <v>Relevan</v>
      </c>
    </row>
    <row r="89" spans="1:10" x14ac:dyDescent="0.35">
      <c r="A89">
        <f t="shared" si="1"/>
        <v>88</v>
      </c>
      <c r="B89" t="s">
        <v>2026</v>
      </c>
      <c r="C89" t="s">
        <v>170</v>
      </c>
      <c r="D89" t="s">
        <v>2027</v>
      </c>
      <c r="E89" t="s">
        <v>1596</v>
      </c>
      <c r="F89" t="s">
        <v>2028</v>
      </c>
      <c r="G89" t="s">
        <v>2028</v>
      </c>
      <c r="H89" t="s">
        <v>2029</v>
      </c>
      <c r="I89" s="5" t="str" cm="1">
        <f t="array" ref="I89">IF(SUM(COUNTIF(Text_Preprocessing__224[[#This Row],[full_text]],{"*makan siang gratis*";"*MBG*";"*makan gratis*";"*makan bergizi gratis*";"*makangratis*";"*makanan gratis*"})),"Relevan","Tidak Relevan")</f>
        <v>Relevan</v>
      </c>
    </row>
    <row r="90" spans="1:10" x14ac:dyDescent="0.35">
      <c r="A90">
        <f t="shared" si="1"/>
        <v>89</v>
      </c>
      <c r="B90" t="s">
        <v>2030</v>
      </c>
      <c r="C90" t="s">
        <v>172</v>
      </c>
      <c r="D90" t="s">
        <v>2031</v>
      </c>
      <c r="E90" t="s">
        <v>1652</v>
      </c>
      <c r="F90" t="s">
        <v>2032</v>
      </c>
      <c r="G90" t="s">
        <v>2032</v>
      </c>
      <c r="H90" t="s">
        <v>2033</v>
      </c>
      <c r="I90" s="5" t="str" cm="1">
        <f t="array" ref="I90">IF(SUM(COUNTIF(Text_Preprocessing__224[[#This Row],[full_text]],{"*makan siang gratis*";"*MBG*";"*makan gratis*";"*makan bergizi gratis*";"*makangratis*";"*makanan gratis*"})),"Relevan","Tidak Relevan")</f>
        <v>Tidak Relevan</v>
      </c>
      <c r="J90" t="s">
        <v>3622</v>
      </c>
    </row>
    <row r="91" spans="1:10" x14ac:dyDescent="0.35">
      <c r="A91">
        <f t="shared" si="1"/>
        <v>90</v>
      </c>
      <c r="B91" t="s">
        <v>2034</v>
      </c>
      <c r="C91" t="s">
        <v>174</v>
      </c>
      <c r="D91" t="s">
        <v>2035</v>
      </c>
      <c r="E91" t="s">
        <v>2036</v>
      </c>
      <c r="F91" t="s">
        <v>2037</v>
      </c>
      <c r="G91" t="s">
        <v>2037</v>
      </c>
      <c r="H91" t="s">
        <v>2038</v>
      </c>
      <c r="I91" s="5" t="str" cm="1">
        <f t="array" ref="I91">IF(SUM(COUNTIF(Text_Preprocessing__224[[#This Row],[full_text]],{"*makan siang gratis*";"*MBG*";"*makan gratis*";"*makan bergizi gratis*";"*makangratis*";"*makanan gratis*"})),"Relevan","Tidak Relevan")</f>
        <v>Relevan</v>
      </c>
    </row>
    <row r="92" spans="1:10" x14ac:dyDescent="0.35">
      <c r="A92">
        <f t="shared" si="1"/>
        <v>91</v>
      </c>
      <c r="B92" t="s">
        <v>2039</v>
      </c>
      <c r="C92" t="s">
        <v>176</v>
      </c>
      <c r="D92" t="s">
        <v>2040</v>
      </c>
      <c r="E92" t="s">
        <v>2041</v>
      </c>
      <c r="F92" t="s">
        <v>2042</v>
      </c>
      <c r="G92" t="s">
        <v>2043</v>
      </c>
      <c r="H92" t="s">
        <v>2044</v>
      </c>
      <c r="I92" s="5" t="str" cm="1">
        <f t="array" ref="I92">IF(SUM(COUNTIF(Text_Preprocessing__224[[#This Row],[full_text]],{"*makan siang gratis*";"*MBG*";"*makan gratis*";"*makan bergizi gratis*";"*makangratis*";"*makanan gratis*"})),"Relevan","Tidak Relevan")</f>
        <v>Relevan</v>
      </c>
    </row>
    <row r="93" spans="1:10" x14ac:dyDescent="0.35">
      <c r="A93">
        <f t="shared" si="1"/>
        <v>92</v>
      </c>
      <c r="B93" t="s">
        <v>2045</v>
      </c>
      <c r="C93" t="s">
        <v>143</v>
      </c>
      <c r="D93" t="s">
        <v>2046</v>
      </c>
      <c r="E93" t="s">
        <v>1929</v>
      </c>
      <c r="F93" t="s">
        <v>2047</v>
      </c>
      <c r="G93" t="s">
        <v>2048</v>
      </c>
      <c r="H93" t="s">
        <v>2049</v>
      </c>
      <c r="I93" s="5" t="str" cm="1">
        <f t="array" ref="I93">IF(SUM(COUNTIF(Text_Preprocessing__224[[#This Row],[full_text]],{"*makan siang gratis*";"*MBG*";"*makan gratis*";"*makan bergizi gratis*";"*makangratis*";"*makanan gratis*"})),"Relevan","Tidak Relevan")</f>
        <v>Relevan</v>
      </c>
    </row>
    <row r="94" spans="1:10" x14ac:dyDescent="0.35">
      <c r="A94">
        <f t="shared" si="1"/>
        <v>93</v>
      </c>
      <c r="B94" t="s">
        <v>2050</v>
      </c>
      <c r="C94" t="s">
        <v>137</v>
      </c>
      <c r="D94" t="s">
        <v>2051</v>
      </c>
      <c r="E94" t="s">
        <v>2052</v>
      </c>
      <c r="F94" t="s">
        <v>2053</v>
      </c>
      <c r="G94" t="s">
        <v>2053</v>
      </c>
      <c r="H94" t="s">
        <v>2054</v>
      </c>
      <c r="I94" s="5" t="str" cm="1">
        <f t="array" ref="I94">IF(SUM(COUNTIF(Text_Preprocessing__224[[#This Row],[full_text]],{"*makan siang gratis*";"*MBG*";"*makan gratis*";"*makan bergizi gratis*";"*makangratis*";"*makanan gratis*"})),"Relevan","Tidak Relevan")</f>
        <v>Relevan</v>
      </c>
    </row>
    <row r="95" spans="1:10" x14ac:dyDescent="0.35">
      <c r="A95">
        <f t="shared" si="1"/>
        <v>94</v>
      </c>
      <c r="B95" t="s">
        <v>2055</v>
      </c>
      <c r="C95" t="s">
        <v>180</v>
      </c>
      <c r="D95" t="s">
        <v>2056</v>
      </c>
      <c r="E95" t="s">
        <v>2008</v>
      </c>
      <c r="F95" t="s">
        <v>2057</v>
      </c>
      <c r="G95" t="s">
        <v>2057</v>
      </c>
      <c r="H95" t="s">
        <v>2058</v>
      </c>
      <c r="I95" s="5" t="str" cm="1">
        <f t="array" ref="I95">IF(SUM(COUNTIF(Text_Preprocessing__224[[#This Row],[full_text]],{"*makan siang gratis*";"*MBG*";"*makan gratis*";"*makan bergizi gratis*";"*makangratis*";"*makanan gratis*"})),"Relevan","Tidak Relevan")</f>
        <v>Relevan</v>
      </c>
    </row>
    <row r="96" spans="1:10" x14ac:dyDescent="0.35">
      <c r="A96">
        <f t="shared" si="1"/>
        <v>95</v>
      </c>
      <c r="B96" t="s">
        <v>2059</v>
      </c>
      <c r="C96" t="s">
        <v>182</v>
      </c>
      <c r="D96" t="s">
        <v>2060</v>
      </c>
      <c r="E96" t="s">
        <v>1692</v>
      </c>
      <c r="F96" t="s">
        <v>2061</v>
      </c>
      <c r="G96" t="s">
        <v>2061</v>
      </c>
      <c r="H96" t="s">
        <v>2062</v>
      </c>
      <c r="I96" s="5" t="str" cm="1">
        <f t="array" ref="I96">IF(SUM(COUNTIF(Text_Preprocessing__224[[#This Row],[full_text]],{"*makan siang gratis*";"*MBG*";"*makan gratis*";"*makan bergizi gratis*";"*makangratis*";"*makanan gratis*"})),"Relevan","Tidak Relevan")</f>
        <v>Relevan</v>
      </c>
    </row>
    <row r="97" spans="1:9" x14ac:dyDescent="0.35">
      <c r="A97">
        <f t="shared" si="1"/>
        <v>96</v>
      </c>
      <c r="B97" t="s">
        <v>2063</v>
      </c>
      <c r="C97" t="s">
        <v>172</v>
      </c>
      <c r="D97" t="s">
        <v>2064</v>
      </c>
      <c r="E97" t="s">
        <v>1674</v>
      </c>
      <c r="F97" t="s">
        <v>2065</v>
      </c>
      <c r="G97" t="s">
        <v>2065</v>
      </c>
      <c r="H97" t="s">
        <v>2066</v>
      </c>
      <c r="I97" s="5" t="str" cm="1">
        <f t="array" ref="I97">IF(SUM(COUNTIF(Text_Preprocessing__224[[#This Row],[full_text]],{"*makan siang gratis*";"*MBG*";"*makan gratis*";"*makan bergizi gratis*";"*makangratis*";"*makanan gratis*"})),"Relevan","Tidak Relevan")</f>
        <v>Relevan</v>
      </c>
    </row>
    <row r="98" spans="1:9" x14ac:dyDescent="0.35">
      <c r="A98">
        <f t="shared" si="1"/>
        <v>97</v>
      </c>
      <c r="B98" t="s">
        <v>2067</v>
      </c>
      <c r="C98" t="s">
        <v>185</v>
      </c>
      <c r="D98" t="s">
        <v>2068</v>
      </c>
      <c r="E98" t="s">
        <v>2069</v>
      </c>
      <c r="F98" t="s">
        <v>2070</v>
      </c>
      <c r="G98" t="s">
        <v>2070</v>
      </c>
      <c r="H98" t="s">
        <v>2071</v>
      </c>
      <c r="I98" s="5" t="str" cm="1">
        <f t="array" ref="I98">IF(SUM(COUNTIF(Text_Preprocessing__224[[#This Row],[full_text]],{"*makan siang gratis*";"*MBG*";"*makan gratis*";"*makan bergizi gratis*";"*makangratis*";"*makanan gratis*"})),"Relevan","Tidak Relevan")</f>
        <v>Relevan</v>
      </c>
    </row>
    <row r="99" spans="1:9" x14ac:dyDescent="0.35">
      <c r="A99">
        <f t="shared" si="1"/>
        <v>98</v>
      </c>
      <c r="B99" t="s">
        <v>2072</v>
      </c>
      <c r="C99" t="s">
        <v>76</v>
      </c>
      <c r="D99" t="s">
        <v>2073</v>
      </c>
      <c r="E99" t="s">
        <v>2074</v>
      </c>
      <c r="F99" t="s">
        <v>2075</v>
      </c>
      <c r="G99" t="s">
        <v>2075</v>
      </c>
      <c r="H99" t="s">
        <v>2076</v>
      </c>
      <c r="I99" s="5" t="str" cm="1">
        <f t="array" ref="I99">IF(SUM(COUNTIF(Text_Preprocessing__224[[#This Row],[full_text]],{"*makan siang gratis*";"*MBG*";"*makan gratis*";"*makan bergizi gratis*";"*makangratis*";"*makanan gratis*"})),"Relevan","Tidak Relevan")</f>
        <v>Relevan</v>
      </c>
    </row>
    <row r="100" spans="1:9" x14ac:dyDescent="0.35">
      <c r="A100">
        <f t="shared" si="1"/>
        <v>99</v>
      </c>
      <c r="B100" t="s">
        <v>2077</v>
      </c>
      <c r="C100" t="s">
        <v>182</v>
      </c>
      <c r="D100" t="s">
        <v>2078</v>
      </c>
      <c r="E100" t="s">
        <v>1809</v>
      </c>
      <c r="F100" t="s">
        <v>2078</v>
      </c>
      <c r="G100" t="s">
        <v>2078</v>
      </c>
      <c r="H100" t="s">
        <v>2079</v>
      </c>
      <c r="I100" s="5" t="str" cm="1">
        <f t="array" ref="I100">IF(SUM(COUNTIF(Text_Preprocessing__224[[#This Row],[full_text]],{"*makan siang gratis*";"*MBG*";"*makan gratis*";"*makan bergizi gratis*";"*makangratis*";"*makanan gratis*"})),"Relevan","Tidak Relevan")</f>
        <v>Relevan</v>
      </c>
    </row>
    <row r="101" spans="1:9" x14ac:dyDescent="0.35">
      <c r="A101">
        <f t="shared" si="1"/>
        <v>100</v>
      </c>
      <c r="B101" t="s">
        <v>2080</v>
      </c>
      <c r="C101" t="s">
        <v>189</v>
      </c>
      <c r="D101" t="s">
        <v>2081</v>
      </c>
      <c r="E101" t="s">
        <v>2082</v>
      </c>
      <c r="F101" t="s">
        <v>2083</v>
      </c>
      <c r="G101" t="s">
        <v>2084</v>
      </c>
      <c r="H101" t="s">
        <v>2085</v>
      </c>
      <c r="I101" s="5" t="str" cm="1">
        <f t="array" ref="I101">IF(SUM(COUNTIF(Text_Preprocessing__224[[#This Row],[full_text]],{"*makan siang gratis*";"*MBG*";"*makan gratis*";"*makan bergizi gratis*";"*makangratis*";"*makanan gratis*"})),"Relevan","Tidak Relevan")</f>
        <v>Relevan</v>
      </c>
    </row>
    <row r="102" spans="1:9" x14ac:dyDescent="0.35">
      <c r="A102">
        <f t="shared" si="1"/>
        <v>101</v>
      </c>
      <c r="B102" t="s">
        <v>2086</v>
      </c>
      <c r="C102" t="s">
        <v>93</v>
      </c>
      <c r="D102" t="s">
        <v>2087</v>
      </c>
      <c r="E102" t="s">
        <v>1596</v>
      </c>
      <c r="F102" t="s">
        <v>2088</v>
      </c>
      <c r="G102" t="s">
        <v>2088</v>
      </c>
      <c r="H102" t="s">
        <v>2089</v>
      </c>
      <c r="I102" s="5" t="str" cm="1">
        <f t="array" ref="I102">IF(SUM(COUNTIF(Text_Preprocessing__224[[#This Row],[full_text]],{"*makan siang gratis*";"*MBG*";"*makan gratis*";"*makan bergizi gratis*";"*makangratis*";"*makanan gratis*"})),"Relevan","Tidak Relevan")</f>
        <v>Relevan</v>
      </c>
    </row>
    <row r="103" spans="1:9" x14ac:dyDescent="0.35">
      <c r="A103">
        <f t="shared" si="1"/>
        <v>102</v>
      </c>
      <c r="B103" t="s">
        <v>2090</v>
      </c>
      <c r="C103" t="s">
        <v>192</v>
      </c>
      <c r="D103" t="s">
        <v>2091</v>
      </c>
      <c r="E103" t="s">
        <v>2092</v>
      </c>
      <c r="F103" t="s">
        <v>2093</v>
      </c>
      <c r="G103" t="s">
        <v>2093</v>
      </c>
      <c r="H103" t="s">
        <v>2094</v>
      </c>
      <c r="I103" s="5" t="str" cm="1">
        <f t="array" ref="I103">IF(SUM(COUNTIF(Text_Preprocessing__224[[#This Row],[full_text]],{"*makan siang gratis*";"*MBG*";"*makan gratis*";"*makan bergizi gratis*";"*makangratis*";"*makanan gratis*"})),"Relevan","Tidak Relevan")</f>
        <v>Relevan</v>
      </c>
    </row>
    <row r="104" spans="1:9" x14ac:dyDescent="0.35">
      <c r="A104">
        <f t="shared" si="1"/>
        <v>103</v>
      </c>
      <c r="B104" t="s">
        <v>2095</v>
      </c>
      <c r="C104" t="s">
        <v>93</v>
      </c>
      <c r="D104" t="s">
        <v>2096</v>
      </c>
      <c r="E104" t="s">
        <v>1730</v>
      </c>
      <c r="F104" t="s">
        <v>2097</v>
      </c>
      <c r="G104" t="s">
        <v>2097</v>
      </c>
      <c r="H104" t="s">
        <v>2098</v>
      </c>
      <c r="I104" s="5" t="str" cm="1">
        <f t="array" ref="I104">IF(SUM(COUNTIF(Text_Preprocessing__224[[#This Row],[full_text]],{"*makan siang gratis*";"*MBG*";"*makan gratis*";"*makan bergizi gratis*";"*makangratis*";"*makanan gratis*"})),"Relevan","Tidak Relevan")</f>
        <v>Relevan</v>
      </c>
    </row>
    <row r="105" spans="1:9" x14ac:dyDescent="0.35">
      <c r="A105">
        <f t="shared" si="1"/>
        <v>104</v>
      </c>
      <c r="B105" t="s">
        <v>2099</v>
      </c>
      <c r="C105" t="s">
        <v>174</v>
      </c>
      <c r="D105" t="s">
        <v>2100</v>
      </c>
      <c r="E105" t="s">
        <v>1629</v>
      </c>
      <c r="F105" t="s">
        <v>2101</v>
      </c>
      <c r="G105" t="s">
        <v>2101</v>
      </c>
      <c r="H105" t="s">
        <v>2102</v>
      </c>
      <c r="I105" s="5" t="str" cm="1">
        <f t="array" ref="I105">IF(SUM(COUNTIF(Text_Preprocessing__224[[#This Row],[full_text]],{"*makan siang gratis*";"*MBG*";"*makan gratis*";"*makan bergizi gratis*";"*makangratis*";"*makanan gratis*"})),"Relevan","Tidak Relevan")</f>
        <v>Relevan</v>
      </c>
    </row>
    <row r="106" spans="1:9" x14ac:dyDescent="0.35">
      <c r="A106">
        <f t="shared" si="1"/>
        <v>105</v>
      </c>
      <c r="B106" t="s">
        <v>2103</v>
      </c>
      <c r="C106" t="s">
        <v>196</v>
      </c>
      <c r="D106" t="s">
        <v>2104</v>
      </c>
      <c r="E106" t="s">
        <v>1735</v>
      </c>
      <c r="F106" t="s">
        <v>2105</v>
      </c>
      <c r="G106" t="s">
        <v>2105</v>
      </c>
      <c r="H106" t="s">
        <v>2106</v>
      </c>
      <c r="I106" s="5" t="str" cm="1">
        <f t="array" ref="I106">IF(SUM(COUNTIF(Text_Preprocessing__224[[#This Row],[full_text]],{"*makan siang gratis*";"*MBG*";"*makan gratis*";"*makan bergizi gratis*";"*makangratis*";"*makanan gratis*"})),"Relevan","Tidak Relevan")</f>
        <v>Relevan</v>
      </c>
    </row>
    <row r="107" spans="1:9" x14ac:dyDescent="0.35">
      <c r="A107">
        <f t="shared" si="1"/>
        <v>106</v>
      </c>
      <c r="B107" t="s">
        <v>2107</v>
      </c>
      <c r="C107" t="s">
        <v>137</v>
      </c>
      <c r="D107" t="s">
        <v>2108</v>
      </c>
      <c r="E107" t="s">
        <v>2109</v>
      </c>
      <c r="F107" t="s">
        <v>2110</v>
      </c>
      <c r="G107" t="s">
        <v>2110</v>
      </c>
      <c r="H107" t="s">
        <v>2111</v>
      </c>
      <c r="I107" s="5" t="str" cm="1">
        <f t="array" ref="I107">IF(SUM(COUNTIF(Text_Preprocessing__224[[#This Row],[full_text]],{"*makan siang gratis*";"*MBG*";"*makan gratis*";"*makan bergizi gratis*";"*makangratis*";"*makanan gratis*"})),"Relevan","Tidak Relevan")</f>
        <v>Relevan</v>
      </c>
    </row>
    <row r="108" spans="1:9" x14ac:dyDescent="0.35">
      <c r="A108">
        <f t="shared" si="1"/>
        <v>107</v>
      </c>
      <c r="B108" t="s">
        <v>2112</v>
      </c>
      <c r="C108" t="s">
        <v>137</v>
      </c>
      <c r="D108" t="s">
        <v>2113</v>
      </c>
      <c r="E108" t="s">
        <v>2114</v>
      </c>
      <c r="F108" t="s">
        <v>2115</v>
      </c>
      <c r="G108" t="s">
        <v>2115</v>
      </c>
      <c r="H108" t="s">
        <v>2116</v>
      </c>
      <c r="I108" s="5" t="str" cm="1">
        <f t="array" ref="I108">IF(SUM(COUNTIF(Text_Preprocessing__224[[#This Row],[full_text]],{"*makan siang gratis*";"*MBG*";"*makan gratis*";"*makan bergizi gratis*";"*makangratis*";"*makanan gratis*"})),"Relevan","Tidak Relevan")</f>
        <v>Relevan</v>
      </c>
    </row>
    <row r="109" spans="1:9" x14ac:dyDescent="0.35">
      <c r="A109">
        <f t="shared" si="1"/>
        <v>108</v>
      </c>
      <c r="B109" t="s">
        <v>2117</v>
      </c>
      <c r="C109" t="s">
        <v>200</v>
      </c>
      <c r="D109" t="s">
        <v>2118</v>
      </c>
      <c r="E109" t="s">
        <v>1724</v>
      </c>
      <c r="F109" t="s">
        <v>2119</v>
      </c>
      <c r="G109" t="s">
        <v>2119</v>
      </c>
      <c r="H109" t="s">
        <v>2120</v>
      </c>
      <c r="I109" s="5" t="str" cm="1">
        <f t="array" ref="I109">IF(SUM(COUNTIF(Text_Preprocessing__224[[#This Row],[full_text]],{"*makan siang gratis*";"*MBG*";"*makan gratis*";"*makan bergizi gratis*";"*makangratis*";"*makanan gratis*"})),"Relevan","Tidak Relevan")</f>
        <v>Relevan</v>
      </c>
    </row>
    <row r="110" spans="1:9" x14ac:dyDescent="0.35">
      <c r="A110">
        <f t="shared" si="1"/>
        <v>109</v>
      </c>
      <c r="B110" t="s">
        <v>2121</v>
      </c>
      <c r="C110" t="s">
        <v>202</v>
      </c>
      <c r="D110" t="s">
        <v>2122</v>
      </c>
      <c r="E110" t="s">
        <v>1596</v>
      </c>
      <c r="F110" t="s">
        <v>2123</v>
      </c>
      <c r="G110" t="s">
        <v>2123</v>
      </c>
      <c r="H110" t="s">
        <v>2124</v>
      </c>
      <c r="I110" s="5" t="str" cm="1">
        <f t="array" ref="I110">IF(SUM(COUNTIF(Text_Preprocessing__224[[#This Row],[full_text]],{"*makan siang gratis*";"*MBG*";"*makan gratis*";"*makan bergizi gratis*";"*makangratis*";"*makanan gratis*"})),"Relevan","Tidak Relevan")</f>
        <v>Relevan</v>
      </c>
    </row>
    <row r="111" spans="1:9" x14ac:dyDescent="0.35">
      <c r="A111">
        <f t="shared" si="1"/>
        <v>110</v>
      </c>
      <c r="B111" t="s">
        <v>2125</v>
      </c>
      <c r="C111" t="s">
        <v>202</v>
      </c>
      <c r="D111" t="s">
        <v>2126</v>
      </c>
      <c r="E111" t="s">
        <v>1888</v>
      </c>
      <c r="F111" t="s">
        <v>2126</v>
      </c>
      <c r="G111" t="s">
        <v>2126</v>
      </c>
      <c r="H111" t="s">
        <v>2127</v>
      </c>
      <c r="I111" s="5" t="str" cm="1">
        <f t="array" ref="I111">IF(SUM(COUNTIF(Text_Preprocessing__224[[#This Row],[full_text]],{"*makan siang gratis*";"*MBG*";"*makan gratis*";"*makan bergizi gratis*";"*makangratis*";"*makanan gratis*"})),"Relevan","Tidak Relevan")</f>
        <v>Relevan</v>
      </c>
    </row>
    <row r="112" spans="1:9" x14ac:dyDescent="0.35">
      <c r="A112">
        <f t="shared" si="1"/>
        <v>111</v>
      </c>
      <c r="B112" t="s">
        <v>2128</v>
      </c>
      <c r="C112" t="s">
        <v>205</v>
      </c>
      <c r="D112" t="s">
        <v>2129</v>
      </c>
      <c r="E112" t="s">
        <v>1730</v>
      </c>
      <c r="F112" t="s">
        <v>2130</v>
      </c>
      <c r="G112" t="s">
        <v>2130</v>
      </c>
      <c r="H112" t="s">
        <v>2131</v>
      </c>
      <c r="I112" s="5" t="str" cm="1">
        <f t="array" ref="I112">IF(SUM(COUNTIF(Text_Preprocessing__224[[#This Row],[full_text]],{"*makan siang gratis*";"*MBG*";"*makan gratis*";"*makan bergizi gratis*";"*makangratis*";"*makanan gratis*"})),"Relevan","Tidak Relevan")</f>
        <v>Relevan</v>
      </c>
    </row>
    <row r="113" spans="1:9" x14ac:dyDescent="0.35">
      <c r="A113">
        <f t="shared" si="1"/>
        <v>112</v>
      </c>
      <c r="B113" t="s">
        <v>2132</v>
      </c>
      <c r="C113" t="s">
        <v>207</v>
      </c>
      <c r="D113" t="s">
        <v>2133</v>
      </c>
      <c r="E113" t="s">
        <v>2134</v>
      </c>
      <c r="F113" t="s">
        <v>2135</v>
      </c>
      <c r="G113" t="s">
        <v>2135</v>
      </c>
      <c r="H113" t="s">
        <v>2136</v>
      </c>
      <c r="I113" s="5" t="str" cm="1">
        <f t="array" ref="I113">IF(SUM(COUNTIF(Text_Preprocessing__224[[#This Row],[full_text]],{"*makan siang gratis*";"*MBG*";"*makan gratis*";"*makan bergizi gratis*";"*makangratis*";"*makanan gratis*"})),"Relevan","Tidak Relevan")</f>
        <v>Relevan</v>
      </c>
    </row>
    <row r="114" spans="1:9" x14ac:dyDescent="0.35">
      <c r="A114">
        <f t="shared" si="1"/>
        <v>113</v>
      </c>
      <c r="B114" t="s">
        <v>2137</v>
      </c>
      <c r="C114" t="s">
        <v>209</v>
      </c>
      <c r="D114" t="s">
        <v>2138</v>
      </c>
      <c r="E114" t="s">
        <v>1844</v>
      </c>
      <c r="F114" t="s">
        <v>2139</v>
      </c>
      <c r="G114" t="s">
        <v>2139</v>
      </c>
      <c r="H114" t="s">
        <v>2140</v>
      </c>
      <c r="I114" s="5" t="str" cm="1">
        <f t="array" ref="I114">IF(SUM(COUNTIF(Text_Preprocessing__224[[#This Row],[full_text]],{"*makan siang gratis*";"*MBG*";"*makan gratis*";"*makan bergizi gratis*";"*makangratis*";"*makanan gratis*"})),"Relevan","Tidak Relevan")</f>
        <v>Relevan</v>
      </c>
    </row>
    <row r="115" spans="1:9" x14ac:dyDescent="0.35">
      <c r="A115">
        <f t="shared" si="1"/>
        <v>114</v>
      </c>
      <c r="B115" t="s">
        <v>2141</v>
      </c>
      <c r="C115" t="s">
        <v>211</v>
      </c>
      <c r="D115" t="s">
        <v>2142</v>
      </c>
      <c r="E115" t="s">
        <v>2143</v>
      </c>
      <c r="F115" t="s">
        <v>2144</v>
      </c>
      <c r="G115" t="s">
        <v>2145</v>
      </c>
      <c r="H115" t="s">
        <v>2146</v>
      </c>
      <c r="I115" s="5" t="str" cm="1">
        <f t="array" ref="I115">IF(SUM(COUNTIF(Text_Preprocessing__224[[#This Row],[full_text]],{"*makan siang gratis*";"*MBG*";"*makan gratis*";"*makan bergizi gratis*";"*makangratis*";"*makanan gratis*"})),"Relevan","Tidak Relevan")</f>
        <v>Relevan</v>
      </c>
    </row>
    <row r="116" spans="1:9" x14ac:dyDescent="0.35">
      <c r="A116">
        <f t="shared" si="1"/>
        <v>115</v>
      </c>
      <c r="B116" t="s">
        <v>2147</v>
      </c>
      <c r="C116" t="s">
        <v>213</v>
      </c>
      <c r="D116" t="s">
        <v>2148</v>
      </c>
      <c r="E116" t="s">
        <v>2149</v>
      </c>
      <c r="F116" t="s">
        <v>2150</v>
      </c>
      <c r="G116" t="s">
        <v>2150</v>
      </c>
      <c r="H116" t="s">
        <v>2151</v>
      </c>
      <c r="I116" s="5" t="str" cm="1">
        <f t="array" ref="I116">IF(SUM(COUNTIF(Text_Preprocessing__224[[#This Row],[full_text]],{"*makan siang gratis*";"*MBG*";"*makan gratis*";"*makan bergizi gratis*";"*makangratis*";"*makanan gratis*"})),"Relevan","Tidak Relevan")</f>
        <v>Relevan</v>
      </c>
    </row>
    <row r="117" spans="1:9" x14ac:dyDescent="0.35">
      <c r="A117">
        <f t="shared" si="1"/>
        <v>116</v>
      </c>
      <c r="B117" t="s">
        <v>2152</v>
      </c>
      <c r="C117" t="s">
        <v>215</v>
      </c>
      <c r="D117" t="s">
        <v>2153</v>
      </c>
      <c r="E117" t="s">
        <v>2154</v>
      </c>
      <c r="F117" t="s">
        <v>2155</v>
      </c>
      <c r="G117" t="s">
        <v>2155</v>
      </c>
      <c r="H117" t="s">
        <v>2156</v>
      </c>
      <c r="I117" s="5" t="str" cm="1">
        <f t="array" ref="I117">IF(SUM(COUNTIF(Text_Preprocessing__224[[#This Row],[full_text]],{"*makan siang gratis*";"*MBG*";"*makan gratis*";"*makan bergizi gratis*";"*makangratis*";"*makanan gratis*"})),"Relevan","Tidak Relevan")</f>
        <v>Relevan</v>
      </c>
    </row>
    <row r="118" spans="1:9" x14ac:dyDescent="0.35">
      <c r="A118">
        <f t="shared" si="1"/>
        <v>117</v>
      </c>
      <c r="B118" t="s">
        <v>2157</v>
      </c>
      <c r="C118" t="s">
        <v>217</v>
      </c>
      <c r="D118" t="s">
        <v>2158</v>
      </c>
      <c r="E118" t="s">
        <v>2159</v>
      </c>
      <c r="F118" t="s">
        <v>2160</v>
      </c>
      <c r="G118" t="s">
        <v>2160</v>
      </c>
      <c r="H118" t="s">
        <v>2161</v>
      </c>
      <c r="I118" s="5" t="str" cm="1">
        <f t="array" ref="I118">IF(SUM(COUNTIF(Text_Preprocessing__224[[#This Row],[full_text]],{"*makan siang gratis*";"*MBG*";"*makan gratis*";"*makan bergizi gratis*";"*makangratis*";"*makanan gratis*"})),"Relevan","Tidak Relevan")</f>
        <v>Relevan</v>
      </c>
    </row>
    <row r="119" spans="1:9" x14ac:dyDescent="0.35">
      <c r="A119">
        <f t="shared" si="1"/>
        <v>118</v>
      </c>
      <c r="B119" t="s">
        <v>2162</v>
      </c>
      <c r="C119" t="s">
        <v>219</v>
      </c>
      <c r="D119" t="s">
        <v>2163</v>
      </c>
      <c r="E119" t="s">
        <v>2164</v>
      </c>
      <c r="F119" t="s">
        <v>2165</v>
      </c>
      <c r="G119" t="s">
        <v>2165</v>
      </c>
      <c r="H119" t="s">
        <v>2166</v>
      </c>
      <c r="I119" s="5" t="str" cm="1">
        <f t="array" ref="I119">IF(SUM(COUNTIF(Text_Preprocessing__224[[#This Row],[full_text]],{"*makan siang gratis*";"*MBG*";"*makan gratis*";"*makan bergizi gratis*";"*makangratis*";"*makanan gratis*"})),"Relevan","Tidak Relevan")</f>
        <v>Relevan</v>
      </c>
    </row>
    <row r="120" spans="1:9" x14ac:dyDescent="0.35">
      <c r="A120">
        <f t="shared" si="1"/>
        <v>119</v>
      </c>
      <c r="B120" t="s">
        <v>2167</v>
      </c>
      <c r="C120" t="s">
        <v>221</v>
      </c>
      <c r="D120" t="s">
        <v>2168</v>
      </c>
      <c r="E120" t="s">
        <v>1804</v>
      </c>
      <c r="F120" t="s">
        <v>2169</v>
      </c>
      <c r="G120" t="s">
        <v>2169</v>
      </c>
      <c r="H120" t="s">
        <v>2170</v>
      </c>
      <c r="I120" s="5" t="str" cm="1">
        <f t="array" ref="I120">IF(SUM(COUNTIF(Text_Preprocessing__224[[#This Row],[full_text]],{"*makan siang gratis*";"*MBG*";"*makan gratis*";"*makan bergizi gratis*";"*makangratis*";"*makanan gratis*"})),"Relevan","Tidak Relevan")</f>
        <v>Relevan</v>
      </c>
    </row>
    <row r="121" spans="1:9" x14ac:dyDescent="0.35">
      <c r="A121">
        <f t="shared" si="1"/>
        <v>120</v>
      </c>
      <c r="B121" t="s">
        <v>2171</v>
      </c>
      <c r="C121" t="s">
        <v>223</v>
      </c>
      <c r="D121" t="s">
        <v>2172</v>
      </c>
      <c r="E121" t="s">
        <v>2109</v>
      </c>
      <c r="F121" t="s">
        <v>2173</v>
      </c>
      <c r="G121" t="s">
        <v>2173</v>
      </c>
      <c r="H121" t="s">
        <v>2174</v>
      </c>
      <c r="I121" s="5" t="str" cm="1">
        <f t="array" ref="I121">IF(SUM(COUNTIF(Text_Preprocessing__224[[#This Row],[full_text]],{"*makan siang gratis*";"*MBG*";"*makan gratis*";"*makan bergizi gratis*";"*makangratis*";"*makanan gratis*"})),"Relevan","Tidak Relevan")</f>
        <v>Relevan</v>
      </c>
    </row>
    <row r="122" spans="1:9" x14ac:dyDescent="0.35">
      <c r="A122">
        <f t="shared" si="1"/>
        <v>121</v>
      </c>
      <c r="B122" t="s">
        <v>2175</v>
      </c>
      <c r="C122" t="s">
        <v>225</v>
      </c>
      <c r="D122" t="s">
        <v>2176</v>
      </c>
      <c r="E122" t="s">
        <v>2177</v>
      </c>
      <c r="F122" t="s">
        <v>2178</v>
      </c>
      <c r="G122" t="s">
        <v>2178</v>
      </c>
      <c r="H122" t="s">
        <v>2179</v>
      </c>
      <c r="I122" s="5" t="str" cm="1">
        <f t="array" ref="I122">IF(SUM(COUNTIF(Text_Preprocessing__224[[#This Row],[full_text]],{"*makan siang gratis*";"*MBG*";"*makan gratis*";"*makan bergizi gratis*";"*makangratis*";"*makanan gratis*"})),"Relevan","Tidak Relevan")</f>
        <v>Relevan</v>
      </c>
    </row>
    <row r="123" spans="1:9" x14ac:dyDescent="0.35">
      <c r="A123">
        <f t="shared" si="1"/>
        <v>122</v>
      </c>
      <c r="B123" t="s">
        <v>2180</v>
      </c>
      <c r="C123" t="s">
        <v>227</v>
      </c>
      <c r="D123" t="s">
        <v>2181</v>
      </c>
      <c r="E123" t="s">
        <v>1804</v>
      </c>
      <c r="F123" t="s">
        <v>2182</v>
      </c>
      <c r="G123" t="s">
        <v>2182</v>
      </c>
      <c r="H123" t="s">
        <v>2183</v>
      </c>
      <c r="I123" s="5" t="str" cm="1">
        <f t="array" ref="I123">IF(SUM(COUNTIF(Text_Preprocessing__224[[#This Row],[full_text]],{"*makan siang gratis*";"*MBG*";"*makan gratis*";"*makan bergizi gratis*";"*makangratis*";"*makanan gratis*"})),"Relevan","Tidak Relevan")</f>
        <v>Relevan</v>
      </c>
    </row>
    <row r="124" spans="1:9" x14ac:dyDescent="0.35">
      <c r="A124">
        <f t="shared" si="1"/>
        <v>123</v>
      </c>
      <c r="B124" t="s">
        <v>2184</v>
      </c>
      <c r="C124" t="s">
        <v>229</v>
      </c>
      <c r="D124" t="s">
        <v>2185</v>
      </c>
      <c r="E124" t="s">
        <v>2186</v>
      </c>
      <c r="F124" t="s">
        <v>2187</v>
      </c>
      <c r="G124" t="s">
        <v>2187</v>
      </c>
      <c r="H124" t="s">
        <v>2188</v>
      </c>
      <c r="I124" s="5" t="str" cm="1">
        <f t="array" ref="I124">IF(SUM(COUNTIF(Text_Preprocessing__224[[#This Row],[full_text]],{"*makan siang gratis*";"*MBG*";"*makan gratis*";"*makan bergizi gratis*";"*makangratis*";"*makanan gratis*"})),"Relevan","Tidak Relevan")</f>
        <v>Relevan</v>
      </c>
    </row>
    <row r="125" spans="1:9" x14ac:dyDescent="0.35">
      <c r="A125">
        <f t="shared" si="1"/>
        <v>124</v>
      </c>
      <c r="B125" t="s">
        <v>2189</v>
      </c>
      <c r="C125" t="s">
        <v>231</v>
      </c>
      <c r="D125" t="s">
        <v>2190</v>
      </c>
      <c r="E125" t="s">
        <v>2191</v>
      </c>
      <c r="F125" t="s">
        <v>2192</v>
      </c>
      <c r="G125" t="s">
        <v>2192</v>
      </c>
      <c r="H125" t="s">
        <v>2193</v>
      </c>
      <c r="I125" s="5" t="str" cm="1">
        <f t="array" ref="I125">IF(SUM(COUNTIF(Text_Preprocessing__224[[#This Row],[full_text]],{"*makan siang gratis*";"*MBG*";"*makan gratis*";"*makan bergizi gratis*";"*makangratis*";"*makanan gratis*"})),"Relevan","Tidak Relevan")</f>
        <v>Relevan</v>
      </c>
    </row>
    <row r="126" spans="1:9" x14ac:dyDescent="0.35">
      <c r="A126">
        <f t="shared" si="1"/>
        <v>125</v>
      </c>
      <c r="B126" t="s">
        <v>2194</v>
      </c>
      <c r="C126" t="s">
        <v>233</v>
      </c>
      <c r="D126" t="s">
        <v>2195</v>
      </c>
      <c r="E126" t="s">
        <v>2196</v>
      </c>
      <c r="F126" t="s">
        <v>2197</v>
      </c>
      <c r="G126" t="s">
        <v>2197</v>
      </c>
      <c r="H126" t="s">
        <v>2198</v>
      </c>
      <c r="I126" s="5" t="str" cm="1">
        <f t="array" ref="I126">IF(SUM(COUNTIF(Text_Preprocessing__224[[#This Row],[full_text]],{"*makan siang gratis*";"*MBG*";"*makan gratis*";"*makan bergizi gratis*";"*makangratis*";"*makanan gratis*"})),"Relevan","Tidak Relevan")</f>
        <v>Relevan</v>
      </c>
    </row>
    <row r="127" spans="1:9" x14ac:dyDescent="0.35">
      <c r="A127">
        <f t="shared" si="1"/>
        <v>126</v>
      </c>
      <c r="B127" t="s">
        <v>2199</v>
      </c>
      <c r="C127" t="s">
        <v>235</v>
      </c>
      <c r="D127" t="s">
        <v>2200</v>
      </c>
      <c r="E127" t="s">
        <v>1692</v>
      </c>
      <c r="F127" t="s">
        <v>2201</v>
      </c>
      <c r="G127" t="s">
        <v>2201</v>
      </c>
      <c r="H127" t="s">
        <v>2202</v>
      </c>
      <c r="I127" s="5" t="str" cm="1">
        <f t="array" ref="I127">IF(SUM(COUNTIF(Text_Preprocessing__224[[#This Row],[full_text]],{"*makan siang gratis*";"*MBG*";"*makan gratis*";"*makan bergizi gratis*";"*makangratis*";"*makanan gratis*"})),"Relevan","Tidak Relevan")</f>
        <v>Relevan</v>
      </c>
    </row>
    <row r="128" spans="1:9" x14ac:dyDescent="0.35">
      <c r="A128">
        <f t="shared" si="1"/>
        <v>127</v>
      </c>
      <c r="B128" t="s">
        <v>2203</v>
      </c>
      <c r="C128" t="s">
        <v>237</v>
      </c>
      <c r="D128" t="s">
        <v>2204</v>
      </c>
      <c r="E128" t="s">
        <v>2205</v>
      </c>
      <c r="F128" t="s">
        <v>2206</v>
      </c>
      <c r="G128" t="s">
        <v>2206</v>
      </c>
      <c r="H128" t="s">
        <v>2207</v>
      </c>
      <c r="I128" s="5" t="str" cm="1">
        <f t="array" ref="I128">IF(SUM(COUNTIF(Text_Preprocessing__224[[#This Row],[full_text]],{"*makan siang gratis*";"*MBG*";"*makan gratis*";"*makan bergizi gratis*";"*makangratis*";"*makanan gratis*"})),"Relevan","Tidak Relevan")</f>
        <v>Relevan</v>
      </c>
    </row>
    <row r="129" spans="1:9" x14ac:dyDescent="0.35">
      <c r="A129">
        <f t="shared" si="1"/>
        <v>128</v>
      </c>
      <c r="B129" t="s">
        <v>2208</v>
      </c>
      <c r="C129" t="s">
        <v>4</v>
      </c>
      <c r="D129" t="s">
        <v>2209</v>
      </c>
      <c r="E129" t="s">
        <v>2210</v>
      </c>
      <c r="F129" t="s">
        <v>2211</v>
      </c>
      <c r="G129" t="s">
        <v>2211</v>
      </c>
      <c r="H129" t="s">
        <v>2212</v>
      </c>
      <c r="I129" s="5" t="str" cm="1">
        <f t="array" ref="I129">IF(SUM(COUNTIF(Text_Preprocessing__224[[#This Row],[full_text]],{"*makan siang gratis*";"*MBG*";"*makan gratis*";"*makan bergizi gratis*";"*makangratis*";"*makanan gratis*"})),"Relevan","Tidak Relevan")</f>
        <v>Relevan</v>
      </c>
    </row>
    <row r="130" spans="1:9" x14ac:dyDescent="0.35">
      <c r="A130">
        <f t="shared" si="1"/>
        <v>129</v>
      </c>
      <c r="B130" t="s">
        <v>2213</v>
      </c>
      <c r="C130" t="s">
        <v>242</v>
      </c>
      <c r="D130" t="s">
        <v>2214</v>
      </c>
      <c r="E130" t="s">
        <v>2215</v>
      </c>
      <c r="F130" t="s">
        <v>2216</v>
      </c>
      <c r="G130" t="s">
        <v>2216</v>
      </c>
      <c r="H130" t="s">
        <v>2217</v>
      </c>
      <c r="I130" s="5" t="str" cm="1">
        <f t="array" ref="I130">IF(SUM(COUNTIF(Text_Preprocessing__224[[#This Row],[full_text]],{"*makan siang gratis*";"*MBG*";"*makan gratis*";"*makan bergizi gratis*";"*makangratis*";"*makanan gratis*"})),"Relevan","Tidak Relevan")</f>
        <v>Relevan</v>
      </c>
    </row>
    <row r="131" spans="1:9" x14ac:dyDescent="0.35">
      <c r="A131">
        <f t="shared" si="1"/>
        <v>130</v>
      </c>
      <c r="B131" t="s">
        <v>2218</v>
      </c>
      <c r="C131" t="s">
        <v>244</v>
      </c>
      <c r="D131" t="s">
        <v>2219</v>
      </c>
      <c r="E131" t="s">
        <v>1624</v>
      </c>
      <c r="F131" t="s">
        <v>2220</v>
      </c>
      <c r="G131" t="s">
        <v>2220</v>
      </c>
      <c r="H131" t="s">
        <v>2221</v>
      </c>
      <c r="I131" s="5" t="str" cm="1">
        <f t="array" ref="I131">IF(SUM(COUNTIF(Text_Preprocessing__224[[#This Row],[full_text]],{"*makan siang gratis*";"*MBG*";"*makan gratis*";"*makan bergizi gratis*";"*makangratis*";"*makanan gratis*"})),"Relevan","Tidak Relevan")</f>
        <v>Relevan</v>
      </c>
    </row>
    <row r="132" spans="1:9" x14ac:dyDescent="0.35">
      <c r="A132">
        <f t="shared" ref="A132:A195" si="2">SUM(A131+1)</f>
        <v>131</v>
      </c>
      <c r="B132" t="s">
        <v>2222</v>
      </c>
      <c r="C132" t="s">
        <v>246</v>
      </c>
      <c r="D132" t="s">
        <v>2223</v>
      </c>
      <c r="E132" t="s">
        <v>2154</v>
      </c>
      <c r="F132" t="s">
        <v>2224</v>
      </c>
      <c r="G132" t="s">
        <v>2225</v>
      </c>
      <c r="H132" t="s">
        <v>2226</v>
      </c>
      <c r="I132" s="5" t="str" cm="1">
        <f t="array" ref="I132">IF(SUM(COUNTIF(Text_Preprocessing__224[[#This Row],[full_text]],{"*makan siang gratis*";"*MBG*";"*makan gratis*";"*makan bergizi gratis*";"*makangratis*";"*makanan gratis*"})),"Relevan","Tidak Relevan")</f>
        <v>Relevan</v>
      </c>
    </row>
    <row r="133" spans="1:9" x14ac:dyDescent="0.35">
      <c r="A133">
        <f t="shared" si="2"/>
        <v>132</v>
      </c>
      <c r="B133" t="s">
        <v>2227</v>
      </c>
      <c r="C133" t="s">
        <v>137</v>
      </c>
      <c r="D133" t="s">
        <v>2228</v>
      </c>
      <c r="E133" t="s">
        <v>2229</v>
      </c>
      <c r="F133" t="s">
        <v>2230</v>
      </c>
      <c r="G133" t="s">
        <v>2230</v>
      </c>
      <c r="H133" t="s">
        <v>2231</v>
      </c>
      <c r="I133" s="5" t="str" cm="1">
        <f t="array" ref="I133">IF(SUM(COUNTIF(Text_Preprocessing__224[[#This Row],[full_text]],{"*makan siang gratis*";"*MBG*";"*makan gratis*";"*makan bergizi gratis*";"*makangratis*";"*makanan gratis*"})),"Relevan","Tidak Relevan")</f>
        <v>Relevan</v>
      </c>
    </row>
    <row r="134" spans="1:9" x14ac:dyDescent="0.35">
      <c r="A134">
        <f t="shared" si="2"/>
        <v>133</v>
      </c>
      <c r="B134" t="s">
        <v>2232</v>
      </c>
      <c r="C134" t="s">
        <v>249</v>
      </c>
      <c r="D134" t="s">
        <v>2233</v>
      </c>
      <c r="E134" t="s">
        <v>2234</v>
      </c>
      <c r="F134" t="s">
        <v>2235</v>
      </c>
      <c r="G134" t="s">
        <v>2235</v>
      </c>
      <c r="H134" t="s">
        <v>2236</v>
      </c>
      <c r="I134" s="5" t="str" cm="1">
        <f t="array" ref="I134">IF(SUM(COUNTIF(Text_Preprocessing__224[[#This Row],[full_text]],{"*makan siang gratis*";"*MBG*";"*makan gratis*";"*makan bergizi gratis*";"*makangratis*";"*makanan gratis*"})),"Relevan","Tidak Relevan")</f>
        <v>Relevan</v>
      </c>
    </row>
    <row r="135" spans="1:9" x14ac:dyDescent="0.35">
      <c r="A135">
        <f t="shared" si="2"/>
        <v>134</v>
      </c>
      <c r="B135" t="s">
        <v>2237</v>
      </c>
      <c r="C135" t="s">
        <v>251</v>
      </c>
      <c r="D135" t="s">
        <v>2238</v>
      </c>
      <c r="E135" t="s">
        <v>2082</v>
      </c>
      <c r="F135" t="s">
        <v>2239</v>
      </c>
      <c r="G135" t="s">
        <v>2240</v>
      </c>
      <c r="H135" t="s">
        <v>2241</v>
      </c>
      <c r="I135" s="5" t="str" cm="1">
        <f t="array" ref="I135">IF(SUM(COUNTIF(Text_Preprocessing__224[[#This Row],[full_text]],{"*makan siang gratis*";"*MBG*";"*makan gratis*";"*makan bergizi gratis*";"*makangratis*";"*makanan gratis*"})),"Relevan","Tidak Relevan")</f>
        <v>Relevan</v>
      </c>
    </row>
    <row r="136" spans="1:9" x14ac:dyDescent="0.35">
      <c r="A136">
        <f t="shared" si="2"/>
        <v>135</v>
      </c>
      <c r="B136" t="s">
        <v>2242</v>
      </c>
      <c r="C136" t="s">
        <v>253</v>
      </c>
      <c r="D136" t="s">
        <v>2243</v>
      </c>
      <c r="E136" t="s">
        <v>2229</v>
      </c>
      <c r="F136" t="s">
        <v>2244</v>
      </c>
      <c r="G136" t="s">
        <v>2244</v>
      </c>
      <c r="H136" t="s">
        <v>2245</v>
      </c>
      <c r="I136" s="5" t="str" cm="1">
        <f t="array" ref="I136">IF(SUM(COUNTIF(Text_Preprocessing__224[[#This Row],[full_text]],{"*makan siang gratis*";"*MBG*";"*makan gratis*";"*makan bergizi gratis*";"*makangratis*";"*makanan gratis*"})),"Relevan","Tidak Relevan")</f>
        <v>Relevan</v>
      </c>
    </row>
    <row r="137" spans="1:9" x14ac:dyDescent="0.35">
      <c r="A137">
        <f t="shared" si="2"/>
        <v>136</v>
      </c>
      <c r="B137" t="s">
        <v>2246</v>
      </c>
      <c r="C137" t="s">
        <v>255</v>
      </c>
      <c r="D137" t="s">
        <v>2247</v>
      </c>
      <c r="E137" t="s">
        <v>2248</v>
      </c>
      <c r="F137" t="s">
        <v>2249</v>
      </c>
      <c r="G137" t="s">
        <v>2249</v>
      </c>
      <c r="H137" t="s">
        <v>2250</v>
      </c>
      <c r="I137" s="5" t="str" cm="1">
        <f t="array" ref="I137">IF(SUM(COUNTIF(Text_Preprocessing__224[[#This Row],[full_text]],{"*makan siang gratis*";"*MBG*";"*makan gratis*";"*makan bergizi gratis*";"*makangratis*";"*makanan gratis*"})),"Relevan","Tidak Relevan")</f>
        <v>Relevan</v>
      </c>
    </row>
    <row r="138" spans="1:9" x14ac:dyDescent="0.35">
      <c r="A138">
        <f t="shared" si="2"/>
        <v>137</v>
      </c>
      <c r="B138" t="s">
        <v>2251</v>
      </c>
      <c r="C138" t="s">
        <v>213</v>
      </c>
      <c r="D138" t="s">
        <v>2252</v>
      </c>
      <c r="E138" t="s">
        <v>2253</v>
      </c>
      <c r="F138" t="s">
        <v>2254</v>
      </c>
      <c r="G138" t="s">
        <v>2254</v>
      </c>
      <c r="H138" t="s">
        <v>2255</v>
      </c>
      <c r="I138" s="5" t="str" cm="1">
        <f t="array" ref="I138">IF(SUM(COUNTIF(Text_Preprocessing__224[[#This Row],[full_text]],{"*makan siang gratis*";"*MBG*";"*makan gratis*";"*makan bergizi gratis*";"*makangratis*";"*makanan gratis*"})),"Relevan","Tidak Relevan")</f>
        <v>Relevan</v>
      </c>
    </row>
    <row r="139" spans="1:9" x14ac:dyDescent="0.35">
      <c r="A139">
        <f t="shared" si="2"/>
        <v>138</v>
      </c>
      <c r="B139" t="s">
        <v>2256</v>
      </c>
      <c r="C139" t="s">
        <v>213</v>
      </c>
      <c r="D139" t="s">
        <v>2257</v>
      </c>
      <c r="E139" t="s">
        <v>2258</v>
      </c>
      <c r="F139" t="s">
        <v>2259</v>
      </c>
      <c r="G139" t="s">
        <v>2259</v>
      </c>
      <c r="H139" t="s">
        <v>2260</v>
      </c>
      <c r="I139" s="5" t="str" cm="1">
        <f t="array" ref="I139">IF(SUM(COUNTIF(Text_Preprocessing__224[[#This Row],[full_text]],{"*makan siang gratis*";"*MBG*";"*makan gratis*";"*makan bergizi gratis*";"*makangratis*";"*makanan gratis*"})),"Relevan","Tidak Relevan")</f>
        <v>Relevan</v>
      </c>
    </row>
    <row r="140" spans="1:9" x14ac:dyDescent="0.35">
      <c r="A140">
        <f t="shared" si="2"/>
        <v>139</v>
      </c>
      <c r="B140" t="s">
        <v>2261</v>
      </c>
      <c r="C140" t="s">
        <v>259</v>
      </c>
      <c r="D140" t="s">
        <v>2262</v>
      </c>
      <c r="E140" t="s">
        <v>2069</v>
      </c>
      <c r="F140" t="s">
        <v>2263</v>
      </c>
      <c r="G140" t="s">
        <v>2263</v>
      </c>
      <c r="H140" t="s">
        <v>2264</v>
      </c>
      <c r="I140" s="5" t="str" cm="1">
        <f t="array" ref="I140">IF(SUM(COUNTIF(Text_Preprocessing__224[[#This Row],[full_text]],{"*makan siang gratis*";"*MBG*";"*makan gratis*";"*makan bergizi gratis*";"*makangratis*";"*makanan gratis*"})),"Relevan","Tidak Relevan")</f>
        <v>Relevan</v>
      </c>
    </row>
    <row r="141" spans="1:9" x14ac:dyDescent="0.35">
      <c r="A141">
        <f t="shared" si="2"/>
        <v>140</v>
      </c>
      <c r="B141" t="s">
        <v>2265</v>
      </c>
      <c r="C141" t="s">
        <v>261</v>
      </c>
      <c r="D141" t="s">
        <v>2266</v>
      </c>
      <c r="E141" t="s">
        <v>2267</v>
      </c>
      <c r="F141" t="s">
        <v>2268</v>
      </c>
      <c r="G141" t="s">
        <v>2268</v>
      </c>
      <c r="H141" t="s">
        <v>2269</v>
      </c>
      <c r="I141" s="5" t="str" cm="1">
        <f t="array" ref="I141">IF(SUM(COUNTIF(Text_Preprocessing__224[[#This Row],[full_text]],{"*makan siang gratis*";"*MBG*";"*makan gratis*";"*makan bergizi gratis*";"*makangratis*";"*makanan gratis*"})),"Relevan","Tidak Relevan")</f>
        <v>Relevan</v>
      </c>
    </row>
    <row r="142" spans="1:9" x14ac:dyDescent="0.35">
      <c r="A142">
        <f t="shared" si="2"/>
        <v>141</v>
      </c>
      <c r="B142" t="s">
        <v>2270</v>
      </c>
      <c r="C142" t="s">
        <v>263</v>
      </c>
      <c r="D142" t="s">
        <v>2271</v>
      </c>
      <c r="E142" t="s">
        <v>2272</v>
      </c>
      <c r="F142" t="s">
        <v>2273</v>
      </c>
      <c r="G142" t="s">
        <v>2273</v>
      </c>
      <c r="H142" t="s">
        <v>2274</v>
      </c>
      <c r="I142" s="5" t="str" cm="1">
        <f t="array" ref="I142">IF(SUM(COUNTIF(Text_Preprocessing__224[[#This Row],[full_text]],{"*makan siang gratis*";"*MBG*";"*makan gratis*";"*makan bergizi gratis*";"*makangratis*";"*makanan gratis*"})),"Relevan","Tidak Relevan")</f>
        <v>Relevan</v>
      </c>
    </row>
    <row r="143" spans="1:9" x14ac:dyDescent="0.35">
      <c r="A143">
        <f t="shared" si="2"/>
        <v>142</v>
      </c>
      <c r="B143" t="s">
        <v>2275</v>
      </c>
      <c r="C143" t="s">
        <v>265</v>
      </c>
      <c r="D143" t="s">
        <v>2276</v>
      </c>
      <c r="E143" t="s">
        <v>1596</v>
      </c>
      <c r="F143" t="s">
        <v>2277</v>
      </c>
      <c r="G143" t="s">
        <v>2277</v>
      </c>
      <c r="H143" t="s">
        <v>2278</v>
      </c>
      <c r="I143" s="5" t="str" cm="1">
        <f t="array" ref="I143">IF(SUM(COUNTIF(Text_Preprocessing__224[[#This Row],[full_text]],{"*makan siang gratis*";"*MBG*";"*makan gratis*";"*makan bergizi gratis*";"*makangratis*";"*makanan gratis*"})),"Relevan","Tidak Relevan")</f>
        <v>Relevan</v>
      </c>
    </row>
    <row r="144" spans="1:9" x14ac:dyDescent="0.35">
      <c r="A144">
        <f t="shared" si="2"/>
        <v>143</v>
      </c>
      <c r="B144" t="s">
        <v>2279</v>
      </c>
      <c r="C144" t="s">
        <v>267</v>
      </c>
      <c r="D144" t="s">
        <v>2280</v>
      </c>
      <c r="E144" t="s">
        <v>1657</v>
      </c>
      <c r="F144" t="s">
        <v>2281</v>
      </c>
      <c r="G144" t="s">
        <v>2281</v>
      </c>
      <c r="H144" t="s">
        <v>2282</v>
      </c>
      <c r="I144" s="5" t="str" cm="1">
        <f t="array" ref="I144">IF(SUM(COUNTIF(Text_Preprocessing__224[[#This Row],[full_text]],{"*makan siang gratis*";"*MBG*";"*makan gratis*";"*makan bergizi gratis*";"*makangratis*";"*makanan gratis*"})),"Relevan","Tidak Relevan")</f>
        <v>Relevan</v>
      </c>
    </row>
    <row r="145" spans="1:9" x14ac:dyDescent="0.35">
      <c r="A145">
        <f t="shared" si="2"/>
        <v>144</v>
      </c>
      <c r="B145" t="s">
        <v>2283</v>
      </c>
      <c r="C145" t="s">
        <v>269</v>
      </c>
      <c r="D145" t="s">
        <v>2284</v>
      </c>
      <c r="E145" t="s">
        <v>2285</v>
      </c>
      <c r="F145" t="s">
        <v>2286</v>
      </c>
      <c r="G145" t="s">
        <v>2286</v>
      </c>
      <c r="H145" t="s">
        <v>2287</v>
      </c>
      <c r="I145" s="5" t="str" cm="1">
        <f t="array" ref="I145">IF(SUM(COUNTIF(Text_Preprocessing__224[[#This Row],[full_text]],{"*makan siang gratis*";"*MBG*";"*makan gratis*";"*makan bergizi gratis*";"*makangratis*";"*makanan gratis*"})),"Relevan","Tidak Relevan")</f>
        <v>Relevan</v>
      </c>
    </row>
    <row r="146" spans="1:9" x14ac:dyDescent="0.35">
      <c r="A146">
        <f t="shared" si="2"/>
        <v>145</v>
      </c>
      <c r="B146" t="s">
        <v>2288</v>
      </c>
      <c r="C146" t="s">
        <v>249</v>
      </c>
      <c r="D146" t="s">
        <v>2289</v>
      </c>
      <c r="E146" t="s">
        <v>2290</v>
      </c>
      <c r="F146" t="s">
        <v>2291</v>
      </c>
      <c r="G146" t="s">
        <v>2291</v>
      </c>
      <c r="H146" t="s">
        <v>2292</v>
      </c>
      <c r="I146" s="5" t="str" cm="1">
        <f t="array" ref="I146">IF(SUM(COUNTIF(Text_Preprocessing__224[[#This Row],[full_text]],{"*makan siang gratis*";"*MBG*";"*makan gratis*";"*makan bergizi gratis*";"*makangratis*";"*makanan gratis*"})),"Relevan","Tidak Relevan")</f>
        <v>Relevan</v>
      </c>
    </row>
    <row r="147" spans="1:9" x14ac:dyDescent="0.35">
      <c r="A147">
        <f t="shared" si="2"/>
        <v>146</v>
      </c>
      <c r="B147" t="s">
        <v>2293</v>
      </c>
      <c r="C147" t="s">
        <v>272</v>
      </c>
      <c r="D147" t="s">
        <v>2294</v>
      </c>
      <c r="E147" t="s">
        <v>1596</v>
      </c>
      <c r="F147" t="s">
        <v>2295</v>
      </c>
      <c r="G147" t="s">
        <v>2295</v>
      </c>
      <c r="H147" t="s">
        <v>2296</v>
      </c>
      <c r="I147" s="5" t="str" cm="1">
        <f t="array" ref="I147">IF(SUM(COUNTIF(Text_Preprocessing__224[[#This Row],[full_text]],{"*makan siang gratis*";"*MBG*";"*makan gratis*";"*makan bergizi gratis*";"*makangratis*";"*makanan gratis*"})),"Relevan","Tidak Relevan")</f>
        <v>Relevan</v>
      </c>
    </row>
    <row r="148" spans="1:9" x14ac:dyDescent="0.35">
      <c r="A148">
        <f t="shared" si="2"/>
        <v>147</v>
      </c>
      <c r="B148" t="s">
        <v>2297</v>
      </c>
      <c r="C148" t="s">
        <v>274</v>
      </c>
      <c r="D148" t="s">
        <v>2298</v>
      </c>
      <c r="E148" t="s">
        <v>2299</v>
      </c>
      <c r="F148" t="s">
        <v>2300</v>
      </c>
      <c r="G148" t="s">
        <v>2300</v>
      </c>
      <c r="H148" t="s">
        <v>2301</v>
      </c>
      <c r="I148" s="5" t="str" cm="1">
        <f t="array" ref="I148">IF(SUM(COUNTIF(Text_Preprocessing__224[[#This Row],[full_text]],{"*makan siang gratis*";"*MBG*";"*makan gratis*";"*makan bergizi gratis*";"*makangratis*";"*makanan gratis*"})),"Relevan","Tidak Relevan")</f>
        <v>Relevan</v>
      </c>
    </row>
    <row r="149" spans="1:9" x14ac:dyDescent="0.35">
      <c r="A149">
        <f t="shared" si="2"/>
        <v>148</v>
      </c>
      <c r="B149" t="s">
        <v>2302</v>
      </c>
      <c r="C149" t="s">
        <v>276</v>
      </c>
      <c r="D149" t="s">
        <v>2303</v>
      </c>
      <c r="E149" t="s">
        <v>1624</v>
      </c>
      <c r="F149" t="s">
        <v>2304</v>
      </c>
      <c r="G149" t="s">
        <v>2304</v>
      </c>
      <c r="H149" t="s">
        <v>2305</v>
      </c>
      <c r="I149" s="5" t="str" cm="1">
        <f t="array" ref="I149">IF(SUM(COUNTIF(Text_Preprocessing__224[[#This Row],[full_text]],{"*makan siang gratis*";"*MBG*";"*makan gratis*";"*makan bergizi gratis*";"*makangratis*";"*makanan gratis*"})),"Relevan","Tidak Relevan")</f>
        <v>Relevan</v>
      </c>
    </row>
    <row r="150" spans="1:9" x14ac:dyDescent="0.35">
      <c r="A150">
        <f t="shared" si="2"/>
        <v>149</v>
      </c>
      <c r="B150" t="s">
        <v>2306</v>
      </c>
      <c r="C150" t="s">
        <v>143</v>
      </c>
      <c r="D150" t="s">
        <v>2307</v>
      </c>
      <c r="E150" t="s">
        <v>1735</v>
      </c>
      <c r="F150" t="s">
        <v>2308</v>
      </c>
      <c r="G150" t="s">
        <v>2308</v>
      </c>
      <c r="H150" t="s">
        <v>2309</v>
      </c>
      <c r="I150" s="5" t="str" cm="1">
        <f t="array" ref="I150">IF(SUM(COUNTIF(Text_Preprocessing__224[[#This Row],[full_text]],{"*makan siang gratis*";"*MBG*";"*makan gratis*";"*makan bergizi gratis*";"*makangratis*";"*makanan gratis*"})),"Relevan","Tidak Relevan")</f>
        <v>Relevan</v>
      </c>
    </row>
    <row r="151" spans="1:9" x14ac:dyDescent="0.35">
      <c r="A151">
        <f t="shared" si="2"/>
        <v>150</v>
      </c>
      <c r="B151" t="s">
        <v>2310</v>
      </c>
      <c r="C151" t="s">
        <v>174</v>
      </c>
      <c r="D151" t="s">
        <v>2311</v>
      </c>
      <c r="E151" t="s">
        <v>2312</v>
      </c>
      <c r="F151" t="s">
        <v>2313</v>
      </c>
      <c r="G151" t="s">
        <v>2313</v>
      </c>
      <c r="H151" t="s">
        <v>2314</v>
      </c>
      <c r="I151" s="5" t="str" cm="1">
        <f t="array" ref="I151">IF(SUM(COUNTIF(Text_Preprocessing__224[[#This Row],[full_text]],{"*makan siang gratis*";"*MBG*";"*makan gratis*";"*makan bergizi gratis*";"*makangratis*";"*makanan gratis*"})),"Relevan","Tidak Relevan")</f>
        <v>Relevan</v>
      </c>
    </row>
    <row r="152" spans="1:9" x14ac:dyDescent="0.35">
      <c r="A152">
        <f t="shared" si="2"/>
        <v>151</v>
      </c>
      <c r="B152" t="s">
        <v>2315</v>
      </c>
      <c r="C152" t="s">
        <v>280</v>
      </c>
      <c r="D152" t="s">
        <v>2316</v>
      </c>
      <c r="E152" t="s">
        <v>1893</v>
      </c>
      <c r="F152" t="s">
        <v>2317</v>
      </c>
      <c r="G152" t="s">
        <v>2317</v>
      </c>
      <c r="H152" t="s">
        <v>2318</v>
      </c>
      <c r="I152" s="5" t="str" cm="1">
        <f t="array" ref="I152">IF(SUM(COUNTIF(Text_Preprocessing__224[[#This Row],[full_text]],{"*makan siang gratis*";"*MBG*";"*makan gratis*";"*makan bergizi gratis*";"*makangratis*";"*makanan gratis*"})),"Relevan","Tidak Relevan")</f>
        <v>Relevan</v>
      </c>
    </row>
    <row r="153" spans="1:9" x14ac:dyDescent="0.35">
      <c r="A153">
        <f t="shared" si="2"/>
        <v>152</v>
      </c>
      <c r="B153" t="s">
        <v>2319</v>
      </c>
      <c r="C153" t="s">
        <v>282</v>
      </c>
      <c r="D153" t="s">
        <v>2320</v>
      </c>
      <c r="E153" t="s">
        <v>1799</v>
      </c>
      <c r="F153" t="s">
        <v>2321</v>
      </c>
      <c r="G153" t="s">
        <v>2321</v>
      </c>
      <c r="H153" t="s">
        <v>2322</v>
      </c>
      <c r="I153" s="5" t="str" cm="1">
        <f t="array" ref="I153">IF(SUM(COUNTIF(Text_Preprocessing__224[[#This Row],[full_text]],{"*makan siang gratis*";"*MBG*";"*makan gratis*";"*makan bergizi gratis*";"*makangratis*";"*makanan gratis*"})),"Relevan","Tidak Relevan")</f>
        <v>Relevan</v>
      </c>
    </row>
    <row r="154" spans="1:9" x14ac:dyDescent="0.35">
      <c r="A154">
        <f t="shared" si="2"/>
        <v>153</v>
      </c>
      <c r="B154" t="s">
        <v>2323</v>
      </c>
      <c r="C154" t="s">
        <v>143</v>
      </c>
      <c r="D154" t="s">
        <v>2324</v>
      </c>
      <c r="E154" t="s">
        <v>2325</v>
      </c>
      <c r="F154" t="s">
        <v>2326</v>
      </c>
      <c r="G154" t="s">
        <v>2326</v>
      </c>
      <c r="H154" t="s">
        <v>2327</v>
      </c>
      <c r="I154" s="5" t="str" cm="1">
        <f t="array" ref="I154">IF(SUM(COUNTIF(Text_Preprocessing__224[[#This Row],[full_text]],{"*makan siang gratis*";"*MBG*";"*makan gratis*";"*makan bergizi gratis*";"*makangratis*";"*makanan gratis*"})),"Relevan","Tidak Relevan")</f>
        <v>Relevan</v>
      </c>
    </row>
    <row r="155" spans="1:9" x14ac:dyDescent="0.35">
      <c r="A155">
        <f t="shared" si="2"/>
        <v>154</v>
      </c>
      <c r="B155" t="s">
        <v>2328</v>
      </c>
      <c r="C155" t="s">
        <v>285</v>
      </c>
      <c r="D155" t="s">
        <v>2329</v>
      </c>
      <c r="E155" t="s">
        <v>1990</v>
      </c>
      <c r="F155" t="s">
        <v>2330</v>
      </c>
      <c r="G155" t="s">
        <v>2331</v>
      </c>
      <c r="H155" t="s">
        <v>2332</v>
      </c>
      <c r="I155" s="5" t="str" cm="1">
        <f t="array" ref="I155">IF(SUM(COUNTIF(Text_Preprocessing__224[[#This Row],[full_text]],{"*makan siang gratis*";"*MBG*";"*makan gratis*";"*makan bergizi gratis*";"*makangratis*";"*makanan gratis*"})),"Relevan","Tidak Relevan")</f>
        <v>Relevan</v>
      </c>
    </row>
    <row r="156" spans="1:9" x14ac:dyDescent="0.35">
      <c r="A156">
        <f t="shared" si="2"/>
        <v>155</v>
      </c>
      <c r="B156" t="s">
        <v>2333</v>
      </c>
      <c r="C156" t="s">
        <v>223</v>
      </c>
      <c r="D156" t="s">
        <v>2334</v>
      </c>
      <c r="E156" t="s">
        <v>2335</v>
      </c>
      <c r="F156" t="s">
        <v>2336</v>
      </c>
      <c r="G156" t="s">
        <v>2336</v>
      </c>
      <c r="H156" t="s">
        <v>2337</v>
      </c>
      <c r="I156" s="5" t="str" cm="1">
        <f t="array" ref="I156">IF(SUM(COUNTIF(Text_Preprocessing__224[[#This Row],[full_text]],{"*makan siang gratis*";"*MBG*";"*makan gratis*";"*makan bergizi gratis*";"*makangratis*";"*makanan gratis*"})),"Relevan","Tidak Relevan")</f>
        <v>Relevan</v>
      </c>
    </row>
    <row r="157" spans="1:9" x14ac:dyDescent="0.35">
      <c r="A157">
        <f t="shared" si="2"/>
        <v>156</v>
      </c>
      <c r="B157" t="s">
        <v>2338</v>
      </c>
      <c r="C157" t="s">
        <v>217</v>
      </c>
      <c r="D157" t="s">
        <v>2339</v>
      </c>
      <c r="E157" t="s">
        <v>1990</v>
      </c>
      <c r="F157" t="s">
        <v>2340</v>
      </c>
      <c r="G157" t="s">
        <v>2340</v>
      </c>
      <c r="H157" t="s">
        <v>2341</v>
      </c>
      <c r="I157" s="5" t="str" cm="1">
        <f t="array" ref="I157">IF(SUM(COUNTIF(Text_Preprocessing__224[[#This Row],[full_text]],{"*makan siang gratis*";"*MBG*";"*makan gratis*";"*makan bergizi gratis*";"*makangratis*";"*makanan gratis*"})),"Relevan","Tidak Relevan")</f>
        <v>Relevan</v>
      </c>
    </row>
    <row r="158" spans="1:9" x14ac:dyDescent="0.35">
      <c r="A158">
        <f t="shared" si="2"/>
        <v>157</v>
      </c>
      <c r="B158" t="s">
        <v>2342</v>
      </c>
      <c r="C158" t="s">
        <v>289</v>
      </c>
      <c r="D158" t="s">
        <v>2343</v>
      </c>
      <c r="E158" t="s">
        <v>1893</v>
      </c>
      <c r="F158" t="s">
        <v>2344</v>
      </c>
      <c r="G158" t="s">
        <v>2344</v>
      </c>
      <c r="H158" t="s">
        <v>2345</v>
      </c>
      <c r="I158" s="5" t="str" cm="1">
        <f t="array" ref="I158">IF(SUM(COUNTIF(Text_Preprocessing__224[[#This Row],[full_text]],{"*makan siang gratis*";"*MBG*";"*makan gratis*";"*makan bergizi gratis*";"*makangratis*";"*makanan gratis*"})),"Relevan","Tidak Relevan")</f>
        <v>Relevan</v>
      </c>
    </row>
    <row r="159" spans="1:9" x14ac:dyDescent="0.35">
      <c r="A159">
        <f t="shared" si="2"/>
        <v>158</v>
      </c>
      <c r="B159" t="s">
        <v>2346</v>
      </c>
      <c r="C159" t="s">
        <v>291</v>
      </c>
      <c r="D159" t="s">
        <v>2347</v>
      </c>
      <c r="E159" t="s">
        <v>2348</v>
      </c>
      <c r="F159" t="s">
        <v>2349</v>
      </c>
      <c r="G159" t="s">
        <v>2349</v>
      </c>
      <c r="H159" t="s">
        <v>2350</v>
      </c>
      <c r="I159" s="5" t="str" cm="1">
        <f t="array" ref="I159">IF(SUM(COUNTIF(Text_Preprocessing__224[[#This Row],[full_text]],{"*makan siang gratis*";"*MBG*";"*makan gratis*";"*makan bergizi gratis*";"*makangratis*";"*makanan gratis*"})),"Relevan","Tidak Relevan")</f>
        <v>Relevan</v>
      </c>
    </row>
    <row r="160" spans="1:9" x14ac:dyDescent="0.35">
      <c r="A160">
        <f t="shared" si="2"/>
        <v>159</v>
      </c>
      <c r="B160" t="s">
        <v>2351</v>
      </c>
      <c r="C160" t="s">
        <v>276</v>
      </c>
      <c r="D160" t="s">
        <v>2352</v>
      </c>
      <c r="E160" t="s">
        <v>1624</v>
      </c>
      <c r="F160" t="s">
        <v>2353</v>
      </c>
      <c r="G160" t="s">
        <v>2353</v>
      </c>
      <c r="H160" t="s">
        <v>2354</v>
      </c>
      <c r="I160" s="5" t="str" cm="1">
        <f t="array" ref="I160">IF(SUM(COUNTIF(Text_Preprocessing__224[[#This Row],[full_text]],{"*makan siang gratis*";"*MBG*";"*makan gratis*";"*makan bergizi gratis*";"*makangratis*";"*makanan gratis*"})),"Relevan","Tidak Relevan")</f>
        <v>Relevan</v>
      </c>
    </row>
    <row r="161" spans="1:9" x14ac:dyDescent="0.35">
      <c r="A161">
        <f t="shared" si="2"/>
        <v>160</v>
      </c>
      <c r="B161" t="s">
        <v>2355</v>
      </c>
      <c r="C161" t="s">
        <v>294</v>
      </c>
      <c r="D161" t="s">
        <v>2356</v>
      </c>
      <c r="E161" t="s">
        <v>2357</v>
      </c>
      <c r="F161" t="s">
        <v>2358</v>
      </c>
      <c r="G161" t="s">
        <v>2359</v>
      </c>
      <c r="H161" t="s">
        <v>2360</v>
      </c>
      <c r="I161" s="5" t="str" cm="1">
        <f t="array" ref="I161">IF(SUM(COUNTIF(Text_Preprocessing__224[[#This Row],[full_text]],{"*makan siang gratis*";"*MBG*";"*makan gratis*";"*makan bergizi gratis*";"*makangratis*";"*makanan gratis*"})),"Relevan","Tidak Relevan")</f>
        <v>Relevan</v>
      </c>
    </row>
    <row r="162" spans="1:9" x14ac:dyDescent="0.35">
      <c r="A162">
        <f t="shared" si="2"/>
        <v>161</v>
      </c>
      <c r="B162" t="s">
        <v>2361</v>
      </c>
      <c r="C162" t="s">
        <v>296</v>
      </c>
      <c r="D162" t="s">
        <v>2362</v>
      </c>
      <c r="E162" t="s">
        <v>1730</v>
      </c>
      <c r="F162" t="s">
        <v>2363</v>
      </c>
      <c r="G162" t="s">
        <v>2363</v>
      </c>
      <c r="H162" t="s">
        <v>2364</v>
      </c>
      <c r="I162" s="5" t="str" cm="1">
        <f t="array" ref="I162">IF(SUM(COUNTIF(Text_Preprocessing__224[[#This Row],[full_text]],{"*makan siang gratis*";"*MBG*";"*makan gratis*";"*makan bergizi gratis*";"*makangratis*";"*makanan gratis*"})),"Relevan","Tidak Relevan")</f>
        <v>Relevan</v>
      </c>
    </row>
    <row r="163" spans="1:9" x14ac:dyDescent="0.35">
      <c r="A163">
        <f t="shared" si="2"/>
        <v>162</v>
      </c>
      <c r="B163" t="s">
        <v>2365</v>
      </c>
      <c r="C163" t="s">
        <v>280</v>
      </c>
      <c r="D163" t="s">
        <v>2366</v>
      </c>
      <c r="E163" t="s">
        <v>1999</v>
      </c>
      <c r="F163" t="s">
        <v>2367</v>
      </c>
      <c r="G163" t="s">
        <v>2367</v>
      </c>
      <c r="H163" t="s">
        <v>2368</v>
      </c>
      <c r="I163" s="5" t="str" cm="1">
        <f t="array" ref="I163">IF(SUM(COUNTIF(Text_Preprocessing__224[[#This Row],[full_text]],{"*makan siang gratis*";"*MBG*";"*makan gratis*";"*makan bergizi gratis*";"*makangratis*";"*makanan gratis*"})),"Relevan","Tidak Relevan")</f>
        <v>Relevan</v>
      </c>
    </row>
    <row r="164" spans="1:9" x14ac:dyDescent="0.35">
      <c r="A164">
        <f t="shared" si="2"/>
        <v>163</v>
      </c>
      <c r="B164" t="s">
        <v>2369</v>
      </c>
      <c r="C164" t="s">
        <v>76</v>
      </c>
      <c r="D164" t="s">
        <v>2370</v>
      </c>
      <c r="E164" t="s">
        <v>2154</v>
      </c>
      <c r="F164" t="s">
        <v>2371</v>
      </c>
      <c r="G164" t="s">
        <v>2371</v>
      </c>
      <c r="H164" t="s">
        <v>2372</v>
      </c>
      <c r="I164" s="5" t="str" cm="1">
        <f t="array" ref="I164">IF(SUM(COUNTIF(Text_Preprocessing__224[[#This Row],[full_text]],{"*makan siang gratis*";"*MBG*";"*makan gratis*";"*makan bergizi gratis*";"*makangratis*";"*makanan gratis*"})),"Relevan","Tidak Relevan")</f>
        <v>Relevan</v>
      </c>
    </row>
    <row r="165" spans="1:9" x14ac:dyDescent="0.35">
      <c r="A165">
        <f t="shared" si="2"/>
        <v>164</v>
      </c>
      <c r="B165" t="s">
        <v>2373</v>
      </c>
      <c r="C165" t="s">
        <v>213</v>
      </c>
      <c r="D165" t="s">
        <v>2374</v>
      </c>
      <c r="E165" t="s">
        <v>2272</v>
      </c>
      <c r="F165" t="s">
        <v>2375</v>
      </c>
      <c r="G165" t="s">
        <v>2375</v>
      </c>
      <c r="H165" t="s">
        <v>2376</v>
      </c>
      <c r="I165" s="5" t="str" cm="1">
        <f t="array" ref="I165">IF(SUM(COUNTIF(Text_Preprocessing__224[[#This Row],[full_text]],{"*makan siang gratis*";"*MBG*";"*makan gratis*";"*makan bergizi gratis*";"*makangratis*";"*makanan gratis*"})),"Relevan","Tidak Relevan")</f>
        <v>Relevan</v>
      </c>
    </row>
    <row r="166" spans="1:9" x14ac:dyDescent="0.35">
      <c r="A166">
        <f t="shared" si="2"/>
        <v>165</v>
      </c>
      <c r="B166" t="s">
        <v>2377</v>
      </c>
      <c r="C166" t="s">
        <v>213</v>
      </c>
      <c r="D166" t="s">
        <v>2378</v>
      </c>
      <c r="E166" t="s">
        <v>1624</v>
      </c>
      <c r="F166" t="s">
        <v>2379</v>
      </c>
      <c r="G166" t="s">
        <v>2379</v>
      </c>
      <c r="H166" t="s">
        <v>2380</v>
      </c>
      <c r="I166" s="5" t="str" cm="1">
        <f t="array" ref="I166">IF(SUM(COUNTIF(Text_Preprocessing__224[[#This Row],[full_text]],{"*makan siang gratis*";"*MBG*";"*makan gratis*";"*makan bergizi gratis*";"*makangratis*";"*makanan gratis*"})),"Relevan","Tidak Relevan")</f>
        <v>Relevan</v>
      </c>
    </row>
    <row r="167" spans="1:9" x14ac:dyDescent="0.35">
      <c r="A167">
        <f t="shared" si="2"/>
        <v>166</v>
      </c>
      <c r="B167" t="s">
        <v>2381</v>
      </c>
      <c r="C167" t="s">
        <v>280</v>
      </c>
      <c r="D167" t="s">
        <v>2382</v>
      </c>
      <c r="E167" t="s">
        <v>1893</v>
      </c>
      <c r="F167" t="s">
        <v>2383</v>
      </c>
      <c r="G167" t="s">
        <v>2383</v>
      </c>
      <c r="H167" t="s">
        <v>2384</v>
      </c>
      <c r="I167" s="5" t="str" cm="1">
        <f t="array" ref="I167">IF(SUM(COUNTIF(Text_Preprocessing__224[[#This Row],[full_text]],{"*makan siang gratis*";"*MBG*";"*makan gratis*";"*makan bergizi gratis*";"*makangratis*";"*makanan gratis*"})),"Relevan","Tidak Relevan")</f>
        <v>Relevan</v>
      </c>
    </row>
    <row r="168" spans="1:9" x14ac:dyDescent="0.35">
      <c r="A168">
        <f t="shared" si="2"/>
        <v>167</v>
      </c>
      <c r="B168" t="s">
        <v>2385</v>
      </c>
      <c r="C168" t="s">
        <v>253</v>
      </c>
      <c r="D168" t="s">
        <v>2386</v>
      </c>
      <c r="E168" t="s">
        <v>2387</v>
      </c>
      <c r="F168" t="s">
        <v>2388</v>
      </c>
      <c r="G168" t="s">
        <v>2388</v>
      </c>
      <c r="H168" t="s">
        <v>2389</v>
      </c>
      <c r="I168" s="5" t="str" cm="1">
        <f t="array" ref="I168">IF(SUM(COUNTIF(Text_Preprocessing__224[[#This Row],[full_text]],{"*makan siang gratis*";"*MBG*";"*makan gratis*";"*makan bergizi gratis*";"*makangratis*";"*makanan gratis*"})),"Relevan","Tidak Relevan")</f>
        <v>Relevan</v>
      </c>
    </row>
    <row r="169" spans="1:9" x14ac:dyDescent="0.35">
      <c r="A169">
        <f t="shared" si="2"/>
        <v>168</v>
      </c>
      <c r="B169" t="s">
        <v>2390</v>
      </c>
      <c r="C169" t="s">
        <v>304</v>
      </c>
      <c r="D169" t="s">
        <v>2391</v>
      </c>
      <c r="E169" t="s">
        <v>2149</v>
      </c>
      <c r="F169" t="s">
        <v>2392</v>
      </c>
      <c r="G169" t="s">
        <v>2392</v>
      </c>
      <c r="H169" t="s">
        <v>2393</v>
      </c>
      <c r="I169" s="5" t="str" cm="1">
        <f t="array" ref="I169">IF(SUM(COUNTIF(Text_Preprocessing__224[[#This Row],[full_text]],{"*makan siang gratis*";"*MBG*";"*makan gratis*";"*makan bergizi gratis*";"*makangratis*";"*makanan gratis*"})),"Relevan","Tidak Relevan")</f>
        <v>Relevan</v>
      </c>
    </row>
    <row r="170" spans="1:9" x14ac:dyDescent="0.35">
      <c r="A170">
        <f t="shared" si="2"/>
        <v>169</v>
      </c>
      <c r="B170" t="s">
        <v>2394</v>
      </c>
      <c r="C170" t="s">
        <v>304</v>
      </c>
      <c r="D170" t="s">
        <v>2395</v>
      </c>
      <c r="E170" t="s">
        <v>2164</v>
      </c>
      <c r="F170" t="s">
        <v>2396</v>
      </c>
      <c r="G170" t="s">
        <v>2396</v>
      </c>
      <c r="H170" t="s">
        <v>2397</v>
      </c>
      <c r="I170" s="5" t="str" cm="1">
        <f t="array" ref="I170">IF(SUM(COUNTIF(Text_Preprocessing__224[[#This Row],[full_text]],{"*makan siang gratis*";"*MBG*";"*makan gratis*";"*makan bergizi gratis*";"*makangratis*";"*makanan gratis*"})),"Relevan","Tidak Relevan")</f>
        <v>Relevan</v>
      </c>
    </row>
    <row r="171" spans="1:9" x14ac:dyDescent="0.35">
      <c r="A171">
        <f t="shared" si="2"/>
        <v>170</v>
      </c>
      <c r="B171" t="s">
        <v>2398</v>
      </c>
      <c r="C171" t="s">
        <v>143</v>
      </c>
      <c r="D171" t="s">
        <v>2399</v>
      </c>
      <c r="E171" t="s">
        <v>1990</v>
      </c>
      <c r="F171" t="s">
        <v>2400</v>
      </c>
      <c r="G171" t="s">
        <v>2400</v>
      </c>
      <c r="H171" t="s">
        <v>2401</v>
      </c>
      <c r="I171" s="5" t="str" cm="1">
        <f t="array" ref="I171">IF(SUM(COUNTIF(Text_Preprocessing__224[[#This Row],[full_text]],{"*makan siang gratis*";"*MBG*";"*makan gratis*";"*makan bergizi gratis*";"*makangratis*";"*makanan gratis*"})),"Relevan","Tidak Relevan")</f>
        <v>Relevan</v>
      </c>
    </row>
    <row r="172" spans="1:9" x14ac:dyDescent="0.35">
      <c r="A172">
        <f t="shared" si="2"/>
        <v>171</v>
      </c>
      <c r="B172" t="s">
        <v>2402</v>
      </c>
      <c r="C172" t="s">
        <v>308</v>
      </c>
      <c r="D172" t="s">
        <v>2403</v>
      </c>
      <c r="E172" t="s">
        <v>2229</v>
      </c>
      <c r="F172" t="s">
        <v>2404</v>
      </c>
      <c r="G172" t="s">
        <v>2404</v>
      </c>
      <c r="H172" t="s">
        <v>2405</v>
      </c>
      <c r="I172" s="5" t="str" cm="1">
        <f t="array" ref="I172">IF(SUM(COUNTIF(Text_Preprocessing__224[[#This Row],[full_text]],{"*makan siang gratis*";"*MBG*";"*makan gratis*";"*makan bergizi gratis*";"*makangratis*";"*makanan gratis*"})),"Relevan","Tidak Relevan")</f>
        <v>Relevan</v>
      </c>
    </row>
    <row r="173" spans="1:9" x14ac:dyDescent="0.35">
      <c r="A173">
        <f t="shared" si="2"/>
        <v>172</v>
      </c>
      <c r="B173" t="s">
        <v>2406</v>
      </c>
      <c r="C173" t="s">
        <v>310</v>
      </c>
      <c r="D173" t="s">
        <v>2407</v>
      </c>
      <c r="E173" t="s">
        <v>1823</v>
      </c>
      <c r="F173" t="s">
        <v>2408</v>
      </c>
      <c r="G173" t="s">
        <v>2408</v>
      </c>
      <c r="H173" t="s">
        <v>2409</v>
      </c>
      <c r="I173" s="5" t="str" cm="1">
        <f t="array" ref="I173">IF(SUM(COUNTIF(Text_Preprocessing__224[[#This Row],[full_text]],{"*makan siang gratis*";"*MBG*";"*makan gratis*";"*makan bergizi gratis*";"*makangratis*";"*makanan gratis*"})),"Relevan","Tidak Relevan")</f>
        <v>Relevan</v>
      </c>
    </row>
    <row r="174" spans="1:9" x14ac:dyDescent="0.35">
      <c r="A174">
        <f t="shared" si="2"/>
        <v>173</v>
      </c>
      <c r="B174" t="s">
        <v>2410</v>
      </c>
      <c r="C174" t="s">
        <v>312</v>
      </c>
      <c r="D174" t="s">
        <v>2411</v>
      </c>
      <c r="E174" t="s">
        <v>2205</v>
      </c>
      <c r="F174" t="s">
        <v>2412</v>
      </c>
      <c r="G174" t="s">
        <v>2412</v>
      </c>
      <c r="H174" t="s">
        <v>2413</v>
      </c>
      <c r="I174" s="5" t="str" cm="1">
        <f t="array" ref="I174">IF(SUM(COUNTIF(Text_Preprocessing__224[[#This Row],[full_text]],{"*makan siang gratis*";"*MBG*";"*makan gratis*";"*makan bergizi gratis*";"*makangratis*";"*makanan gratis*"})),"Relevan","Tidak Relevan")</f>
        <v>Relevan</v>
      </c>
    </row>
    <row r="175" spans="1:9" x14ac:dyDescent="0.35">
      <c r="A175">
        <f t="shared" si="2"/>
        <v>174</v>
      </c>
      <c r="B175" t="s">
        <v>2414</v>
      </c>
      <c r="C175" t="s">
        <v>314</v>
      </c>
      <c r="D175" t="s">
        <v>2415</v>
      </c>
      <c r="E175" t="s">
        <v>1893</v>
      </c>
      <c r="F175" t="s">
        <v>2416</v>
      </c>
      <c r="G175" t="s">
        <v>2417</v>
      </c>
      <c r="H175" t="s">
        <v>2418</v>
      </c>
      <c r="I175" s="5" t="str" cm="1">
        <f t="array" ref="I175">IF(SUM(COUNTIF(Text_Preprocessing__224[[#This Row],[full_text]],{"*makan siang gratis*";"*MBG*";"*makan gratis*";"*makan bergizi gratis*";"*makangratis*";"*makanan gratis*"})),"Relevan","Tidak Relevan")</f>
        <v>Relevan</v>
      </c>
    </row>
    <row r="176" spans="1:9" x14ac:dyDescent="0.35">
      <c r="A176">
        <f t="shared" si="2"/>
        <v>175</v>
      </c>
      <c r="B176" t="s">
        <v>2419</v>
      </c>
      <c r="C176" t="s">
        <v>316</v>
      </c>
      <c r="D176" t="s">
        <v>2420</v>
      </c>
      <c r="E176" t="s">
        <v>2229</v>
      </c>
      <c r="F176" t="s">
        <v>2421</v>
      </c>
      <c r="G176" t="s">
        <v>2422</v>
      </c>
      <c r="H176" t="s">
        <v>2423</v>
      </c>
      <c r="I176" s="5" t="str" cm="1">
        <f t="array" ref="I176">IF(SUM(COUNTIF(Text_Preprocessing__224[[#This Row],[full_text]],{"*makan siang gratis*";"*MBG*";"*makan gratis*";"*makan bergizi gratis*";"*makangratis*";"*makanan gratis*"})),"Relevan","Tidak Relevan")</f>
        <v>Relevan</v>
      </c>
    </row>
    <row r="177" spans="1:9" x14ac:dyDescent="0.35">
      <c r="A177">
        <f t="shared" si="2"/>
        <v>176</v>
      </c>
      <c r="B177" t="s">
        <v>2424</v>
      </c>
      <c r="C177" t="s">
        <v>316</v>
      </c>
      <c r="D177" t="s">
        <v>2425</v>
      </c>
      <c r="E177" t="s">
        <v>1799</v>
      </c>
      <c r="F177" t="s">
        <v>2426</v>
      </c>
      <c r="G177" t="s">
        <v>2426</v>
      </c>
      <c r="H177" t="s">
        <v>2427</v>
      </c>
      <c r="I177" s="5" t="str" cm="1">
        <f t="array" ref="I177">IF(SUM(COUNTIF(Text_Preprocessing__224[[#This Row],[full_text]],{"*makan siang gratis*";"*MBG*";"*makan gratis*";"*makan bergizi gratis*";"*makangratis*";"*makanan gratis*"})),"Relevan","Tidak Relevan")</f>
        <v>Relevan</v>
      </c>
    </row>
    <row r="178" spans="1:9" x14ac:dyDescent="0.35">
      <c r="A178">
        <f t="shared" si="2"/>
        <v>177</v>
      </c>
      <c r="B178" t="s">
        <v>2428</v>
      </c>
      <c r="C178" t="s">
        <v>76</v>
      </c>
      <c r="D178" t="s">
        <v>2429</v>
      </c>
      <c r="E178" t="s">
        <v>1799</v>
      </c>
      <c r="F178" t="s">
        <v>2430</v>
      </c>
      <c r="G178" t="s">
        <v>2430</v>
      </c>
      <c r="H178" t="s">
        <v>2431</v>
      </c>
      <c r="I178" s="5" t="str" cm="1">
        <f t="array" ref="I178">IF(SUM(COUNTIF(Text_Preprocessing__224[[#This Row],[full_text]],{"*makan siang gratis*";"*MBG*";"*makan gratis*";"*makan bergizi gratis*";"*makangratis*";"*makanan gratis*"})),"Relevan","Tidak Relevan")</f>
        <v>Relevan</v>
      </c>
    </row>
    <row r="179" spans="1:9" x14ac:dyDescent="0.35">
      <c r="A179">
        <f t="shared" si="2"/>
        <v>178</v>
      </c>
      <c r="B179" t="s">
        <v>2432</v>
      </c>
      <c r="C179" t="s">
        <v>324</v>
      </c>
      <c r="D179" t="s">
        <v>2433</v>
      </c>
      <c r="E179" t="s">
        <v>1839</v>
      </c>
      <c r="F179" t="s">
        <v>2434</v>
      </c>
      <c r="G179" t="s">
        <v>2434</v>
      </c>
      <c r="H179" t="s">
        <v>2435</v>
      </c>
      <c r="I179" s="5" t="str" cm="1">
        <f t="array" ref="I179">IF(SUM(COUNTIF(Text_Preprocessing__224[[#This Row],[full_text]],{"*makan siang gratis*";"*MBG*";"*makan gratis*";"*makan bergizi gratis*";"*makangratis*";"*makanan gratis*"})),"Relevan","Tidak Relevan")</f>
        <v>Relevan</v>
      </c>
    </row>
    <row r="180" spans="1:9" x14ac:dyDescent="0.35">
      <c r="A180">
        <f t="shared" si="2"/>
        <v>179</v>
      </c>
      <c r="B180" t="s">
        <v>2436</v>
      </c>
      <c r="C180" t="s">
        <v>326</v>
      </c>
      <c r="D180" t="s">
        <v>2437</v>
      </c>
      <c r="E180" t="s">
        <v>1613</v>
      </c>
      <c r="F180" t="s">
        <v>2438</v>
      </c>
      <c r="G180" t="s">
        <v>2438</v>
      </c>
      <c r="H180" t="s">
        <v>2439</v>
      </c>
      <c r="I180" s="5" t="str" cm="1">
        <f t="array" ref="I180">IF(SUM(COUNTIF(Text_Preprocessing__224[[#This Row],[full_text]],{"*makan siang gratis*";"*MBG*";"*makan gratis*";"*makan bergizi gratis*";"*makangratis*";"*makanan gratis*"})),"Relevan","Tidak Relevan")</f>
        <v>Relevan</v>
      </c>
    </row>
    <row r="181" spans="1:9" x14ac:dyDescent="0.35">
      <c r="A181">
        <f t="shared" si="2"/>
        <v>180</v>
      </c>
      <c r="B181" t="s">
        <v>2440</v>
      </c>
      <c r="C181" t="s">
        <v>242</v>
      </c>
      <c r="D181" t="s">
        <v>2441</v>
      </c>
      <c r="E181" t="s">
        <v>2442</v>
      </c>
      <c r="F181" t="s">
        <v>2443</v>
      </c>
      <c r="G181" t="s">
        <v>2443</v>
      </c>
      <c r="H181" t="s">
        <v>2444</v>
      </c>
      <c r="I181" s="5" t="str" cm="1">
        <f t="array" ref="I181">IF(SUM(COUNTIF(Text_Preprocessing__224[[#This Row],[full_text]],{"*makan siang gratis*";"*MBG*";"*makan gratis*";"*makan bergizi gratis*";"*makangratis*";"*makanan gratis*"})),"Relevan","Tidak Relevan")</f>
        <v>Relevan</v>
      </c>
    </row>
    <row r="182" spans="1:9" x14ac:dyDescent="0.35">
      <c r="A182">
        <f t="shared" si="2"/>
        <v>181</v>
      </c>
      <c r="B182" t="s">
        <v>2445</v>
      </c>
      <c r="C182" t="s">
        <v>213</v>
      </c>
      <c r="D182" t="s">
        <v>2446</v>
      </c>
      <c r="E182" t="s">
        <v>2253</v>
      </c>
      <c r="F182" t="s">
        <v>2447</v>
      </c>
      <c r="G182" t="s">
        <v>2447</v>
      </c>
      <c r="H182" t="s">
        <v>2448</v>
      </c>
      <c r="I182" s="5" t="str" cm="1">
        <f t="array" ref="I182">IF(SUM(COUNTIF(Text_Preprocessing__224[[#This Row],[full_text]],{"*makan siang gratis*";"*MBG*";"*makan gratis*";"*makan bergizi gratis*";"*makangratis*";"*makanan gratis*"})),"Relevan","Tidak Relevan")</f>
        <v>Relevan</v>
      </c>
    </row>
    <row r="183" spans="1:9" x14ac:dyDescent="0.35">
      <c r="A183">
        <f t="shared" si="2"/>
        <v>182</v>
      </c>
      <c r="B183" t="s">
        <v>2449</v>
      </c>
      <c r="C183" t="s">
        <v>330</v>
      </c>
      <c r="D183" t="s">
        <v>2450</v>
      </c>
      <c r="E183" t="s">
        <v>2114</v>
      </c>
      <c r="F183" t="s">
        <v>2451</v>
      </c>
      <c r="G183" t="s">
        <v>2451</v>
      </c>
      <c r="H183" t="s">
        <v>2452</v>
      </c>
      <c r="I183" s="5" t="str" cm="1">
        <f t="array" ref="I183">IF(SUM(COUNTIF(Text_Preprocessing__224[[#This Row],[full_text]],{"*makan siang gratis*";"*MBG*";"*makan gratis*";"*makan bergizi gratis*";"*makangratis*";"*makanan gratis*"})),"Relevan","Tidak Relevan")</f>
        <v>Relevan</v>
      </c>
    </row>
    <row r="184" spans="1:9" x14ac:dyDescent="0.35">
      <c r="A184">
        <f t="shared" si="2"/>
        <v>183</v>
      </c>
      <c r="B184" t="s">
        <v>2453</v>
      </c>
      <c r="C184" t="s">
        <v>332</v>
      </c>
      <c r="D184" t="s">
        <v>2454</v>
      </c>
      <c r="E184" t="s">
        <v>2041</v>
      </c>
      <c r="F184" t="s">
        <v>2455</v>
      </c>
      <c r="G184" t="s">
        <v>2455</v>
      </c>
      <c r="H184" t="s">
        <v>2456</v>
      </c>
      <c r="I184" s="5" t="str" cm="1">
        <f t="array" ref="I184">IF(SUM(COUNTIF(Text_Preprocessing__224[[#This Row],[full_text]],{"*makan siang gratis*";"*MBG*";"*makan gratis*";"*makan bergizi gratis*";"*makangratis*";"*makanan gratis*"})),"Relevan","Tidak Relevan")</f>
        <v>Relevan</v>
      </c>
    </row>
    <row r="185" spans="1:9" x14ac:dyDescent="0.35">
      <c r="A185">
        <f t="shared" si="2"/>
        <v>184</v>
      </c>
      <c r="B185" t="s">
        <v>2457</v>
      </c>
      <c r="C185" t="s">
        <v>330</v>
      </c>
      <c r="D185" t="s">
        <v>2458</v>
      </c>
      <c r="E185" t="s">
        <v>2143</v>
      </c>
      <c r="F185" t="s">
        <v>2459</v>
      </c>
      <c r="G185" t="s">
        <v>2460</v>
      </c>
      <c r="H185" t="s">
        <v>2461</v>
      </c>
      <c r="I185" s="5" t="str" cm="1">
        <f t="array" ref="I185">IF(SUM(COUNTIF(Text_Preprocessing__224[[#This Row],[full_text]],{"*makan siang gratis*";"*MBG*";"*makan gratis*";"*makan bergizi gratis*";"*makangratis*";"*makanan gratis*"})),"Relevan","Tidak Relevan")</f>
        <v>Relevan</v>
      </c>
    </row>
    <row r="186" spans="1:9" x14ac:dyDescent="0.35">
      <c r="A186">
        <f t="shared" si="2"/>
        <v>185</v>
      </c>
      <c r="B186" t="s">
        <v>2462</v>
      </c>
      <c r="C186" t="s">
        <v>335</v>
      </c>
      <c r="D186" t="s">
        <v>2463</v>
      </c>
      <c r="E186" t="s">
        <v>1839</v>
      </c>
      <c r="F186" t="s">
        <v>2464</v>
      </c>
      <c r="G186" t="s">
        <v>2464</v>
      </c>
      <c r="H186" t="s">
        <v>2465</v>
      </c>
      <c r="I186" s="5" t="str" cm="1">
        <f t="array" ref="I186">IF(SUM(COUNTIF(Text_Preprocessing__224[[#This Row],[full_text]],{"*makan siang gratis*";"*MBG*";"*makan gratis*";"*makan bergizi gratis*";"*makangratis*";"*makanan gratis*"})),"Relevan","Tidak Relevan")</f>
        <v>Relevan</v>
      </c>
    </row>
    <row r="187" spans="1:9" x14ac:dyDescent="0.35">
      <c r="A187">
        <f t="shared" si="2"/>
        <v>186</v>
      </c>
      <c r="B187" t="s">
        <v>2466</v>
      </c>
      <c r="C187" t="s">
        <v>337</v>
      </c>
      <c r="D187" t="s">
        <v>2467</v>
      </c>
      <c r="E187" t="s">
        <v>1629</v>
      </c>
      <c r="F187" t="s">
        <v>2468</v>
      </c>
      <c r="G187" t="s">
        <v>2469</v>
      </c>
      <c r="H187" t="s">
        <v>2470</v>
      </c>
      <c r="I187" s="5" t="str" cm="1">
        <f t="array" ref="I187">IF(SUM(COUNTIF(Text_Preprocessing__224[[#This Row],[full_text]],{"*makan siang gratis*";"*MBG*";"*makan gratis*";"*makan bergizi gratis*";"*makangratis*";"*makanan gratis*"})),"Relevan","Tidak Relevan")</f>
        <v>Relevan</v>
      </c>
    </row>
    <row r="188" spans="1:9" x14ac:dyDescent="0.35">
      <c r="A188">
        <f t="shared" si="2"/>
        <v>187</v>
      </c>
      <c r="B188" t="s">
        <v>2471</v>
      </c>
      <c r="C188" t="s">
        <v>339</v>
      </c>
      <c r="D188" t="s">
        <v>2472</v>
      </c>
      <c r="E188" t="s">
        <v>1663</v>
      </c>
      <c r="F188" t="s">
        <v>2473</v>
      </c>
      <c r="G188" t="s">
        <v>2473</v>
      </c>
      <c r="H188" t="s">
        <v>2474</v>
      </c>
      <c r="I188" s="5" t="str" cm="1">
        <f t="array" ref="I188">IF(SUM(COUNTIF(Text_Preprocessing__224[[#This Row],[full_text]],{"*makan siang gratis*";"*MBG*";"*makan gratis*";"*makan bergizi gratis*";"*makangratis*";"*makanan gratis*"})),"Relevan","Tidak Relevan")</f>
        <v>Relevan</v>
      </c>
    </row>
    <row r="189" spans="1:9" x14ac:dyDescent="0.35">
      <c r="A189">
        <f t="shared" si="2"/>
        <v>188</v>
      </c>
      <c r="B189" t="s">
        <v>2475</v>
      </c>
      <c r="C189" t="s">
        <v>341</v>
      </c>
      <c r="D189" t="s">
        <v>2476</v>
      </c>
      <c r="E189" t="s">
        <v>2109</v>
      </c>
      <c r="F189" t="s">
        <v>2477</v>
      </c>
      <c r="G189" t="s">
        <v>2477</v>
      </c>
      <c r="H189" t="s">
        <v>2478</v>
      </c>
      <c r="I189" s="5" t="str" cm="1">
        <f t="array" ref="I189">IF(SUM(COUNTIF(Text_Preprocessing__224[[#This Row],[full_text]],{"*makan siang gratis*";"*MBG*";"*makan gratis*";"*makan bergizi gratis*";"*makangratis*";"*makanan gratis*"})),"Relevan","Tidak Relevan")</f>
        <v>Relevan</v>
      </c>
    </row>
    <row r="190" spans="1:9" x14ac:dyDescent="0.35">
      <c r="A190">
        <f t="shared" si="2"/>
        <v>189</v>
      </c>
      <c r="B190" t="s">
        <v>2479</v>
      </c>
      <c r="C190" t="s">
        <v>343</v>
      </c>
      <c r="D190" t="s">
        <v>2480</v>
      </c>
      <c r="E190" t="s">
        <v>1990</v>
      </c>
      <c r="F190" t="s">
        <v>2481</v>
      </c>
      <c r="G190" t="s">
        <v>2481</v>
      </c>
      <c r="H190" t="s">
        <v>2482</v>
      </c>
      <c r="I190" s="5" t="str" cm="1">
        <f t="array" ref="I190">IF(SUM(COUNTIF(Text_Preprocessing__224[[#This Row],[full_text]],{"*makan siang gratis*";"*MBG*";"*makan gratis*";"*makan bergizi gratis*";"*makangratis*";"*makanan gratis*"})),"Relevan","Tidak Relevan")</f>
        <v>Relevan</v>
      </c>
    </row>
    <row r="191" spans="1:9" x14ac:dyDescent="0.35">
      <c r="A191">
        <f t="shared" si="2"/>
        <v>190</v>
      </c>
      <c r="B191" t="s">
        <v>2483</v>
      </c>
      <c r="C191" t="s">
        <v>345</v>
      </c>
      <c r="D191" t="s">
        <v>2484</v>
      </c>
      <c r="E191" t="s">
        <v>1785</v>
      </c>
      <c r="F191" t="s">
        <v>2485</v>
      </c>
      <c r="G191" t="s">
        <v>2485</v>
      </c>
      <c r="H191" t="s">
        <v>2486</v>
      </c>
      <c r="I191" s="5" t="str" cm="1">
        <f t="array" ref="I191">IF(SUM(COUNTIF(Text_Preprocessing__224[[#This Row],[full_text]],{"*makan siang gratis*";"*MBG*";"*makan gratis*";"*makan bergizi gratis*";"*makangratis*";"*makanan gratis*"})),"Relevan","Tidak Relevan")</f>
        <v>Relevan</v>
      </c>
    </row>
    <row r="192" spans="1:9" x14ac:dyDescent="0.35">
      <c r="A192">
        <f t="shared" si="2"/>
        <v>191</v>
      </c>
      <c r="B192" t="s">
        <v>2487</v>
      </c>
      <c r="C192" t="s">
        <v>347</v>
      </c>
      <c r="D192" t="s">
        <v>2488</v>
      </c>
      <c r="E192" t="s">
        <v>1844</v>
      </c>
      <c r="F192" t="s">
        <v>2489</v>
      </c>
      <c r="G192" t="s">
        <v>2489</v>
      </c>
      <c r="H192" t="s">
        <v>2490</v>
      </c>
      <c r="I192" s="5" t="str" cm="1">
        <f t="array" ref="I192">IF(SUM(COUNTIF(Text_Preprocessing__224[[#This Row],[full_text]],{"*makan siang gratis*";"*MBG*";"*makan gratis*";"*makan bergizi gratis*";"*makangratis*";"*makanan gratis*"})),"Relevan","Tidak Relevan")</f>
        <v>Relevan</v>
      </c>
    </row>
    <row r="193" spans="1:9" x14ac:dyDescent="0.35">
      <c r="A193">
        <f t="shared" si="2"/>
        <v>192</v>
      </c>
      <c r="B193" t="s">
        <v>2491</v>
      </c>
      <c r="C193" t="s">
        <v>349</v>
      </c>
      <c r="D193" t="s">
        <v>2492</v>
      </c>
      <c r="E193" t="s">
        <v>1596</v>
      </c>
      <c r="F193" t="s">
        <v>2493</v>
      </c>
      <c r="G193" t="s">
        <v>2493</v>
      </c>
      <c r="H193" t="s">
        <v>2494</v>
      </c>
      <c r="I193" s="5" t="str" cm="1">
        <f t="array" ref="I193">IF(SUM(COUNTIF(Text_Preprocessing__224[[#This Row],[full_text]],{"*makan siang gratis*";"*MBG*";"*makan gratis*";"*makan bergizi gratis*";"*makangratis*";"*makanan gratis*"})),"Relevan","Tidak Relevan")</f>
        <v>Relevan</v>
      </c>
    </row>
    <row r="194" spans="1:9" x14ac:dyDescent="0.35">
      <c r="A194">
        <f t="shared" si="2"/>
        <v>193</v>
      </c>
      <c r="B194" t="s">
        <v>2495</v>
      </c>
      <c r="C194" t="s">
        <v>76</v>
      </c>
      <c r="D194" t="s">
        <v>2496</v>
      </c>
      <c r="E194" t="s">
        <v>1794</v>
      </c>
      <c r="F194" t="s">
        <v>2497</v>
      </c>
      <c r="G194" t="s">
        <v>2497</v>
      </c>
      <c r="H194" t="s">
        <v>2498</v>
      </c>
      <c r="I194" s="5" t="str" cm="1">
        <f t="array" ref="I194">IF(SUM(COUNTIF(Text_Preprocessing__224[[#This Row],[full_text]],{"*makan siang gratis*";"*MBG*";"*makan gratis*";"*makan bergizi gratis*";"*makangratis*";"*makanan gratis*"})),"Relevan","Tidak Relevan")</f>
        <v>Relevan</v>
      </c>
    </row>
    <row r="195" spans="1:9" x14ac:dyDescent="0.35">
      <c r="A195">
        <f t="shared" si="2"/>
        <v>194</v>
      </c>
      <c r="B195" t="s">
        <v>2499</v>
      </c>
      <c r="C195" t="s">
        <v>352</v>
      </c>
      <c r="D195" t="s">
        <v>2500</v>
      </c>
      <c r="E195" t="s">
        <v>2312</v>
      </c>
      <c r="F195" t="s">
        <v>2501</v>
      </c>
      <c r="G195" t="s">
        <v>2501</v>
      </c>
      <c r="H195" t="s">
        <v>2502</v>
      </c>
      <c r="I195" s="5" t="str" cm="1">
        <f t="array" ref="I195">IF(SUM(COUNTIF(Text_Preprocessing__224[[#This Row],[full_text]],{"*makan siang gratis*";"*MBG*";"*makan gratis*";"*makan bergizi gratis*";"*makangratis*";"*makanan gratis*"})),"Relevan","Tidak Relevan")</f>
        <v>Relevan</v>
      </c>
    </row>
    <row r="196" spans="1:9" x14ac:dyDescent="0.35">
      <c r="A196">
        <f t="shared" ref="A196:A259" si="3">SUM(A195+1)</f>
        <v>195</v>
      </c>
      <c r="B196" t="s">
        <v>2503</v>
      </c>
      <c r="C196" t="s">
        <v>354</v>
      </c>
      <c r="D196" t="s">
        <v>2504</v>
      </c>
      <c r="E196" t="s">
        <v>2505</v>
      </c>
      <c r="F196" t="s">
        <v>2506</v>
      </c>
      <c r="G196" t="s">
        <v>2506</v>
      </c>
      <c r="H196" t="s">
        <v>2507</v>
      </c>
      <c r="I196" s="5" t="str" cm="1">
        <f t="array" ref="I196">IF(SUM(COUNTIF(Text_Preprocessing__224[[#This Row],[full_text]],{"*makan siang gratis*";"*MBG*";"*makan gratis*";"*makan bergizi gratis*";"*makangratis*";"*makanan gratis*"})),"Relevan","Tidak Relevan")</f>
        <v>Relevan</v>
      </c>
    </row>
    <row r="197" spans="1:9" x14ac:dyDescent="0.35">
      <c r="A197">
        <f t="shared" si="3"/>
        <v>196</v>
      </c>
      <c r="B197" t="s">
        <v>2508</v>
      </c>
      <c r="C197" t="s">
        <v>76</v>
      </c>
      <c r="D197" t="s">
        <v>2509</v>
      </c>
      <c r="E197" t="s">
        <v>2510</v>
      </c>
      <c r="F197" t="s">
        <v>2511</v>
      </c>
      <c r="G197" t="s">
        <v>2511</v>
      </c>
      <c r="H197" t="s">
        <v>2512</v>
      </c>
      <c r="I197" s="5" t="str" cm="1">
        <f t="array" ref="I197">IF(SUM(COUNTIF(Text_Preprocessing__224[[#This Row],[full_text]],{"*makan siang gratis*";"*MBG*";"*makan gratis*";"*makan bergizi gratis*";"*makangratis*";"*makanan gratis*"})),"Relevan","Tidak Relevan")</f>
        <v>Relevan</v>
      </c>
    </row>
    <row r="198" spans="1:9" x14ac:dyDescent="0.35">
      <c r="A198">
        <f t="shared" si="3"/>
        <v>197</v>
      </c>
      <c r="B198" t="s">
        <v>2513</v>
      </c>
      <c r="C198" t="s">
        <v>242</v>
      </c>
      <c r="D198" t="s">
        <v>2514</v>
      </c>
      <c r="E198" t="s">
        <v>2515</v>
      </c>
      <c r="F198" t="s">
        <v>2516</v>
      </c>
      <c r="G198" t="s">
        <v>2516</v>
      </c>
      <c r="H198" t="s">
        <v>2517</v>
      </c>
      <c r="I198" s="5" t="str" cm="1">
        <f t="array" ref="I198">IF(SUM(COUNTIF(Text_Preprocessing__224[[#This Row],[full_text]],{"*makan siang gratis*";"*MBG*";"*makan gratis*";"*makan bergizi gratis*";"*makangratis*";"*makanan gratis*"})),"Relevan","Tidak Relevan")</f>
        <v>Relevan</v>
      </c>
    </row>
    <row r="199" spans="1:9" x14ac:dyDescent="0.35">
      <c r="A199">
        <f t="shared" si="3"/>
        <v>198</v>
      </c>
      <c r="B199" t="s">
        <v>2518</v>
      </c>
      <c r="C199" t="s">
        <v>242</v>
      </c>
      <c r="D199" t="s">
        <v>2519</v>
      </c>
      <c r="E199" t="s">
        <v>1680</v>
      </c>
      <c r="F199" t="s">
        <v>2520</v>
      </c>
      <c r="G199" t="s">
        <v>2520</v>
      </c>
      <c r="H199" t="s">
        <v>2521</v>
      </c>
      <c r="I199" s="5" t="str" cm="1">
        <f t="array" ref="I199">IF(SUM(COUNTIF(Text_Preprocessing__224[[#This Row],[full_text]],{"*makan siang gratis*";"*MBG*";"*makan gratis*";"*makan bergizi gratis*";"*makangratis*";"*makanan gratis*"})),"Relevan","Tidak Relevan")</f>
        <v>Relevan</v>
      </c>
    </row>
    <row r="200" spans="1:9" x14ac:dyDescent="0.35">
      <c r="A200">
        <f t="shared" si="3"/>
        <v>199</v>
      </c>
      <c r="B200" t="s">
        <v>2522</v>
      </c>
      <c r="C200" t="s">
        <v>242</v>
      </c>
      <c r="D200" t="s">
        <v>2523</v>
      </c>
      <c r="E200" t="s">
        <v>2177</v>
      </c>
      <c r="F200" t="s">
        <v>2524</v>
      </c>
      <c r="G200" t="s">
        <v>2524</v>
      </c>
      <c r="H200" t="s">
        <v>2525</v>
      </c>
      <c r="I200" s="5" t="str" cm="1">
        <f t="array" ref="I200">IF(SUM(COUNTIF(Text_Preprocessing__224[[#This Row],[full_text]],{"*makan siang gratis*";"*MBG*";"*makan gratis*";"*makan bergizi gratis*";"*makangratis*";"*makanan gratis*"})),"Relevan","Tidak Relevan")</f>
        <v>Relevan</v>
      </c>
    </row>
    <row r="201" spans="1:9" x14ac:dyDescent="0.35">
      <c r="A201">
        <f t="shared" si="3"/>
        <v>200</v>
      </c>
      <c r="B201" t="s">
        <v>2526</v>
      </c>
      <c r="C201" t="s">
        <v>213</v>
      </c>
      <c r="D201" t="s">
        <v>2527</v>
      </c>
      <c r="E201" t="s">
        <v>2143</v>
      </c>
      <c r="F201" t="s">
        <v>2528</v>
      </c>
      <c r="G201" t="s">
        <v>2528</v>
      </c>
      <c r="H201" t="s">
        <v>2529</v>
      </c>
      <c r="I201" s="5" t="str" cm="1">
        <f t="array" ref="I201">IF(SUM(COUNTIF(Text_Preprocessing__224[[#This Row],[full_text]],{"*makan siang gratis*";"*MBG*";"*makan gratis*";"*makan bergizi gratis*";"*makangratis*";"*makanan gratis*"})),"Relevan","Tidak Relevan")</f>
        <v>Relevan</v>
      </c>
    </row>
    <row r="202" spans="1:9" x14ac:dyDescent="0.35">
      <c r="A202">
        <f t="shared" si="3"/>
        <v>201</v>
      </c>
      <c r="B202" t="s">
        <v>2530</v>
      </c>
      <c r="C202" t="s">
        <v>280</v>
      </c>
      <c r="D202" t="s">
        <v>2531</v>
      </c>
      <c r="E202" t="s">
        <v>1990</v>
      </c>
      <c r="F202" t="s">
        <v>2532</v>
      </c>
      <c r="G202" t="s">
        <v>2532</v>
      </c>
      <c r="H202" t="s">
        <v>2533</v>
      </c>
      <c r="I202" s="5" t="str" cm="1">
        <f t="array" ref="I202">IF(SUM(COUNTIF(Text_Preprocessing__224[[#This Row],[full_text]],{"*makan siang gratis*";"*MBG*";"*makan gratis*";"*makan bergizi gratis*";"*makangratis*";"*makanan gratis*"})),"Relevan","Tidak Relevan")</f>
        <v>Relevan</v>
      </c>
    </row>
    <row r="203" spans="1:9" x14ac:dyDescent="0.35">
      <c r="A203">
        <f t="shared" si="3"/>
        <v>202</v>
      </c>
      <c r="B203" t="s">
        <v>2534</v>
      </c>
      <c r="C203" t="s">
        <v>304</v>
      </c>
      <c r="D203" t="s">
        <v>2535</v>
      </c>
      <c r="E203" t="s">
        <v>2387</v>
      </c>
      <c r="F203" t="s">
        <v>2536</v>
      </c>
      <c r="G203" t="s">
        <v>2536</v>
      </c>
      <c r="H203" t="s">
        <v>2537</v>
      </c>
      <c r="I203" s="5" t="str" cm="1">
        <f t="array" ref="I203">IF(SUM(COUNTIF(Text_Preprocessing__224[[#This Row],[full_text]],{"*makan siang gratis*";"*MBG*";"*makan gratis*";"*makan bergizi gratis*";"*makangratis*";"*makanan gratis*"})),"Relevan","Tidak Relevan")</f>
        <v>Relevan</v>
      </c>
    </row>
    <row r="204" spans="1:9" x14ac:dyDescent="0.35">
      <c r="A204">
        <f t="shared" si="3"/>
        <v>203</v>
      </c>
      <c r="B204" t="s">
        <v>2538</v>
      </c>
      <c r="C204" t="s">
        <v>253</v>
      </c>
      <c r="D204" t="s">
        <v>2539</v>
      </c>
      <c r="E204" t="s">
        <v>2109</v>
      </c>
      <c r="F204" t="s">
        <v>2540</v>
      </c>
      <c r="G204" t="s">
        <v>2540</v>
      </c>
      <c r="H204" t="s">
        <v>2541</v>
      </c>
      <c r="I204" s="5" t="str" cm="1">
        <f t="array" ref="I204">IF(SUM(COUNTIF(Text_Preprocessing__224[[#This Row],[full_text]],{"*makan siang gratis*";"*MBG*";"*makan gratis*";"*makan bergizi gratis*";"*makangratis*";"*makanan gratis*"})),"Relevan","Tidak Relevan")</f>
        <v>Relevan</v>
      </c>
    </row>
    <row r="205" spans="1:9" x14ac:dyDescent="0.35">
      <c r="A205">
        <f t="shared" si="3"/>
        <v>204</v>
      </c>
      <c r="B205" t="s">
        <v>2542</v>
      </c>
      <c r="C205" t="s">
        <v>274</v>
      </c>
      <c r="D205" t="s">
        <v>2543</v>
      </c>
      <c r="E205" t="s">
        <v>2510</v>
      </c>
      <c r="F205" t="s">
        <v>2544</v>
      </c>
      <c r="G205" t="s">
        <v>2545</v>
      </c>
      <c r="H205" t="s">
        <v>2546</v>
      </c>
      <c r="I205" s="5" t="str" cm="1">
        <f t="array" ref="I205">IF(SUM(COUNTIF(Text_Preprocessing__224[[#This Row],[full_text]],{"*makan siang gratis*";"*MBG*";"*makan gratis*";"*makan bergizi gratis*";"*makangratis*";"*makanan gratis*"})),"Relevan","Tidak Relevan")</f>
        <v>Relevan</v>
      </c>
    </row>
    <row r="206" spans="1:9" x14ac:dyDescent="0.35">
      <c r="A206">
        <f t="shared" si="3"/>
        <v>205</v>
      </c>
      <c r="B206" t="s">
        <v>2547</v>
      </c>
      <c r="C206" t="s">
        <v>365</v>
      </c>
      <c r="D206" t="s">
        <v>2548</v>
      </c>
      <c r="E206" t="s">
        <v>1692</v>
      </c>
      <c r="F206" t="s">
        <v>2549</v>
      </c>
      <c r="G206" t="s">
        <v>2549</v>
      </c>
      <c r="H206" t="s">
        <v>2550</v>
      </c>
      <c r="I206" s="5" t="str" cm="1">
        <f t="array" ref="I206">IF(SUM(COUNTIF(Text_Preprocessing__224[[#This Row],[full_text]],{"*makan siang gratis*";"*MBG*";"*makan gratis*";"*makan bergizi gratis*";"*makangratis*";"*makanan gratis*"})),"Relevan","Tidak Relevan")</f>
        <v>Relevan</v>
      </c>
    </row>
    <row r="207" spans="1:9" x14ac:dyDescent="0.35">
      <c r="A207">
        <f t="shared" si="3"/>
        <v>206</v>
      </c>
      <c r="B207" t="s">
        <v>2551</v>
      </c>
      <c r="C207" t="s">
        <v>367</v>
      </c>
      <c r="D207" t="s">
        <v>2552</v>
      </c>
      <c r="E207" t="s">
        <v>2553</v>
      </c>
      <c r="F207" t="s">
        <v>2554</v>
      </c>
      <c r="G207" t="s">
        <v>2554</v>
      </c>
      <c r="H207" t="s">
        <v>2555</v>
      </c>
      <c r="I207" s="5" t="str" cm="1">
        <f t="array" ref="I207">IF(SUM(COUNTIF(Text_Preprocessing__224[[#This Row],[full_text]],{"*makan siang gratis*";"*MBG*";"*makan gratis*";"*makan bergizi gratis*";"*makangratis*";"*makanan gratis*"})),"Relevan","Tidak Relevan")</f>
        <v>Relevan</v>
      </c>
    </row>
    <row r="208" spans="1:9" x14ac:dyDescent="0.35">
      <c r="A208">
        <f t="shared" si="3"/>
        <v>207</v>
      </c>
      <c r="B208" t="s">
        <v>2556</v>
      </c>
      <c r="C208" t="s">
        <v>369</v>
      </c>
      <c r="D208" t="s">
        <v>2557</v>
      </c>
      <c r="E208" t="s">
        <v>2558</v>
      </c>
      <c r="F208" t="s">
        <v>2559</v>
      </c>
      <c r="G208" t="s">
        <v>2559</v>
      </c>
      <c r="H208" t="s">
        <v>2560</v>
      </c>
      <c r="I208" s="5" t="str" cm="1">
        <f t="array" ref="I208">IF(SUM(COUNTIF(Text_Preprocessing__224[[#This Row],[full_text]],{"*makan siang gratis*";"*MBG*";"*makan gratis*";"*makan bergizi gratis*";"*makangratis*";"*makanan gratis*"})),"Relevan","Tidak Relevan")</f>
        <v>Relevan</v>
      </c>
    </row>
    <row r="209" spans="1:9" x14ac:dyDescent="0.35">
      <c r="A209">
        <f t="shared" si="3"/>
        <v>208</v>
      </c>
      <c r="B209" t="s">
        <v>2561</v>
      </c>
      <c r="C209" t="s">
        <v>371</v>
      </c>
      <c r="D209" t="s">
        <v>2562</v>
      </c>
      <c r="E209" t="s">
        <v>1596</v>
      </c>
      <c r="F209" t="s">
        <v>2563</v>
      </c>
      <c r="G209" t="s">
        <v>2563</v>
      </c>
      <c r="H209" t="s">
        <v>2564</v>
      </c>
      <c r="I209" s="5" t="str" cm="1">
        <f t="array" ref="I209">IF(SUM(COUNTIF(Text_Preprocessing__224[[#This Row],[full_text]],{"*makan siang gratis*";"*MBG*";"*makan gratis*";"*makan bergizi gratis*";"*makangratis*";"*makanan gratis*"})),"Relevan","Tidak Relevan")</f>
        <v>Relevan</v>
      </c>
    </row>
    <row r="210" spans="1:9" x14ac:dyDescent="0.35">
      <c r="A210">
        <f t="shared" si="3"/>
        <v>209</v>
      </c>
      <c r="B210" t="s">
        <v>2565</v>
      </c>
      <c r="C210" t="s">
        <v>373</v>
      </c>
      <c r="D210" t="s">
        <v>2566</v>
      </c>
      <c r="E210" t="s">
        <v>1775</v>
      </c>
      <c r="F210" t="s">
        <v>2567</v>
      </c>
      <c r="G210" t="s">
        <v>2567</v>
      </c>
      <c r="H210" t="s">
        <v>2568</v>
      </c>
      <c r="I210" s="5" t="str" cm="1">
        <f t="array" ref="I210">IF(SUM(COUNTIF(Text_Preprocessing__224[[#This Row],[full_text]],{"*makan siang gratis*";"*MBG*";"*makan gratis*";"*makan bergizi gratis*";"*makangratis*";"*makanan gratis*"})),"Relevan","Tidak Relevan")</f>
        <v>Relevan</v>
      </c>
    </row>
    <row r="211" spans="1:9" x14ac:dyDescent="0.35">
      <c r="A211">
        <f t="shared" si="3"/>
        <v>210</v>
      </c>
      <c r="B211" t="s">
        <v>2569</v>
      </c>
      <c r="C211" t="s">
        <v>375</v>
      </c>
      <c r="D211" t="s">
        <v>2570</v>
      </c>
      <c r="E211" t="s">
        <v>1663</v>
      </c>
      <c r="F211" t="s">
        <v>2571</v>
      </c>
      <c r="G211" t="s">
        <v>2571</v>
      </c>
      <c r="H211" t="s">
        <v>2572</v>
      </c>
      <c r="I211" s="5" t="str" cm="1">
        <f t="array" ref="I211">IF(SUM(COUNTIF(Text_Preprocessing__224[[#This Row],[full_text]],{"*makan siang gratis*";"*MBG*";"*makan gratis*";"*makan bergizi gratis*";"*makangratis*";"*makanan gratis*"})),"Relevan","Tidak Relevan")</f>
        <v>Relevan</v>
      </c>
    </row>
    <row r="212" spans="1:9" x14ac:dyDescent="0.35">
      <c r="A212">
        <f t="shared" si="3"/>
        <v>211</v>
      </c>
      <c r="B212" t="s">
        <v>2573</v>
      </c>
      <c r="C212" t="s">
        <v>377</v>
      </c>
      <c r="D212" t="s">
        <v>2574</v>
      </c>
      <c r="E212" t="s">
        <v>1764</v>
      </c>
      <c r="F212" t="s">
        <v>2575</v>
      </c>
      <c r="G212" t="s">
        <v>2575</v>
      </c>
      <c r="H212" t="s">
        <v>2576</v>
      </c>
      <c r="I212" s="5" t="str" cm="1">
        <f t="array" ref="I212">IF(SUM(COUNTIF(Text_Preprocessing__224[[#This Row],[full_text]],{"*makan siang gratis*";"*MBG*";"*makan gratis*";"*makan bergizi gratis*";"*makangratis*";"*makanan gratis*"})),"Relevan","Tidak Relevan")</f>
        <v>Relevan</v>
      </c>
    </row>
    <row r="213" spans="1:9" x14ac:dyDescent="0.35">
      <c r="A213">
        <f t="shared" si="3"/>
        <v>212</v>
      </c>
      <c r="B213" t="s">
        <v>2577</v>
      </c>
      <c r="C213" t="s">
        <v>379</v>
      </c>
      <c r="D213" t="s">
        <v>2578</v>
      </c>
      <c r="E213" t="s">
        <v>2134</v>
      </c>
      <c r="F213" t="s">
        <v>2579</v>
      </c>
      <c r="G213" t="s">
        <v>2579</v>
      </c>
      <c r="H213" t="s">
        <v>2580</v>
      </c>
      <c r="I213" s="5" t="str" cm="1">
        <f t="array" ref="I213">IF(SUM(COUNTIF(Text_Preprocessing__224[[#This Row],[full_text]],{"*makan siang gratis*";"*MBG*";"*makan gratis*";"*makan bergizi gratis*";"*makangratis*";"*makanan gratis*"})),"Relevan","Tidak Relevan")</f>
        <v>Relevan</v>
      </c>
    </row>
    <row r="214" spans="1:9" x14ac:dyDescent="0.35">
      <c r="A214">
        <f t="shared" si="3"/>
        <v>213</v>
      </c>
      <c r="B214" t="s">
        <v>2581</v>
      </c>
      <c r="C214" t="s">
        <v>76</v>
      </c>
      <c r="D214" t="s">
        <v>2582</v>
      </c>
      <c r="E214" t="s">
        <v>2114</v>
      </c>
      <c r="F214" t="s">
        <v>2583</v>
      </c>
      <c r="G214" t="s">
        <v>2583</v>
      </c>
      <c r="H214" t="s">
        <v>2584</v>
      </c>
      <c r="I214" s="5" t="str" cm="1">
        <f t="array" ref="I214">IF(SUM(COUNTIF(Text_Preprocessing__224[[#This Row],[full_text]],{"*makan siang gratis*";"*MBG*";"*makan gratis*";"*makan bergizi gratis*";"*makangratis*";"*makanan gratis*"})),"Relevan","Tidak Relevan")</f>
        <v>Relevan</v>
      </c>
    </row>
    <row r="215" spans="1:9" x14ac:dyDescent="0.35">
      <c r="A215">
        <f t="shared" si="3"/>
        <v>214</v>
      </c>
      <c r="B215" t="s">
        <v>2585</v>
      </c>
      <c r="C215" t="s">
        <v>382</v>
      </c>
      <c r="D215" t="s">
        <v>2586</v>
      </c>
      <c r="E215" t="s">
        <v>2114</v>
      </c>
      <c r="F215" t="s">
        <v>2587</v>
      </c>
      <c r="G215" t="s">
        <v>2587</v>
      </c>
      <c r="H215" t="s">
        <v>2588</v>
      </c>
      <c r="I215" s="5" t="str" cm="1">
        <f t="array" ref="I215">IF(SUM(COUNTIF(Text_Preprocessing__224[[#This Row],[full_text]],{"*makan siang gratis*";"*MBG*";"*makan gratis*";"*makan bergizi gratis*";"*makangratis*";"*makanan gratis*"})),"Relevan","Tidak Relevan")</f>
        <v>Relevan</v>
      </c>
    </row>
    <row r="216" spans="1:9" x14ac:dyDescent="0.35">
      <c r="A216">
        <f t="shared" si="3"/>
        <v>215</v>
      </c>
      <c r="B216" t="s">
        <v>2589</v>
      </c>
      <c r="C216" t="s">
        <v>326</v>
      </c>
      <c r="D216" t="s">
        <v>2590</v>
      </c>
      <c r="E216" t="s">
        <v>1999</v>
      </c>
      <c r="F216" t="s">
        <v>2591</v>
      </c>
      <c r="G216" t="s">
        <v>2591</v>
      </c>
      <c r="H216" t="s">
        <v>2592</v>
      </c>
      <c r="I216" s="5" t="str" cm="1">
        <f t="array" ref="I216">IF(SUM(COUNTIF(Text_Preprocessing__224[[#This Row],[full_text]],{"*makan siang gratis*";"*MBG*";"*makan gratis*";"*makan bergizi gratis*";"*makangratis*";"*makanan gratis*"})),"Relevan","Tidak Relevan")</f>
        <v>Relevan</v>
      </c>
    </row>
    <row r="217" spans="1:9" x14ac:dyDescent="0.35">
      <c r="A217">
        <f t="shared" si="3"/>
        <v>216</v>
      </c>
      <c r="B217" t="s">
        <v>2593</v>
      </c>
      <c r="C217" t="s">
        <v>4</v>
      </c>
      <c r="D217" t="s">
        <v>2594</v>
      </c>
      <c r="E217" t="s">
        <v>1601</v>
      </c>
      <c r="F217" t="s">
        <v>2595</v>
      </c>
      <c r="G217" t="s">
        <v>2595</v>
      </c>
      <c r="H217" t="s">
        <v>2596</v>
      </c>
      <c r="I217" s="5" t="str" cm="1">
        <f t="array" ref="I217">IF(SUM(COUNTIF(Text_Preprocessing__224[[#This Row],[full_text]],{"*makan siang gratis*";"*MBG*";"*makan gratis*";"*makan bergizi gratis*";"*makangratis*";"*makanan gratis*"})),"Relevan","Tidak Relevan")</f>
        <v>Relevan</v>
      </c>
    </row>
    <row r="218" spans="1:9" x14ac:dyDescent="0.35">
      <c r="A218">
        <f t="shared" si="3"/>
        <v>217</v>
      </c>
      <c r="B218" t="s">
        <v>2593</v>
      </c>
      <c r="C218" t="s">
        <v>4</v>
      </c>
      <c r="D218" t="s">
        <v>2594</v>
      </c>
      <c r="E218" t="s">
        <v>1601</v>
      </c>
      <c r="F218" t="s">
        <v>2595</v>
      </c>
      <c r="G218" t="s">
        <v>2595</v>
      </c>
      <c r="H218" t="s">
        <v>2596</v>
      </c>
      <c r="I218" s="5" t="str" cm="1">
        <f t="array" ref="I218">IF(SUM(COUNTIF(Text_Preprocessing__224[[#This Row],[full_text]],{"*makan siang gratis*";"*MBG*";"*makan gratis*";"*makan bergizi gratis*";"*makangratis*";"*makanan gratis*"})),"Relevan","Tidak Relevan")</f>
        <v>Relevan</v>
      </c>
    </row>
    <row r="219" spans="1:9" x14ac:dyDescent="0.35">
      <c r="A219">
        <f t="shared" si="3"/>
        <v>218</v>
      </c>
      <c r="B219" t="s">
        <v>2593</v>
      </c>
      <c r="C219" t="s">
        <v>4</v>
      </c>
      <c r="D219" t="s">
        <v>2594</v>
      </c>
      <c r="E219" t="s">
        <v>1601</v>
      </c>
      <c r="F219" t="s">
        <v>2595</v>
      </c>
      <c r="G219" t="s">
        <v>2595</v>
      </c>
      <c r="H219" t="s">
        <v>2596</v>
      </c>
      <c r="I219" s="5" t="str" cm="1">
        <f t="array" ref="I219">IF(SUM(COUNTIF(Text_Preprocessing__224[[#This Row],[full_text]],{"*makan siang gratis*";"*MBG*";"*makan gratis*";"*makan bergizi gratis*";"*makangratis*";"*makanan gratis*"})),"Relevan","Tidak Relevan")</f>
        <v>Relevan</v>
      </c>
    </row>
    <row r="220" spans="1:9" x14ac:dyDescent="0.35">
      <c r="A220">
        <f t="shared" si="3"/>
        <v>219</v>
      </c>
      <c r="B220" t="s">
        <v>2593</v>
      </c>
      <c r="C220" t="s">
        <v>4</v>
      </c>
      <c r="D220" t="s">
        <v>2594</v>
      </c>
      <c r="E220" t="s">
        <v>1601</v>
      </c>
      <c r="F220" t="s">
        <v>2595</v>
      </c>
      <c r="G220" t="s">
        <v>2595</v>
      </c>
      <c r="H220" t="s">
        <v>2596</v>
      </c>
      <c r="I220" s="5" t="str" cm="1">
        <f t="array" ref="I220">IF(SUM(COUNTIF(Text_Preprocessing__224[[#This Row],[full_text]],{"*makan siang gratis*";"*MBG*";"*makan gratis*";"*makan bergizi gratis*";"*makangratis*";"*makanan gratis*"})),"Relevan","Tidak Relevan")</f>
        <v>Relevan</v>
      </c>
    </row>
    <row r="221" spans="1:9" x14ac:dyDescent="0.35">
      <c r="A221">
        <f t="shared" si="3"/>
        <v>220</v>
      </c>
      <c r="B221" t="s">
        <v>2597</v>
      </c>
      <c r="C221" t="s">
        <v>242</v>
      </c>
      <c r="D221" t="s">
        <v>2598</v>
      </c>
      <c r="E221" t="s">
        <v>2599</v>
      </c>
      <c r="F221" t="s">
        <v>2600</v>
      </c>
      <c r="G221" t="s">
        <v>2600</v>
      </c>
      <c r="H221" t="s">
        <v>2601</v>
      </c>
      <c r="I221" s="5" t="str" cm="1">
        <f t="array" ref="I221">IF(SUM(COUNTIF(Text_Preprocessing__224[[#This Row],[full_text]],{"*makan siang gratis*";"*MBG*";"*makan gratis*";"*makan bergizi gratis*";"*makangratis*";"*makanan gratis*"})),"Relevan","Tidak Relevan")</f>
        <v>Relevan</v>
      </c>
    </row>
    <row r="222" spans="1:9" x14ac:dyDescent="0.35">
      <c r="A222">
        <f t="shared" si="3"/>
        <v>221</v>
      </c>
      <c r="B222" t="s">
        <v>2602</v>
      </c>
      <c r="C222" t="s">
        <v>280</v>
      </c>
      <c r="D222" t="s">
        <v>2603</v>
      </c>
      <c r="E222" t="s">
        <v>2604</v>
      </c>
      <c r="F222" t="s">
        <v>2605</v>
      </c>
      <c r="G222" t="s">
        <v>2605</v>
      </c>
      <c r="H222" t="s">
        <v>2606</v>
      </c>
      <c r="I222" s="5" t="str" cm="1">
        <f t="array" ref="I222">IF(SUM(COUNTIF(Text_Preprocessing__224[[#This Row],[full_text]],{"*makan siang gratis*";"*MBG*";"*makan gratis*";"*makan bergizi gratis*";"*makangratis*";"*makanan gratis*"})),"Relevan","Tidak Relevan")</f>
        <v>Relevan</v>
      </c>
    </row>
    <row r="223" spans="1:9" x14ac:dyDescent="0.35">
      <c r="A223">
        <f t="shared" si="3"/>
        <v>222</v>
      </c>
      <c r="B223" t="s">
        <v>2607</v>
      </c>
      <c r="C223" t="s">
        <v>391</v>
      </c>
      <c r="D223" t="s">
        <v>2608</v>
      </c>
      <c r="E223" t="s">
        <v>2609</v>
      </c>
      <c r="F223" t="s">
        <v>2610</v>
      </c>
      <c r="G223" t="s">
        <v>2610</v>
      </c>
      <c r="H223" t="s">
        <v>2611</v>
      </c>
      <c r="I223" s="5" t="str" cm="1">
        <f t="array" ref="I223">IF(SUM(COUNTIF(Text_Preprocessing__224[[#This Row],[full_text]],{"*makan siang gratis*";"*MBG*";"*makan gratis*";"*makan bergizi gratis*";"*makangratis*";"*makanan gratis*"})),"Relevan","Tidak Relevan")</f>
        <v>Relevan</v>
      </c>
    </row>
    <row r="224" spans="1:9" x14ac:dyDescent="0.35">
      <c r="A224">
        <f t="shared" si="3"/>
        <v>223</v>
      </c>
      <c r="B224" t="s">
        <v>2612</v>
      </c>
      <c r="C224" t="s">
        <v>393</v>
      </c>
      <c r="D224" t="s">
        <v>2613</v>
      </c>
      <c r="E224" t="s">
        <v>2272</v>
      </c>
      <c r="F224" t="s">
        <v>2614</v>
      </c>
      <c r="G224" t="s">
        <v>2614</v>
      </c>
      <c r="H224" t="s">
        <v>2615</v>
      </c>
      <c r="I224" s="5" t="str" cm="1">
        <f t="array" ref="I224">IF(SUM(COUNTIF(Text_Preprocessing__224[[#This Row],[full_text]],{"*makan siang gratis*";"*MBG*";"*makan gratis*";"*makan bergizi gratis*";"*makangratis*";"*makanan gratis*"})),"Relevan","Tidak Relevan")</f>
        <v>Relevan</v>
      </c>
    </row>
    <row r="225" spans="1:9" x14ac:dyDescent="0.35">
      <c r="A225">
        <f t="shared" si="3"/>
        <v>224</v>
      </c>
      <c r="B225" t="s">
        <v>2616</v>
      </c>
      <c r="C225" t="s">
        <v>263</v>
      </c>
      <c r="D225" t="s">
        <v>2617</v>
      </c>
      <c r="E225" t="s">
        <v>2618</v>
      </c>
      <c r="F225" t="s">
        <v>2619</v>
      </c>
      <c r="G225" t="s">
        <v>2619</v>
      </c>
      <c r="H225" t="s">
        <v>2620</v>
      </c>
      <c r="I225" s="5" t="str" cm="1">
        <f t="array" ref="I225">IF(SUM(COUNTIF(Text_Preprocessing__224[[#This Row],[full_text]],{"*makan siang gratis*";"*MBG*";"*makan gratis*";"*makan bergizi gratis*";"*makangratis*";"*makanan gratis*"})),"Relevan","Tidak Relevan")</f>
        <v>Relevan</v>
      </c>
    </row>
    <row r="226" spans="1:9" x14ac:dyDescent="0.35">
      <c r="A226">
        <f t="shared" si="3"/>
        <v>225</v>
      </c>
      <c r="B226" t="s">
        <v>2621</v>
      </c>
      <c r="C226" t="s">
        <v>396</v>
      </c>
      <c r="D226" t="s">
        <v>2622</v>
      </c>
      <c r="E226" t="s">
        <v>2008</v>
      </c>
      <c r="F226" t="s">
        <v>2623</v>
      </c>
      <c r="G226" t="s">
        <v>2623</v>
      </c>
      <c r="H226" t="s">
        <v>2624</v>
      </c>
      <c r="I226" s="5" t="str" cm="1">
        <f t="array" ref="I226">IF(SUM(COUNTIF(Text_Preprocessing__224[[#This Row],[full_text]],{"*makan siang gratis*";"*MBG*";"*makan gratis*";"*makan bergizi gratis*";"*makangratis*";"*makanan gratis*"})),"Relevan","Tidak Relevan")</f>
        <v>Relevan</v>
      </c>
    </row>
    <row r="227" spans="1:9" x14ac:dyDescent="0.35">
      <c r="A227">
        <f t="shared" si="3"/>
        <v>226</v>
      </c>
      <c r="B227" t="s">
        <v>2625</v>
      </c>
      <c r="C227" t="s">
        <v>304</v>
      </c>
      <c r="D227" t="s">
        <v>2626</v>
      </c>
      <c r="E227" t="s">
        <v>2627</v>
      </c>
      <c r="F227" t="s">
        <v>2628</v>
      </c>
      <c r="G227" t="s">
        <v>2628</v>
      </c>
      <c r="H227" t="s">
        <v>2629</v>
      </c>
      <c r="I227" s="5" t="str" cm="1">
        <f t="array" ref="I227">IF(SUM(COUNTIF(Text_Preprocessing__224[[#This Row],[full_text]],{"*makan siang gratis*";"*MBG*";"*makan gratis*";"*makan bergizi gratis*";"*makangratis*";"*makanan gratis*"})),"Relevan","Tidak Relevan")</f>
        <v>Relevan</v>
      </c>
    </row>
    <row r="228" spans="1:9" x14ac:dyDescent="0.35">
      <c r="A228">
        <f t="shared" si="3"/>
        <v>227</v>
      </c>
      <c r="B228" t="s">
        <v>2630</v>
      </c>
      <c r="C228" t="s">
        <v>213</v>
      </c>
      <c r="D228" t="s">
        <v>2631</v>
      </c>
      <c r="E228" t="s">
        <v>1785</v>
      </c>
      <c r="F228" t="s">
        <v>2632</v>
      </c>
      <c r="G228" t="s">
        <v>2632</v>
      </c>
      <c r="H228" t="s">
        <v>2633</v>
      </c>
      <c r="I228" s="5" t="str" cm="1">
        <f t="array" ref="I228">IF(SUM(COUNTIF(Text_Preprocessing__224[[#This Row],[full_text]],{"*makan siang gratis*";"*MBG*";"*makan gratis*";"*makan bergizi gratis*";"*makangratis*";"*makanan gratis*"})),"Relevan","Tidak Relevan")</f>
        <v>Relevan</v>
      </c>
    </row>
    <row r="229" spans="1:9" x14ac:dyDescent="0.35">
      <c r="A229">
        <f t="shared" si="3"/>
        <v>228</v>
      </c>
      <c r="B229" t="s">
        <v>2634</v>
      </c>
      <c r="C229" t="s">
        <v>259</v>
      </c>
      <c r="D229" t="s">
        <v>2635</v>
      </c>
      <c r="E229" t="s">
        <v>2186</v>
      </c>
      <c r="F229" t="s">
        <v>2636</v>
      </c>
      <c r="G229" t="s">
        <v>2636</v>
      </c>
      <c r="H229" t="s">
        <v>2637</v>
      </c>
      <c r="I229" s="5" t="str" cm="1">
        <f t="array" ref="I229">IF(SUM(COUNTIF(Text_Preprocessing__224[[#This Row],[full_text]],{"*makan siang gratis*";"*MBG*";"*makan gratis*";"*makan bergizi gratis*";"*makangratis*";"*makanan gratis*"})),"Relevan","Tidak Relevan")</f>
        <v>Relevan</v>
      </c>
    </row>
    <row r="230" spans="1:9" x14ac:dyDescent="0.35">
      <c r="A230">
        <f t="shared" si="3"/>
        <v>229</v>
      </c>
      <c r="B230" t="s">
        <v>2638</v>
      </c>
      <c r="C230" t="s">
        <v>401</v>
      </c>
      <c r="D230" t="s">
        <v>2639</v>
      </c>
      <c r="E230" t="s">
        <v>2640</v>
      </c>
      <c r="F230" t="s">
        <v>2641</v>
      </c>
      <c r="G230" t="s">
        <v>2642</v>
      </c>
      <c r="H230" t="s">
        <v>2643</v>
      </c>
      <c r="I230" s="5" t="str" cm="1">
        <f t="array" ref="I230">IF(SUM(COUNTIF(Text_Preprocessing__224[[#This Row],[full_text]],{"*makan siang gratis*";"*MBG*";"*makan gratis*";"*makan bergizi gratis*";"*makangratis*";"*makanan gratis*"})),"Relevan","Tidak Relevan")</f>
        <v>Relevan</v>
      </c>
    </row>
    <row r="231" spans="1:9" x14ac:dyDescent="0.35">
      <c r="A231">
        <f t="shared" si="3"/>
        <v>230</v>
      </c>
      <c r="B231" t="s">
        <v>2644</v>
      </c>
      <c r="C231" t="s">
        <v>403</v>
      </c>
      <c r="D231" t="s">
        <v>2645</v>
      </c>
      <c r="E231" t="s">
        <v>2092</v>
      </c>
      <c r="F231" t="s">
        <v>2646</v>
      </c>
      <c r="G231" t="s">
        <v>2646</v>
      </c>
      <c r="H231" t="s">
        <v>2647</v>
      </c>
      <c r="I231" s="5" t="str" cm="1">
        <f t="array" ref="I231">IF(SUM(COUNTIF(Text_Preprocessing__224[[#This Row],[full_text]],{"*makan siang gratis*";"*MBG*";"*makan gratis*";"*makan bergizi gratis*";"*makangratis*";"*makanan gratis*"})),"Relevan","Tidak Relevan")</f>
        <v>Relevan</v>
      </c>
    </row>
    <row r="232" spans="1:9" x14ac:dyDescent="0.35">
      <c r="A232">
        <f t="shared" si="3"/>
        <v>231</v>
      </c>
      <c r="B232" t="s">
        <v>2648</v>
      </c>
      <c r="C232" t="s">
        <v>405</v>
      </c>
      <c r="D232" t="s">
        <v>2649</v>
      </c>
      <c r="E232" t="s">
        <v>2558</v>
      </c>
      <c r="F232" t="s">
        <v>2650</v>
      </c>
      <c r="G232" t="s">
        <v>2650</v>
      </c>
      <c r="H232" t="s">
        <v>2651</v>
      </c>
      <c r="I232" s="5" t="str" cm="1">
        <f t="array" ref="I232">IF(SUM(COUNTIF(Text_Preprocessing__224[[#This Row],[full_text]],{"*makan siang gratis*";"*MBG*";"*makan gratis*";"*makan bergizi gratis*";"*makangratis*";"*makanan gratis*"})),"Relevan","Tidak Relevan")</f>
        <v>Relevan</v>
      </c>
    </row>
    <row r="233" spans="1:9" x14ac:dyDescent="0.35">
      <c r="A233">
        <f t="shared" si="3"/>
        <v>232</v>
      </c>
      <c r="B233" t="s">
        <v>2652</v>
      </c>
      <c r="C233" t="s">
        <v>407</v>
      </c>
      <c r="D233" t="s">
        <v>2653</v>
      </c>
      <c r="E233" t="s">
        <v>1686</v>
      </c>
      <c r="F233" t="s">
        <v>2654</v>
      </c>
      <c r="G233" t="s">
        <v>2654</v>
      </c>
      <c r="H233" t="s">
        <v>2655</v>
      </c>
      <c r="I233" s="5" t="str" cm="1">
        <f t="array" ref="I233">IF(SUM(COUNTIF(Text_Preprocessing__224[[#This Row],[full_text]],{"*makan siang gratis*";"*MBG*";"*makan gratis*";"*makan bergizi gratis*";"*makangratis*";"*makanan gratis*"})),"Relevan","Tidak Relevan")</f>
        <v>Relevan</v>
      </c>
    </row>
    <row r="234" spans="1:9" x14ac:dyDescent="0.35">
      <c r="A234">
        <f t="shared" si="3"/>
        <v>233</v>
      </c>
      <c r="B234" t="s">
        <v>2656</v>
      </c>
      <c r="C234" t="s">
        <v>409</v>
      </c>
      <c r="D234" t="s">
        <v>2657</v>
      </c>
      <c r="E234" t="s">
        <v>2627</v>
      </c>
      <c r="F234" t="s">
        <v>2658</v>
      </c>
      <c r="G234" t="s">
        <v>2658</v>
      </c>
      <c r="H234" t="s">
        <v>2659</v>
      </c>
      <c r="I234" s="5" t="str" cm="1">
        <f t="array" ref="I234">IF(SUM(COUNTIF(Text_Preprocessing__224[[#This Row],[full_text]],{"*makan siang gratis*";"*MBG*";"*makan gratis*";"*makan bergizi gratis*";"*makangratis*";"*makanan gratis*"})),"Relevan","Tidak Relevan")</f>
        <v>Relevan</v>
      </c>
    </row>
    <row r="235" spans="1:9" x14ac:dyDescent="0.35">
      <c r="A235">
        <f t="shared" si="3"/>
        <v>234</v>
      </c>
      <c r="B235" t="s">
        <v>2660</v>
      </c>
      <c r="C235" t="s">
        <v>411</v>
      </c>
      <c r="D235" t="s">
        <v>2661</v>
      </c>
      <c r="E235" t="s">
        <v>1799</v>
      </c>
      <c r="F235" t="s">
        <v>2662</v>
      </c>
      <c r="G235" t="s">
        <v>2663</v>
      </c>
      <c r="H235" t="s">
        <v>2664</v>
      </c>
      <c r="I235" s="5" t="str" cm="1">
        <f t="array" ref="I235">IF(SUM(COUNTIF(Text_Preprocessing__224[[#This Row],[full_text]],{"*makan siang gratis*";"*MBG*";"*makan gratis*";"*makan bergizi gratis*";"*makangratis*";"*makanan gratis*"})),"Relevan","Tidak Relevan")</f>
        <v>Relevan</v>
      </c>
    </row>
    <row r="236" spans="1:9" x14ac:dyDescent="0.35">
      <c r="A236">
        <f t="shared" si="3"/>
        <v>235</v>
      </c>
      <c r="B236" t="s">
        <v>2665</v>
      </c>
      <c r="C236" t="s">
        <v>413</v>
      </c>
      <c r="D236" t="s">
        <v>2666</v>
      </c>
      <c r="E236" t="s">
        <v>1730</v>
      </c>
      <c r="F236" t="s">
        <v>2667</v>
      </c>
      <c r="G236" t="s">
        <v>2667</v>
      </c>
      <c r="H236" t="s">
        <v>2668</v>
      </c>
      <c r="I236" s="5" t="str" cm="1">
        <f t="array" ref="I236">IF(SUM(COUNTIF(Text_Preprocessing__224[[#This Row],[full_text]],{"*makan siang gratis*";"*MBG*";"*makan gratis*";"*makan bergizi gratis*";"*makangratis*";"*makanan gratis*"})),"Relevan","Tidak Relevan")</f>
        <v>Relevan</v>
      </c>
    </row>
    <row r="237" spans="1:9" x14ac:dyDescent="0.35">
      <c r="A237">
        <f t="shared" si="3"/>
        <v>236</v>
      </c>
      <c r="B237" t="s">
        <v>2669</v>
      </c>
      <c r="C237" t="s">
        <v>133</v>
      </c>
      <c r="D237" t="s">
        <v>2670</v>
      </c>
      <c r="E237" t="s">
        <v>2092</v>
      </c>
      <c r="F237" t="s">
        <v>2671</v>
      </c>
      <c r="G237" t="s">
        <v>2671</v>
      </c>
      <c r="H237" t="s">
        <v>2672</v>
      </c>
      <c r="I237" s="5" t="str" cm="1">
        <f t="array" ref="I237">IF(SUM(COUNTIF(Text_Preprocessing__224[[#This Row],[full_text]],{"*makan siang gratis*";"*MBG*";"*makan gratis*";"*makan bergizi gratis*";"*makangratis*";"*makanan gratis*"})),"Relevan","Tidak Relevan")</f>
        <v>Relevan</v>
      </c>
    </row>
    <row r="238" spans="1:9" x14ac:dyDescent="0.35">
      <c r="A238">
        <f t="shared" si="3"/>
        <v>237</v>
      </c>
      <c r="B238" t="s">
        <v>2673</v>
      </c>
      <c r="C238" t="s">
        <v>382</v>
      </c>
      <c r="D238" t="s">
        <v>2674</v>
      </c>
      <c r="E238" t="s">
        <v>1607</v>
      </c>
      <c r="F238" t="s">
        <v>2675</v>
      </c>
      <c r="G238" t="s">
        <v>2675</v>
      </c>
      <c r="H238" t="s">
        <v>2676</v>
      </c>
      <c r="I238" s="5" t="str" cm="1">
        <f t="array" ref="I238">IF(SUM(COUNTIF(Text_Preprocessing__224[[#This Row],[full_text]],{"*makan siang gratis*";"*MBG*";"*makan gratis*";"*makan bergizi gratis*";"*makangratis*";"*makanan gratis*"})),"Relevan","Tidak Relevan")</f>
        <v>Relevan</v>
      </c>
    </row>
    <row r="239" spans="1:9" x14ac:dyDescent="0.35">
      <c r="A239">
        <f t="shared" si="3"/>
        <v>238</v>
      </c>
      <c r="B239" t="s">
        <v>2677</v>
      </c>
      <c r="C239" t="s">
        <v>417</v>
      </c>
      <c r="D239" t="s">
        <v>2678</v>
      </c>
      <c r="E239" t="s">
        <v>2679</v>
      </c>
      <c r="F239" t="s">
        <v>2680</v>
      </c>
      <c r="G239" t="s">
        <v>2680</v>
      </c>
      <c r="H239" t="s">
        <v>2681</v>
      </c>
      <c r="I239" s="5" t="str" cm="1">
        <f t="array" ref="I239">IF(SUM(COUNTIF(Text_Preprocessing__224[[#This Row],[full_text]],{"*makan siang gratis*";"*MBG*";"*makan gratis*";"*makan bergizi gratis*";"*makangratis*";"*makanan gratis*"})),"Relevan","Tidak Relevan")</f>
        <v>Relevan</v>
      </c>
    </row>
    <row r="240" spans="1:9" x14ac:dyDescent="0.35">
      <c r="A240">
        <f t="shared" si="3"/>
        <v>239</v>
      </c>
      <c r="B240" t="s">
        <v>2682</v>
      </c>
      <c r="C240" t="s">
        <v>419</v>
      </c>
      <c r="D240" t="s">
        <v>2683</v>
      </c>
      <c r="E240" t="s">
        <v>2684</v>
      </c>
      <c r="F240" t="s">
        <v>2685</v>
      </c>
      <c r="G240" t="s">
        <v>2686</v>
      </c>
      <c r="H240" t="s">
        <v>2687</v>
      </c>
      <c r="I240" s="5" t="str" cm="1">
        <f t="array" ref="I240">IF(SUM(COUNTIF(Text_Preprocessing__224[[#This Row],[full_text]],{"*makan siang gratis*";"*MBG*";"*makan gratis*";"*makan bergizi gratis*";"*makangratis*";"*makanan gratis*"})),"Relevan","Tidak Relevan")</f>
        <v>Relevan</v>
      </c>
    </row>
    <row r="241" spans="1:9" x14ac:dyDescent="0.35">
      <c r="A241">
        <f t="shared" si="3"/>
        <v>240</v>
      </c>
      <c r="B241" t="s">
        <v>2688</v>
      </c>
      <c r="C241" t="s">
        <v>421</v>
      </c>
      <c r="D241" t="s">
        <v>2689</v>
      </c>
      <c r="E241" t="s">
        <v>2690</v>
      </c>
      <c r="F241" t="s">
        <v>2691</v>
      </c>
      <c r="G241" t="s">
        <v>2691</v>
      </c>
      <c r="H241" t="s">
        <v>2692</v>
      </c>
      <c r="I241" s="5" t="str" cm="1">
        <f t="array" ref="I241">IF(SUM(COUNTIF(Text_Preprocessing__224[[#This Row],[full_text]],{"*makan siang gratis*";"*MBG*";"*makan gratis*";"*makan bergizi gratis*";"*makangratis*";"*makanan gratis*"})),"Relevan","Tidak Relevan")</f>
        <v>Relevan</v>
      </c>
    </row>
    <row r="242" spans="1:9" x14ac:dyDescent="0.35">
      <c r="A242">
        <f t="shared" si="3"/>
        <v>241</v>
      </c>
      <c r="B242" t="s">
        <v>2693</v>
      </c>
      <c r="C242" t="s">
        <v>379</v>
      </c>
      <c r="D242" t="s">
        <v>2694</v>
      </c>
      <c r="E242" t="s">
        <v>2082</v>
      </c>
      <c r="F242" t="s">
        <v>2695</v>
      </c>
      <c r="G242" t="s">
        <v>2695</v>
      </c>
      <c r="H242" t="s">
        <v>2696</v>
      </c>
      <c r="I242" s="5" t="str" cm="1">
        <f t="array" ref="I242">IF(SUM(COUNTIF(Text_Preprocessing__224[[#This Row],[full_text]],{"*makan siang gratis*";"*MBG*";"*makan gratis*";"*makan bergizi gratis*";"*makangratis*";"*makanan gratis*"})),"Relevan","Tidak Relevan")</f>
        <v>Relevan</v>
      </c>
    </row>
    <row r="243" spans="1:9" x14ac:dyDescent="0.35">
      <c r="A243">
        <f t="shared" si="3"/>
        <v>242</v>
      </c>
      <c r="B243" t="s">
        <v>2697</v>
      </c>
      <c r="C243" t="s">
        <v>411</v>
      </c>
      <c r="D243" t="s">
        <v>2698</v>
      </c>
      <c r="E243" t="s">
        <v>1613</v>
      </c>
      <c r="F243" t="s">
        <v>2699</v>
      </c>
      <c r="G243" t="s">
        <v>2700</v>
      </c>
      <c r="H243" t="s">
        <v>2701</v>
      </c>
      <c r="I243" s="5" t="str" cm="1">
        <f t="array" ref="I243">IF(SUM(COUNTIF(Text_Preprocessing__224[[#This Row],[full_text]],{"*makan siang gratis*";"*MBG*";"*makan gratis*";"*makan bergizi gratis*";"*makangratis*";"*makanan gratis*"})),"Relevan","Tidak Relevan")</f>
        <v>Relevan</v>
      </c>
    </row>
    <row r="244" spans="1:9" x14ac:dyDescent="0.35">
      <c r="A244">
        <f t="shared" si="3"/>
        <v>243</v>
      </c>
      <c r="B244" t="s">
        <v>2702</v>
      </c>
      <c r="C244" t="s">
        <v>133</v>
      </c>
      <c r="D244" t="s">
        <v>2703</v>
      </c>
      <c r="E244" t="s">
        <v>2335</v>
      </c>
      <c r="F244" t="s">
        <v>2704</v>
      </c>
      <c r="G244" t="s">
        <v>2704</v>
      </c>
      <c r="H244" t="s">
        <v>2705</v>
      </c>
      <c r="I244" s="5" t="str" cm="1">
        <f t="array" ref="I244">IF(SUM(COUNTIF(Text_Preprocessing__224[[#This Row],[full_text]],{"*makan siang gratis*";"*MBG*";"*makan gratis*";"*makan bergizi gratis*";"*makangratis*";"*makanan gratis*"})),"Relevan","Tidak Relevan")</f>
        <v>Relevan</v>
      </c>
    </row>
    <row r="245" spans="1:9" x14ac:dyDescent="0.35">
      <c r="A245">
        <f t="shared" si="3"/>
        <v>244</v>
      </c>
      <c r="B245" t="s">
        <v>2706</v>
      </c>
      <c r="C245" t="s">
        <v>426</v>
      </c>
      <c r="D245" t="s">
        <v>2707</v>
      </c>
      <c r="E245" t="s">
        <v>1809</v>
      </c>
      <c r="F245" t="s">
        <v>2707</v>
      </c>
      <c r="G245" t="s">
        <v>2707</v>
      </c>
      <c r="H245" t="s">
        <v>2708</v>
      </c>
      <c r="I245" s="5" t="str" cm="1">
        <f t="array" ref="I245">IF(SUM(COUNTIF(Text_Preprocessing__224[[#This Row],[full_text]],{"*makan siang gratis*";"*MBG*";"*makan gratis*";"*makan bergizi gratis*";"*makangratis*";"*makanan gratis*"})),"Relevan","Tidak Relevan")</f>
        <v>Relevan</v>
      </c>
    </row>
    <row r="246" spans="1:9" x14ac:dyDescent="0.35">
      <c r="A246">
        <f t="shared" si="3"/>
        <v>245</v>
      </c>
      <c r="B246" t="s">
        <v>2709</v>
      </c>
      <c r="C246" t="s">
        <v>428</v>
      </c>
      <c r="D246" t="s">
        <v>2710</v>
      </c>
      <c r="E246" t="s">
        <v>2092</v>
      </c>
      <c r="F246" t="s">
        <v>2711</v>
      </c>
      <c r="G246" t="s">
        <v>2711</v>
      </c>
      <c r="H246" t="s">
        <v>2712</v>
      </c>
      <c r="I246" s="5" t="str" cm="1">
        <f t="array" ref="I246">IF(SUM(COUNTIF(Text_Preprocessing__224[[#This Row],[full_text]],{"*makan siang gratis*";"*MBG*";"*makan gratis*";"*makan bergizi gratis*";"*makangratis*";"*makanan gratis*"})),"Relevan","Tidak Relevan")</f>
        <v>Relevan</v>
      </c>
    </row>
    <row r="247" spans="1:9" x14ac:dyDescent="0.35">
      <c r="A247">
        <f t="shared" si="3"/>
        <v>246</v>
      </c>
      <c r="B247" t="s">
        <v>2713</v>
      </c>
      <c r="C247" t="s">
        <v>137</v>
      </c>
      <c r="D247" t="s">
        <v>2714</v>
      </c>
      <c r="E247" t="s">
        <v>1999</v>
      </c>
      <c r="F247" t="s">
        <v>2715</v>
      </c>
      <c r="G247" t="s">
        <v>2715</v>
      </c>
      <c r="H247" t="s">
        <v>2716</v>
      </c>
      <c r="I247" s="5" t="str" cm="1">
        <f t="array" ref="I247">IF(SUM(COUNTIF(Text_Preprocessing__224[[#This Row],[full_text]],{"*makan siang gratis*";"*MBG*";"*makan gratis*";"*makan bergizi gratis*";"*makangratis*";"*makanan gratis*"})),"Relevan","Tidak Relevan")</f>
        <v>Relevan</v>
      </c>
    </row>
    <row r="248" spans="1:9" x14ac:dyDescent="0.35">
      <c r="A248">
        <f t="shared" si="3"/>
        <v>247</v>
      </c>
      <c r="B248" t="s">
        <v>2717</v>
      </c>
      <c r="C248" t="s">
        <v>431</v>
      </c>
      <c r="D248" t="s">
        <v>2718</v>
      </c>
      <c r="E248" t="s">
        <v>1799</v>
      </c>
      <c r="F248" t="s">
        <v>2719</v>
      </c>
      <c r="G248" t="s">
        <v>2719</v>
      </c>
      <c r="H248" t="s">
        <v>2720</v>
      </c>
      <c r="I248" s="5" t="str" cm="1">
        <f t="array" ref="I248">IF(SUM(COUNTIF(Text_Preprocessing__224[[#This Row],[full_text]],{"*makan siang gratis*";"*MBG*";"*makan gratis*";"*makan bergizi gratis*";"*makangratis*";"*makanan gratis*"})),"Relevan","Tidak Relevan")</f>
        <v>Relevan</v>
      </c>
    </row>
    <row r="249" spans="1:9" x14ac:dyDescent="0.35">
      <c r="A249">
        <f t="shared" si="3"/>
        <v>248</v>
      </c>
      <c r="B249" t="s">
        <v>2721</v>
      </c>
      <c r="C249" t="s">
        <v>433</v>
      </c>
      <c r="D249" t="s">
        <v>2722</v>
      </c>
      <c r="E249" t="s">
        <v>2177</v>
      </c>
      <c r="F249" t="s">
        <v>2723</v>
      </c>
      <c r="G249" t="s">
        <v>2723</v>
      </c>
      <c r="H249" t="s">
        <v>2724</v>
      </c>
      <c r="I249" s="5" t="str" cm="1">
        <f t="array" ref="I249">IF(SUM(COUNTIF(Text_Preprocessing__224[[#This Row],[full_text]],{"*makan siang gratis*";"*MBG*";"*makan gratis*";"*makan bergizi gratis*";"*makangratis*";"*makanan gratis*"})),"Relevan","Tidak Relevan")</f>
        <v>Relevan</v>
      </c>
    </row>
    <row r="250" spans="1:9" x14ac:dyDescent="0.35">
      <c r="A250">
        <f t="shared" si="3"/>
        <v>249</v>
      </c>
      <c r="B250" t="s">
        <v>2725</v>
      </c>
      <c r="C250" t="s">
        <v>435</v>
      </c>
      <c r="D250" t="s">
        <v>2726</v>
      </c>
      <c r="E250" t="s">
        <v>1758</v>
      </c>
      <c r="F250" t="s">
        <v>2727</v>
      </c>
      <c r="G250" t="s">
        <v>2727</v>
      </c>
      <c r="H250" t="s">
        <v>2728</v>
      </c>
      <c r="I250" s="5" t="str" cm="1">
        <f t="array" ref="I250">IF(SUM(COUNTIF(Text_Preprocessing__224[[#This Row],[full_text]],{"*makan siang gratis*";"*MBG*";"*makan gratis*";"*makan bergizi gratis*";"*makangratis*";"*makanan gratis*"})),"Relevan","Tidak Relevan")</f>
        <v>Relevan</v>
      </c>
    </row>
    <row r="251" spans="1:9" x14ac:dyDescent="0.35">
      <c r="A251">
        <f t="shared" si="3"/>
        <v>250</v>
      </c>
      <c r="B251" t="s">
        <v>2729</v>
      </c>
      <c r="C251" t="s">
        <v>437</v>
      </c>
      <c r="D251" t="s">
        <v>2730</v>
      </c>
      <c r="E251" t="s">
        <v>1629</v>
      </c>
      <c r="F251" t="s">
        <v>2731</v>
      </c>
      <c r="G251" t="s">
        <v>2731</v>
      </c>
      <c r="H251" t="s">
        <v>2732</v>
      </c>
      <c r="I251" s="5" t="str" cm="1">
        <f t="array" ref="I251">IF(SUM(COUNTIF(Text_Preprocessing__224[[#This Row],[full_text]],{"*makan siang gratis*";"*MBG*";"*makan gratis*";"*makan bergizi gratis*";"*makangratis*";"*makanan gratis*"})),"Relevan","Tidak Relevan")</f>
        <v>Relevan</v>
      </c>
    </row>
    <row r="252" spans="1:9" x14ac:dyDescent="0.35">
      <c r="A252">
        <f t="shared" si="3"/>
        <v>251</v>
      </c>
      <c r="B252" t="s">
        <v>2733</v>
      </c>
      <c r="C252" t="s">
        <v>91</v>
      </c>
      <c r="D252" t="s">
        <v>2734</v>
      </c>
      <c r="E252" t="s">
        <v>2335</v>
      </c>
      <c r="F252" t="s">
        <v>2735</v>
      </c>
      <c r="G252" t="s">
        <v>2735</v>
      </c>
      <c r="H252" t="s">
        <v>2736</v>
      </c>
      <c r="I252" s="5" t="str" cm="1">
        <f t="array" ref="I252">IF(SUM(COUNTIF(Text_Preprocessing__224[[#This Row],[full_text]],{"*makan siang gratis*";"*MBG*";"*makan gratis*";"*makan bergizi gratis*";"*makangratis*";"*makanan gratis*"})),"Relevan","Tidak Relevan")</f>
        <v>Relevan</v>
      </c>
    </row>
    <row r="253" spans="1:9" x14ac:dyDescent="0.35">
      <c r="A253">
        <f t="shared" si="3"/>
        <v>252</v>
      </c>
      <c r="B253" t="s">
        <v>2737</v>
      </c>
      <c r="C253" t="s">
        <v>440</v>
      </c>
      <c r="D253" t="s">
        <v>2738</v>
      </c>
      <c r="E253" t="s">
        <v>1674</v>
      </c>
      <c r="F253" t="s">
        <v>2739</v>
      </c>
      <c r="G253" t="s">
        <v>2739</v>
      </c>
      <c r="H253" t="s">
        <v>2740</v>
      </c>
      <c r="I253" s="5" t="str" cm="1">
        <f t="array" ref="I253">IF(SUM(COUNTIF(Text_Preprocessing__224[[#This Row],[full_text]],{"*makan siang gratis*";"*MBG*";"*makan gratis*";"*makan bergizi gratis*";"*makangratis*";"*makanan gratis*"})),"Relevan","Tidak Relevan")</f>
        <v>Relevan</v>
      </c>
    </row>
    <row r="254" spans="1:9" x14ac:dyDescent="0.35">
      <c r="A254">
        <f t="shared" si="3"/>
        <v>253</v>
      </c>
      <c r="B254" t="s">
        <v>2741</v>
      </c>
      <c r="C254" t="s">
        <v>442</v>
      </c>
      <c r="D254" t="s">
        <v>2742</v>
      </c>
      <c r="E254" t="s">
        <v>2743</v>
      </c>
      <c r="F254" t="s">
        <v>2744</v>
      </c>
      <c r="G254" t="s">
        <v>2744</v>
      </c>
      <c r="H254" t="s">
        <v>2745</v>
      </c>
      <c r="I254" s="5" t="str" cm="1">
        <f t="array" ref="I254">IF(SUM(COUNTIF(Text_Preprocessing__224[[#This Row],[full_text]],{"*makan siang gratis*";"*MBG*";"*makan gratis*";"*makan bergizi gratis*";"*makangratis*";"*makanan gratis*"})),"Relevan","Tidak Relevan")</f>
        <v>Relevan</v>
      </c>
    </row>
    <row r="255" spans="1:9" x14ac:dyDescent="0.35">
      <c r="A255">
        <f t="shared" si="3"/>
        <v>254</v>
      </c>
      <c r="B255" t="s">
        <v>2746</v>
      </c>
      <c r="C255" t="s">
        <v>442</v>
      </c>
      <c r="D255" t="s">
        <v>2747</v>
      </c>
      <c r="E255" t="s">
        <v>2748</v>
      </c>
      <c r="F255" t="s">
        <v>2749</v>
      </c>
      <c r="G255" t="s">
        <v>2749</v>
      </c>
      <c r="H255" t="s">
        <v>2750</v>
      </c>
      <c r="I255" s="5" t="str" cm="1">
        <f t="array" ref="I255">IF(SUM(COUNTIF(Text_Preprocessing__224[[#This Row],[full_text]],{"*makan siang gratis*";"*MBG*";"*makan gratis*";"*makan bergizi gratis*";"*makangratis*";"*makanan gratis*"})),"Relevan","Tidak Relevan")</f>
        <v>Relevan</v>
      </c>
    </row>
    <row r="256" spans="1:9" x14ac:dyDescent="0.35">
      <c r="A256">
        <f t="shared" si="3"/>
        <v>255</v>
      </c>
      <c r="B256" t="s">
        <v>2751</v>
      </c>
      <c r="C256" t="s">
        <v>445</v>
      </c>
      <c r="D256" t="s">
        <v>2752</v>
      </c>
      <c r="E256" t="s">
        <v>1680</v>
      </c>
      <c r="F256" t="s">
        <v>2753</v>
      </c>
      <c r="G256" t="s">
        <v>2754</v>
      </c>
      <c r="H256" t="s">
        <v>2755</v>
      </c>
      <c r="I256" s="5" t="str" cm="1">
        <f t="array" ref="I256">IF(SUM(COUNTIF(Text_Preprocessing__224[[#This Row],[full_text]],{"*makan siang gratis*";"*MBG*";"*makan gratis*";"*makan bergizi gratis*";"*makangratis*";"*makanan gratis*"})),"Relevan","Tidak Relevan")</f>
        <v>Relevan</v>
      </c>
    </row>
    <row r="257" spans="1:10" x14ac:dyDescent="0.35">
      <c r="A257">
        <f t="shared" si="3"/>
        <v>256</v>
      </c>
      <c r="B257" t="s">
        <v>2756</v>
      </c>
      <c r="C257" t="s">
        <v>447</v>
      </c>
      <c r="D257" t="s">
        <v>2757</v>
      </c>
      <c r="E257" t="s">
        <v>2609</v>
      </c>
      <c r="F257" t="s">
        <v>2758</v>
      </c>
      <c r="G257" t="s">
        <v>2758</v>
      </c>
      <c r="H257" t="s">
        <v>2759</v>
      </c>
      <c r="I257" s="5" t="str" cm="1">
        <f t="array" ref="I257">IF(SUM(COUNTIF(Text_Preprocessing__224[[#This Row],[full_text]],{"*makan siang gratis*";"*MBG*";"*makan gratis*";"*makan bergizi gratis*";"*makangratis*";"*makanan gratis*"})),"Relevan","Tidak Relevan")</f>
        <v>Relevan</v>
      </c>
    </row>
    <row r="258" spans="1:10" x14ac:dyDescent="0.35">
      <c r="A258">
        <f t="shared" si="3"/>
        <v>257</v>
      </c>
      <c r="B258" t="s">
        <v>2760</v>
      </c>
      <c r="C258" t="s">
        <v>449</v>
      </c>
      <c r="D258" t="s">
        <v>2761</v>
      </c>
      <c r="E258" t="s">
        <v>2553</v>
      </c>
      <c r="F258" t="s">
        <v>2762</v>
      </c>
      <c r="G258" t="s">
        <v>2762</v>
      </c>
      <c r="H258" t="s">
        <v>2763</v>
      </c>
      <c r="I258" s="5" t="str" cm="1">
        <f t="array" ref="I258">IF(SUM(COUNTIF(Text_Preprocessing__224[[#This Row],[full_text]],{"*makan siang gratis*";"*MBG*";"*makan gratis*";"*makan bergizi gratis*";"*makangratis*";"*makanan gratis*"})),"Relevan","Tidak Relevan")</f>
        <v>Relevan</v>
      </c>
    </row>
    <row r="259" spans="1:10" x14ac:dyDescent="0.35">
      <c r="A259">
        <f t="shared" si="3"/>
        <v>258</v>
      </c>
      <c r="B259" t="s">
        <v>2764</v>
      </c>
      <c r="C259" t="s">
        <v>451</v>
      </c>
      <c r="D259" t="s">
        <v>2765</v>
      </c>
      <c r="E259" t="s">
        <v>2069</v>
      </c>
      <c r="F259" t="s">
        <v>2766</v>
      </c>
      <c r="G259" t="s">
        <v>2766</v>
      </c>
      <c r="H259" t="s">
        <v>2767</v>
      </c>
      <c r="I259" s="5" t="str" cm="1">
        <f t="array" ref="I259">IF(SUM(COUNTIF(Text_Preprocessing__224[[#This Row],[full_text]],{"*makan siang gratis*";"*MBG*";"*makan gratis*";"*makan bergizi gratis*";"*makangratis*";"*makanan gratis*"})),"Relevan","Tidak Relevan")</f>
        <v>Relevan</v>
      </c>
    </row>
    <row r="260" spans="1:10" x14ac:dyDescent="0.35">
      <c r="A260">
        <f t="shared" ref="A260:A323" si="4">SUM(A259+1)</f>
        <v>259</v>
      </c>
      <c r="B260" t="s">
        <v>2768</v>
      </c>
      <c r="C260" t="s">
        <v>102</v>
      </c>
      <c r="D260" t="s">
        <v>2769</v>
      </c>
      <c r="E260" t="s">
        <v>2558</v>
      </c>
      <c r="F260" t="s">
        <v>2770</v>
      </c>
      <c r="G260" t="s">
        <v>2770</v>
      </c>
      <c r="H260" t="s">
        <v>2771</v>
      </c>
      <c r="I260" s="5" t="str" cm="1">
        <f t="array" ref="I260">IF(SUM(COUNTIF(Text_Preprocessing__224[[#This Row],[full_text]],{"*makan siang gratis*";"*MBG*";"*makan gratis*";"*makan bergizi gratis*";"*makangratis*";"*makanan gratis*"})),"Relevan","Tidak Relevan")</f>
        <v>Relevan</v>
      </c>
    </row>
    <row r="261" spans="1:10" x14ac:dyDescent="0.35">
      <c r="A261">
        <f t="shared" si="4"/>
        <v>260</v>
      </c>
      <c r="B261" t="s">
        <v>2772</v>
      </c>
      <c r="C261" t="s">
        <v>454</v>
      </c>
      <c r="D261" t="s">
        <v>2773</v>
      </c>
      <c r="E261" t="s">
        <v>2558</v>
      </c>
      <c r="F261" t="s">
        <v>2774</v>
      </c>
      <c r="G261" t="s">
        <v>2774</v>
      </c>
      <c r="H261" t="s">
        <v>2775</v>
      </c>
      <c r="I261" s="5" t="str" cm="1">
        <f t="array" ref="I261">IF(SUM(COUNTIF(Text_Preprocessing__224[[#This Row],[full_text]],{"*makan siang gratis*";"*MBG*";"*makan gratis*";"*makan bergizi gratis*";"*makangratis*";"*makanan gratis*"})),"Relevan","Tidak Relevan")</f>
        <v>Relevan</v>
      </c>
    </row>
    <row r="262" spans="1:10" x14ac:dyDescent="0.35">
      <c r="A262">
        <f t="shared" si="4"/>
        <v>261</v>
      </c>
      <c r="B262" t="s">
        <v>2776</v>
      </c>
      <c r="C262" t="s">
        <v>456</v>
      </c>
      <c r="D262" t="s">
        <v>2777</v>
      </c>
      <c r="E262" t="s">
        <v>2074</v>
      </c>
      <c r="F262" t="s">
        <v>2778</v>
      </c>
      <c r="G262" t="s">
        <v>2778</v>
      </c>
      <c r="H262" t="s">
        <v>2779</v>
      </c>
      <c r="I262" s="5" t="str" cm="1">
        <f t="array" ref="I262">IF(SUM(COUNTIF(Text_Preprocessing__224[[#This Row],[full_text]],{"*makan siang gratis*";"*MBG*";"*makan gratis*";"*makan bergizi gratis*";"*makangratis*";"*makanan gratis*"})),"Relevan","Tidak Relevan")</f>
        <v>Relevan</v>
      </c>
    </row>
    <row r="263" spans="1:10" x14ac:dyDescent="0.35">
      <c r="A263">
        <f t="shared" si="4"/>
        <v>262</v>
      </c>
      <c r="B263" t="s">
        <v>2780</v>
      </c>
      <c r="C263" t="s">
        <v>458</v>
      </c>
      <c r="D263" t="s">
        <v>2781</v>
      </c>
      <c r="E263" t="s">
        <v>2782</v>
      </c>
      <c r="F263" t="s">
        <v>2783</v>
      </c>
      <c r="G263" t="s">
        <v>2784</v>
      </c>
      <c r="H263" t="s">
        <v>2785</v>
      </c>
      <c r="I263" s="5" t="str" cm="1">
        <f t="array" ref="I263">IF(SUM(COUNTIF(Text_Preprocessing__224[[#This Row],[full_text]],{"*makan siang gratis*";"*MBG*";"*makan gratis*";"*makan bergizi gratis*";"*makangratis*";"*makanan gratis*"})),"Relevan","Tidak Relevan")</f>
        <v>Relevan</v>
      </c>
    </row>
    <row r="264" spans="1:10" x14ac:dyDescent="0.35">
      <c r="A264">
        <f t="shared" si="4"/>
        <v>263</v>
      </c>
      <c r="B264" t="s">
        <v>2786</v>
      </c>
      <c r="C264" t="s">
        <v>460</v>
      </c>
      <c r="D264" t="s">
        <v>2787</v>
      </c>
      <c r="E264" t="s">
        <v>1692</v>
      </c>
      <c r="F264" t="s">
        <v>2788</v>
      </c>
      <c r="G264" t="s">
        <v>2788</v>
      </c>
      <c r="H264" t="s">
        <v>2789</v>
      </c>
      <c r="I264" s="5" t="str" cm="1">
        <f t="array" ref="I264">IF(SUM(COUNTIF(Text_Preprocessing__224[[#This Row],[full_text]],{"*makan siang gratis*";"*MBG*";"*makan gratis*";"*makan bergizi gratis*";"*makangratis*";"*makanan gratis*"})),"Relevan","Tidak Relevan")</f>
        <v>Relevan</v>
      </c>
    </row>
    <row r="265" spans="1:10" x14ac:dyDescent="0.35">
      <c r="A265">
        <f t="shared" si="4"/>
        <v>264</v>
      </c>
      <c r="B265" t="s">
        <v>2790</v>
      </c>
      <c r="C265" t="s">
        <v>442</v>
      </c>
      <c r="D265" t="s">
        <v>2791</v>
      </c>
      <c r="E265" t="s">
        <v>2782</v>
      </c>
      <c r="F265" t="s">
        <v>2792</v>
      </c>
      <c r="G265" t="s">
        <v>2792</v>
      </c>
      <c r="H265" t="s">
        <v>2793</v>
      </c>
      <c r="I265" s="5" t="str" cm="1">
        <f t="array" ref="I265">IF(SUM(COUNTIF(Text_Preprocessing__224[[#This Row],[full_text]],{"*makan siang gratis*";"*MBG*";"*makan gratis*";"*makan bergizi gratis*";"*makangratis*";"*makanan gratis*"})),"Relevan","Tidak Relevan")</f>
        <v>Relevan</v>
      </c>
    </row>
    <row r="266" spans="1:10" x14ac:dyDescent="0.35">
      <c r="A266">
        <f t="shared" si="4"/>
        <v>265</v>
      </c>
      <c r="B266" t="s">
        <v>2794</v>
      </c>
      <c r="C266" t="s">
        <v>463</v>
      </c>
      <c r="D266" t="s">
        <v>2795</v>
      </c>
      <c r="E266" t="s">
        <v>2796</v>
      </c>
      <c r="F266" t="s">
        <v>2797</v>
      </c>
      <c r="G266" t="s">
        <v>2797</v>
      </c>
      <c r="H266" t="s">
        <v>2798</v>
      </c>
      <c r="I266" s="5" t="str" cm="1">
        <f t="array" ref="I266">IF(SUM(COUNTIF(Text_Preprocessing__224[[#This Row],[full_text]],{"*makan siang gratis*";"*MBG*";"*makan gratis*";"*makan bergizi gratis*";"*makangratis*";"*makanan gratis*"})),"Relevan","Tidak Relevan")</f>
        <v>Relevan</v>
      </c>
    </row>
    <row r="267" spans="1:10" x14ac:dyDescent="0.35">
      <c r="A267">
        <f t="shared" si="4"/>
        <v>266</v>
      </c>
      <c r="B267" t="s">
        <v>2799</v>
      </c>
      <c r="C267" t="s">
        <v>463</v>
      </c>
      <c r="D267" t="s">
        <v>2800</v>
      </c>
      <c r="E267" t="s">
        <v>2558</v>
      </c>
      <c r="F267" t="s">
        <v>2801</v>
      </c>
      <c r="G267" t="s">
        <v>2802</v>
      </c>
      <c r="H267" t="s">
        <v>2803</v>
      </c>
      <c r="I267" s="5" t="str" cm="1">
        <f t="array" ref="I267">IF(SUM(COUNTIF(Text_Preprocessing__224[[#This Row],[full_text]],{"*makan siang gratis*";"*MBG*";"*makan gratis*";"*makan bergizi gratis*";"*makangratis*";"*makanan gratis*"})),"Relevan","Tidak Relevan")</f>
        <v>Relevan</v>
      </c>
    </row>
    <row r="268" spans="1:10" x14ac:dyDescent="0.35">
      <c r="A268">
        <f t="shared" si="4"/>
        <v>267</v>
      </c>
      <c r="B268" t="s">
        <v>2804</v>
      </c>
      <c r="C268" t="s">
        <v>379</v>
      </c>
      <c r="D268" t="s">
        <v>2805</v>
      </c>
      <c r="E268" t="s">
        <v>2806</v>
      </c>
      <c r="F268" t="s">
        <v>2807</v>
      </c>
      <c r="G268" t="s">
        <v>2807</v>
      </c>
      <c r="H268" t="s">
        <v>2808</v>
      </c>
      <c r="I268" s="5" t="str" cm="1">
        <f t="array" ref="I268">IF(SUM(COUNTIF(Text_Preprocessing__224[[#This Row],[full_text]],{"*makan siang gratis*";"*MBG*";"*makan gratis*";"*makan bergizi gratis*";"*makangratis*";"*makanan gratis*"})),"Relevan","Tidak Relevan")</f>
        <v>Relevan</v>
      </c>
    </row>
    <row r="269" spans="1:10" x14ac:dyDescent="0.35">
      <c r="A269">
        <f t="shared" si="4"/>
        <v>268</v>
      </c>
      <c r="B269" t="s">
        <v>2809</v>
      </c>
      <c r="C269" t="s">
        <v>467</v>
      </c>
      <c r="D269" t="s">
        <v>2810</v>
      </c>
      <c r="E269" t="s">
        <v>1893</v>
      </c>
      <c r="F269" t="s">
        <v>2811</v>
      </c>
      <c r="G269" t="s">
        <v>2812</v>
      </c>
      <c r="H269" t="s">
        <v>2813</v>
      </c>
      <c r="I269" s="5" t="str" cm="1">
        <f t="array" ref="I269">IF(SUM(COUNTIF(Text_Preprocessing__224[[#This Row],[full_text]],{"*makan siang gratis*";"*MBG*";"*makan gratis*";"*makan bergizi gratis*";"*makangratis*";"*makanan gratis*"})),"Relevan","Tidak Relevan")</f>
        <v>Relevan</v>
      </c>
    </row>
    <row r="270" spans="1:10" x14ac:dyDescent="0.35">
      <c r="A270">
        <f t="shared" si="4"/>
        <v>269</v>
      </c>
      <c r="B270" t="s">
        <v>2814</v>
      </c>
      <c r="C270" t="s">
        <v>467</v>
      </c>
      <c r="D270" t="s">
        <v>2815</v>
      </c>
      <c r="E270" t="s">
        <v>1884</v>
      </c>
      <c r="F270" t="s">
        <v>2816</v>
      </c>
      <c r="G270" t="s">
        <v>2817</v>
      </c>
      <c r="H270" t="s">
        <v>2818</v>
      </c>
      <c r="I270" s="5" t="str" cm="1">
        <f t="array" ref="I270">IF(SUM(COUNTIF(Text_Preprocessing__224[[#This Row],[full_text]],{"*makan siang gratis*";"*MBG*";"*makan gratis*";"*makan bergizi gratis*";"*makangratis*";"*makanan gratis*"})),"Relevan","Tidak Relevan")</f>
        <v>Tidak Relevan</v>
      </c>
      <c r="J270" s="4" t="s">
        <v>3623</v>
      </c>
    </row>
    <row r="271" spans="1:10" x14ac:dyDescent="0.35">
      <c r="A271">
        <f t="shared" si="4"/>
        <v>270</v>
      </c>
      <c r="B271" t="s">
        <v>2819</v>
      </c>
      <c r="C271" t="s">
        <v>470</v>
      </c>
      <c r="D271" t="s">
        <v>2820</v>
      </c>
      <c r="E271" t="s">
        <v>2609</v>
      </c>
      <c r="F271" t="s">
        <v>2821</v>
      </c>
      <c r="G271" t="s">
        <v>2822</v>
      </c>
      <c r="H271" t="s">
        <v>2823</v>
      </c>
      <c r="I271" s="5" t="str" cm="1">
        <f t="array" ref="I271">IF(SUM(COUNTIF(Text_Preprocessing__224[[#This Row],[full_text]],{"*makan siang gratis*";"*MBG*";"*makan gratis*";"*makan bergizi gratis*";"*makangratis*";"*makanan gratis*"})),"Relevan","Tidak Relevan")</f>
        <v>Relevan</v>
      </c>
    </row>
    <row r="272" spans="1:10" x14ac:dyDescent="0.35">
      <c r="A272">
        <f t="shared" si="4"/>
        <v>271</v>
      </c>
      <c r="B272" t="s">
        <v>2824</v>
      </c>
      <c r="C272" t="s">
        <v>472</v>
      </c>
      <c r="D272" t="s">
        <v>2825</v>
      </c>
      <c r="E272" t="s">
        <v>2253</v>
      </c>
      <c r="F272" t="s">
        <v>2826</v>
      </c>
      <c r="G272" t="s">
        <v>2826</v>
      </c>
      <c r="H272" t="s">
        <v>2827</v>
      </c>
      <c r="I272" s="5" t="str" cm="1">
        <f t="array" ref="I272">IF(SUM(COUNTIF(Text_Preprocessing__224[[#This Row],[full_text]],{"*makan siang gratis*";"*MBG*";"*makan gratis*";"*makan bergizi gratis*";"*makangratis*";"*makanan gratis*"})),"Relevan","Tidak Relevan")</f>
        <v>Relevan</v>
      </c>
    </row>
    <row r="273" spans="1:10" x14ac:dyDescent="0.35">
      <c r="A273">
        <f t="shared" si="4"/>
        <v>272</v>
      </c>
      <c r="B273" t="s">
        <v>2828</v>
      </c>
      <c r="C273" t="s">
        <v>442</v>
      </c>
      <c r="D273" t="s">
        <v>2829</v>
      </c>
      <c r="E273" t="s">
        <v>2599</v>
      </c>
      <c r="F273" t="s">
        <v>2830</v>
      </c>
      <c r="G273" t="s">
        <v>2830</v>
      </c>
      <c r="H273" t="s">
        <v>2831</v>
      </c>
      <c r="I273" s="5" t="str" cm="1">
        <f t="array" ref="I273">IF(SUM(COUNTIF(Text_Preprocessing__224[[#This Row],[full_text]],{"*makan siang gratis*";"*MBG*";"*makan gratis*";"*makan bergizi gratis*";"*makangratis*";"*makanan gratis*"})),"Relevan","Tidak Relevan")</f>
        <v>Relevan</v>
      </c>
    </row>
    <row r="274" spans="1:10" x14ac:dyDescent="0.35">
      <c r="A274">
        <f t="shared" si="4"/>
        <v>273</v>
      </c>
      <c r="B274" t="s">
        <v>2832</v>
      </c>
      <c r="C274" t="s">
        <v>475</v>
      </c>
      <c r="D274" t="s">
        <v>2833</v>
      </c>
      <c r="E274" t="s">
        <v>2229</v>
      </c>
      <c r="F274" t="s">
        <v>2834</v>
      </c>
      <c r="G274" t="s">
        <v>2834</v>
      </c>
      <c r="H274" t="s">
        <v>2835</v>
      </c>
      <c r="I274" s="5" t="str" cm="1">
        <f t="array" ref="I274">IF(SUM(COUNTIF(Text_Preprocessing__224[[#This Row],[full_text]],{"*makan siang gratis*";"*MBG*";"*makan gratis*";"*makan bergizi gratis*";"*makangratis*";"*makanan gratis*"})),"Relevan","Tidak Relevan")</f>
        <v>Relevan</v>
      </c>
    </row>
    <row r="275" spans="1:10" x14ac:dyDescent="0.35">
      <c r="A275">
        <f t="shared" si="4"/>
        <v>274</v>
      </c>
      <c r="B275" t="s">
        <v>2836</v>
      </c>
      <c r="C275" t="s">
        <v>477</v>
      </c>
      <c r="D275" t="s">
        <v>2837</v>
      </c>
      <c r="E275" t="s">
        <v>2164</v>
      </c>
      <c r="F275" t="s">
        <v>2838</v>
      </c>
      <c r="G275" t="s">
        <v>2838</v>
      </c>
      <c r="H275" t="s">
        <v>2839</v>
      </c>
      <c r="I275" s="5" t="str" cm="1">
        <f t="array" ref="I275">IF(SUM(COUNTIF(Text_Preprocessing__224[[#This Row],[full_text]],{"*makan siang gratis*";"*MBG*";"*makan gratis*";"*makan bergizi gratis*";"*makangratis*";"*makanan gratis*"})),"Relevan","Tidak Relevan")</f>
        <v>Relevan</v>
      </c>
    </row>
    <row r="276" spans="1:10" x14ac:dyDescent="0.35">
      <c r="A276">
        <f t="shared" si="4"/>
        <v>275</v>
      </c>
      <c r="B276" t="s">
        <v>2840</v>
      </c>
      <c r="C276" t="s">
        <v>445</v>
      </c>
      <c r="D276" t="s">
        <v>2841</v>
      </c>
      <c r="E276" t="s">
        <v>2052</v>
      </c>
      <c r="F276" t="s">
        <v>2842</v>
      </c>
      <c r="G276" t="s">
        <v>2842</v>
      </c>
      <c r="H276" t="s">
        <v>2843</v>
      </c>
      <c r="I276" s="5" t="str" cm="1">
        <f t="array" ref="I276">IF(SUM(COUNTIF(Text_Preprocessing__224[[#This Row],[full_text]],{"*makan siang gratis*";"*MBG*";"*makan gratis*";"*makan bergizi gratis*";"*makangratis*";"*makanan gratis*"})),"Relevan","Tidak Relevan")</f>
        <v>Relevan</v>
      </c>
    </row>
    <row r="277" spans="1:10" x14ac:dyDescent="0.35">
      <c r="A277">
        <f t="shared" si="4"/>
        <v>276</v>
      </c>
      <c r="B277" t="s">
        <v>2844</v>
      </c>
      <c r="C277" t="s">
        <v>480</v>
      </c>
      <c r="D277" t="s">
        <v>2845</v>
      </c>
      <c r="E277" t="s">
        <v>1596</v>
      </c>
      <c r="F277" t="s">
        <v>2845</v>
      </c>
      <c r="G277" t="s">
        <v>2845</v>
      </c>
      <c r="H277" t="s">
        <v>2846</v>
      </c>
      <c r="I277" s="5" t="str" cm="1">
        <f t="array" ref="I277">IF(SUM(COUNTIF(Text_Preprocessing__224[[#This Row],[full_text]],{"*makan siang gratis*";"*MBG*";"*makan gratis*";"*makan bergizi gratis*";"*makangratis*";"*makanan gratis*"})),"Relevan","Tidak Relevan")</f>
        <v>Relevan</v>
      </c>
    </row>
    <row r="278" spans="1:10" x14ac:dyDescent="0.35">
      <c r="A278">
        <f t="shared" si="4"/>
        <v>277</v>
      </c>
      <c r="B278" t="s">
        <v>2847</v>
      </c>
      <c r="C278" t="s">
        <v>482</v>
      </c>
      <c r="D278" t="s">
        <v>2848</v>
      </c>
      <c r="E278" t="s">
        <v>2599</v>
      </c>
      <c r="F278" t="s">
        <v>2849</v>
      </c>
      <c r="G278" t="s">
        <v>2850</v>
      </c>
      <c r="H278" t="s">
        <v>2851</v>
      </c>
      <c r="I278" s="5" t="str" cm="1">
        <f t="array" ref="I278">IF(SUM(COUNTIF(Text_Preprocessing__224[[#This Row],[full_text]],{"*makan siang gratis*";"*MBG*";"*makan gratis*";"*makan bergizi gratis*";"*makangratis*";"*makanan gratis*"})),"Relevan","Tidak Relevan")</f>
        <v>Relevan</v>
      </c>
    </row>
    <row r="279" spans="1:10" x14ac:dyDescent="0.35">
      <c r="A279">
        <f t="shared" si="4"/>
        <v>278</v>
      </c>
      <c r="B279" t="s">
        <v>2852</v>
      </c>
      <c r="C279" t="s">
        <v>484</v>
      </c>
      <c r="D279" t="s">
        <v>2853</v>
      </c>
      <c r="E279" t="s">
        <v>2348</v>
      </c>
      <c r="F279" t="s">
        <v>2854</v>
      </c>
      <c r="G279" t="s">
        <v>2854</v>
      </c>
      <c r="H279" t="s">
        <v>2855</v>
      </c>
      <c r="I279" s="5" t="str" cm="1">
        <f t="array" ref="I279">IF(SUM(COUNTIF(Text_Preprocessing__224[[#This Row],[full_text]],{"*makan siang gratis*";"*MBG*";"*makan gratis*";"*makan bergizi gratis*";"*makangratis*";"*makanan gratis*"})),"Relevan","Tidak Relevan")</f>
        <v>Relevan</v>
      </c>
    </row>
    <row r="280" spans="1:10" x14ac:dyDescent="0.35">
      <c r="A280">
        <f t="shared" si="4"/>
        <v>279</v>
      </c>
      <c r="B280" t="s">
        <v>2856</v>
      </c>
      <c r="C280" t="s">
        <v>486</v>
      </c>
      <c r="D280" t="s">
        <v>2857</v>
      </c>
      <c r="E280" t="s">
        <v>1888</v>
      </c>
      <c r="F280" t="s">
        <v>2858</v>
      </c>
      <c r="G280" t="s">
        <v>2858</v>
      </c>
      <c r="H280" t="s">
        <v>2859</v>
      </c>
      <c r="I280" s="5" t="str" cm="1">
        <f t="array" ref="I280">IF(SUM(COUNTIF(Text_Preprocessing__224[[#This Row],[full_text]],{"*makan siang gratis*";"*MBG*";"*makan gratis*";"*makan bergizi gratis*";"*makangratis*";"*makanan gratis*"})),"Relevan","Tidak Relevan")</f>
        <v>Relevan</v>
      </c>
    </row>
    <row r="281" spans="1:10" x14ac:dyDescent="0.35">
      <c r="A281">
        <f t="shared" si="4"/>
        <v>280</v>
      </c>
      <c r="B281" t="s">
        <v>2860</v>
      </c>
      <c r="C281" t="s">
        <v>488</v>
      </c>
      <c r="D281" t="s">
        <v>2861</v>
      </c>
      <c r="E281" t="s">
        <v>2862</v>
      </c>
      <c r="F281" t="s">
        <v>2863</v>
      </c>
      <c r="G281" t="s">
        <v>2863</v>
      </c>
      <c r="H281" t="s">
        <v>2864</v>
      </c>
      <c r="I281" s="5" t="str" cm="1">
        <f t="array" ref="I281">IF(SUM(COUNTIF(Text_Preprocessing__224[[#This Row],[full_text]],{"*makan siang gratis*";"*MBG*";"*makan gratis*";"*makan bergizi gratis*";"*makangratis*";"*makanan gratis*"})),"Relevan","Tidak Relevan")</f>
        <v>Relevan</v>
      </c>
    </row>
    <row r="282" spans="1:10" x14ac:dyDescent="0.35">
      <c r="A282">
        <f t="shared" si="4"/>
        <v>281</v>
      </c>
      <c r="B282" t="s">
        <v>2865</v>
      </c>
      <c r="C282" t="s">
        <v>490</v>
      </c>
      <c r="D282" t="s">
        <v>2866</v>
      </c>
      <c r="E282" t="s">
        <v>2867</v>
      </c>
      <c r="F282" t="s">
        <v>2868</v>
      </c>
      <c r="G282" t="s">
        <v>2869</v>
      </c>
      <c r="H282" t="s">
        <v>2870</v>
      </c>
      <c r="I282" s="5" t="str" cm="1">
        <f t="array" ref="I282">IF(SUM(COUNTIF(Text_Preprocessing__224[[#This Row],[full_text]],{"*makan siang gratis*";"*MBG*";"*makan gratis*";"*makan bergizi gratis*";"*makangratis*";"*makanan gratis*"})),"Relevan","Tidak Relevan")</f>
        <v>Relevan</v>
      </c>
    </row>
    <row r="283" spans="1:10" x14ac:dyDescent="0.35">
      <c r="A283">
        <f t="shared" si="4"/>
        <v>282</v>
      </c>
      <c r="B283" t="s">
        <v>2871</v>
      </c>
      <c r="C283" t="s">
        <v>492</v>
      </c>
      <c r="D283" t="s">
        <v>2872</v>
      </c>
      <c r="E283" t="s">
        <v>1669</v>
      </c>
      <c r="F283" t="s">
        <v>2873</v>
      </c>
      <c r="G283" t="s">
        <v>2874</v>
      </c>
      <c r="H283" t="s">
        <v>2875</v>
      </c>
      <c r="I283" s="5" t="str" cm="1">
        <f t="array" ref="I283">IF(SUM(COUNTIF(Text_Preprocessing__224[[#This Row],[full_text]],{"*makan siang gratis*";"*MBG*";"*makan gratis*";"*makan bergizi gratis*";"*makangratis*";"*makanan gratis*"})),"Relevan","Tidak Relevan")</f>
        <v>Relevan</v>
      </c>
    </row>
    <row r="284" spans="1:10" x14ac:dyDescent="0.35">
      <c r="A284">
        <f t="shared" si="4"/>
        <v>283</v>
      </c>
      <c r="B284" t="s">
        <v>2876</v>
      </c>
      <c r="C284" t="s">
        <v>494</v>
      </c>
      <c r="D284" t="s">
        <v>2877</v>
      </c>
      <c r="E284" t="s">
        <v>2878</v>
      </c>
      <c r="F284" t="s">
        <v>2879</v>
      </c>
      <c r="G284" t="s">
        <v>2880</v>
      </c>
      <c r="H284" t="s">
        <v>2881</v>
      </c>
      <c r="I284" s="5" t="str" cm="1">
        <f t="array" ref="I284">IF(SUM(COUNTIF(Text_Preprocessing__224[[#This Row],[full_text]],{"*makan siang gratis*";"*MBG*";"*makan gratis*";"*makan bergizi gratis*";"*makangratis*";"*makanan gratis*"})),"Relevan","Tidak Relevan")</f>
        <v>Relevan</v>
      </c>
    </row>
    <row r="285" spans="1:10" x14ac:dyDescent="0.35">
      <c r="A285">
        <f t="shared" si="4"/>
        <v>284</v>
      </c>
      <c r="B285" t="s">
        <v>2882</v>
      </c>
      <c r="C285" t="s">
        <v>496</v>
      </c>
      <c r="D285" t="s">
        <v>2883</v>
      </c>
      <c r="E285" t="s">
        <v>1799</v>
      </c>
      <c r="F285" t="s">
        <v>2884</v>
      </c>
      <c r="G285" t="s">
        <v>2884</v>
      </c>
      <c r="H285" t="s">
        <v>2885</v>
      </c>
      <c r="I285" s="5" t="str" cm="1">
        <f t="array" ref="I285">IF(SUM(COUNTIF(Text_Preprocessing__224[[#This Row],[full_text]],{"*makan siang gratis*";"*MBG*";"*makan gratis*";"*makan bergizi gratis*";"*makangratis*";"*makanan gratis*"})),"Relevan","Tidak Relevan")</f>
        <v>Tidak Relevan</v>
      </c>
      <c r="J285" t="s">
        <v>3622</v>
      </c>
    </row>
    <row r="286" spans="1:10" x14ac:dyDescent="0.35">
      <c r="A286">
        <f t="shared" si="4"/>
        <v>285</v>
      </c>
      <c r="B286" t="s">
        <v>2886</v>
      </c>
      <c r="C286" t="s">
        <v>498</v>
      </c>
      <c r="D286" t="s">
        <v>2887</v>
      </c>
      <c r="E286" t="s">
        <v>1596</v>
      </c>
      <c r="F286" t="s">
        <v>2888</v>
      </c>
      <c r="G286" t="s">
        <v>2888</v>
      </c>
      <c r="H286" t="s">
        <v>2888</v>
      </c>
      <c r="I286" s="5" t="str" cm="1">
        <f t="array" ref="I286">IF(SUM(COUNTIF(Text_Preprocessing__224[[#This Row],[full_text]],{"*makan siang gratis*";"*MBG*";"*makan gratis*";"*makan bergizi gratis*";"*makangratis*";"*makanan gratis*"})),"Relevan","Tidak Relevan")</f>
        <v>Relevan</v>
      </c>
    </row>
    <row r="287" spans="1:10" x14ac:dyDescent="0.35">
      <c r="A287">
        <f t="shared" si="4"/>
        <v>286</v>
      </c>
      <c r="B287" t="s">
        <v>2889</v>
      </c>
      <c r="C287" t="s">
        <v>442</v>
      </c>
      <c r="D287" t="s">
        <v>2890</v>
      </c>
      <c r="E287" t="s">
        <v>2609</v>
      </c>
      <c r="F287" t="s">
        <v>2891</v>
      </c>
      <c r="G287" t="s">
        <v>2891</v>
      </c>
      <c r="H287" t="s">
        <v>2892</v>
      </c>
      <c r="I287" s="5" t="str" cm="1">
        <f t="array" ref="I287">IF(SUM(COUNTIF(Text_Preprocessing__224[[#This Row],[full_text]],{"*makan siang gratis*";"*MBG*";"*makan gratis*";"*makan bergizi gratis*";"*makangratis*";"*makanan gratis*"})),"Relevan","Tidak Relevan")</f>
        <v>Relevan</v>
      </c>
    </row>
    <row r="288" spans="1:10" x14ac:dyDescent="0.35">
      <c r="A288">
        <f t="shared" si="4"/>
        <v>287</v>
      </c>
      <c r="B288" t="s">
        <v>2893</v>
      </c>
      <c r="C288" t="s">
        <v>501</v>
      </c>
      <c r="D288" t="s">
        <v>2894</v>
      </c>
      <c r="E288" t="s">
        <v>2878</v>
      </c>
      <c r="F288" t="s">
        <v>2895</v>
      </c>
      <c r="G288" t="s">
        <v>2895</v>
      </c>
      <c r="H288" t="s">
        <v>2896</v>
      </c>
      <c r="I288" s="5" t="str" cm="1">
        <f t="array" ref="I288">IF(SUM(COUNTIF(Text_Preprocessing__224[[#This Row],[full_text]],{"*makan siang gratis*";"*MBG*";"*makan gratis*";"*makan bergizi gratis*";"*makangratis*";"*makanan gratis*"})),"Relevan","Tidak Relevan")</f>
        <v>Relevan</v>
      </c>
    </row>
    <row r="289" spans="1:10" x14ac:dyDescent="0.35">
      <c r="A289">
        <f t="shared" si="4"/>
        <v>288</v>
      </c>
      <c r="B289" t="s">
        <v>2897</v>
      </c>
      <c r="C289" t="s">
        <v>503</v>
      </c>
      <c r="D289" t="s">
        <v>2898</v>
      </c>
      <c r="E289" t="s">
        <v>2899</v>
      </c>
      <c r="F289" t="s">
        <v>2900</v>
      </c>
      <c r="G289" t="s">
        <v>2900</v>
      </c>
      <c r="H289" t="s">
        <v>2901</v>
      </c>
      <c r="I289" s="5" t="str" cm="1">
        <f t="array" ref="I289">IF(SUM(COUNTIF(Text_Preprocessing__224[[#This Row],[full_text]],{"*makan siang gratis*";"*MBG*";"*makan gratis*";"*makan bergizi gratis*";"*makangratis*";"*makanan gratis*"})),"Relevan","Tidak Relevan")</f>
        <v>Relevan</v>
      </c>
    </row>
    <row r="290" spans="1:10" x14ac:dyDescent="0.35">
      <c r="A290">
        <f t="shared" si="4"/>
        <v>289</v>
      </c>
      <c r="B290" t="s">
        <v>2902</v>
      </c>
      <c r="C290" t="s">
        <v>76</v>
      </c>
      <c r="D290" t="s">
        <v>2903</v>
      </c>
      <c r="E290" t="s">
        <v>2904</v>
      </c>
      <c r="F290" t="s">
        <v>2905</v>
      </c>
      <c r="G290" t="s">
        <v>2905</v>
      </c>
      <c r="H290" t="s">
        <v>2906</v>
      </c>
      <c r="I290" s="5" t="str" cm="1">
        <f t="array" ref="I290">IF(SUM(COUNTIF(Text_Preprocessing__224[[#This Row],[full_text]],{"*makan siang gratis*";"*MBG*";"*makan gratis*";"*makan bergizi gratis*";"*makangratis*";"*makanan gratis*"})),"Relevan","Tidak Relevan")</f>
        <v>Relevan</v>
      </c>
    </row>
    <row r="291" spans="1:10" x14ac:dyDescent="0.35">
      <c r="A291">
        <f t="shared" si="4"/>
        <v>290</v>
      </c>
      <c r="B291" t="s">
        <v>2907</v>
      </c>
      <c r="C291" t="s">
        <v>506</v>
      </c>
      <c r="D291" t="s">
        <v>2908</v>
      </c>
      <c r="E291" t="s">
        <v>1730</v>
      </c>
      <c r="F291" t="s">
        <v>2909</v>
      </c>
      <c r="G291" t="s">
        <v>2909</v>
      </c>
      <c r="H291" t="s">
        <v>2910</v>
      </c>
      <c r="I291" s="5" t="str" cm="1">
        <f t="array" ref="I291">IF(SUM(COUNTIF(Text_Preprocessing__224[[#This Row],[full_text]],{"*makan siang gratis*";"*MBG*";"*makan gratis*";"*makan bergizi gratis*";"*makangratis*";"*makanan gratis*"})),"Relevan","Tidak Relevan")</f>
        <v>Relevan</v>
      </c>
    </row>
    <row r="292" spans="1:10" x14ac:dyDescent="0.35">
      <c r="A292">
        <f t="shared" si="4"/>
        <v>291</v>
      </c>
      <c r="B292" t="s">
        <v>2911</v>
      </c>
      <c r="C292" t="s">
        <v>508</v>
      </c>
      <c r="D292" t="s">
        <v>2912</v>
      </c>
      <c r="E292" t="s">
        <v>1669</v>
      </c>
      <c r="F292" t="s">
        <v>2913</v>
      </c>
      <c r="G292" t="s">
        <v>2913</v>
      </c>
      <c r="H292" t="s">
        <v>2914</v>
      </c>
      <c r="I292" s="5" t="str" cm="1">
        <f t="array" ref="I292">IF(SUM(COUNTIF(Text_Preprocessing__224[[#This Row],[full_text]],{"*makan siang gratis*";"*MBG*";"*makan gratis*";"*makan bergizi gratis*";"*makangratis*";"*makanan gratis*"})),"Relevan","Tidak Relevan")</f>
        <v>Relevan</v>
      </c>
    </row>
    <row r="293" spans="1:10" x14ac:dyDescent="0.35">
      <c r="A293">
        <f t="shared" si="4"/>
        <v>292</v>
      </c>
      <c r="B293" t="s">
        <v>2915</v>
      </c>
      <c r="C293" t="s">
        <v>510</v>
      </c>
      <c r="D293" t="s">
        <v>2916</v>
      </c>
      <c r="E293" t="s">
        <v>1906</v>
      </c>
      <c r="F293" t="s">
        <v>2917</v>
      </c>
      <c r="G293" t="s">
        <v>2917</v>
      </c>
      <c r="H293" t="s">
        <v>2918</v>
      </c>
      <c r="I293" s="5" t="str" cm="1">
        <f t="array" ref="I293">IF(SUM(COUNTIF(Text_Preprocessing__224[[#This Row],[full_text]],{"*makan siang gratis*";"*MBG*";"*makan gratis*";"*makan bergizi gratis*";"*makangratis*";"*makanan gratis*"})),"Relevan","Tidak Relevan")</f>
        <v>Relevan</v>
      </c>
    </row>
    <row r="294" spans="1:10" x14ac:dyDescent="0.35">
      <c r="A294">
        <f t="shared" si="4"/>
        <v>293</v>
      </c>
      <c r="B294" t="s">
        <v>2919</v>
      </c>
      <c r="C294" t="s">
        <v>512</v>
      </c>
      <c r="D294" t="s">
        <v>2920</v>
      </c>
      <c r="E294" t="s">
        <v>2921</v>
      </c>
      <c r="F294" t="s">
        <v>2922</v>
      </c>
      <c r="G294" t="s">
        <v>2922</v>
      </c>
      <c r="H294" t="s">
        <v>2923</v>
      </c>
      <c r="I294" s="5" t="str" cm="1">
        <f t="array" ref="I294">IF(SUM(COUNTIF(Text_Preprocessing__224[[#This Row],[full_text]],{"*makan siang gratis*";"*MBG*";"*makan gratis*";"*makan bergizi gratis*";"*makangratis*";"*makanan gratis*"})),"Relevan","Tidak Relevan")</f>
        <v>Relevan</v>
      </c>
    </row>
    <row r="295" spans="1:10" x14ac:dyDescent="0.35">
      <c r="A295">
        <f t="shared" si="4"/>
        <v>294</v>
      </c>
      <c r="B295" t="s">
        <v>2924</v>
      </c>
      <c r="C295" t="s">
        <v>447</v>
      </c>
      <c r="D295" t="s">
        <v>2925</v>
      </c>
      <c r="E295" t="s">
        <v>2599</v>
      </c>
      <c r="F295" t="s">
        <v>2926</v>
      </c>
      <c r="G295" t="s">
        <v>2926</v>
      </c>
      <c r="H295" t="s">
        <v>2927</v>
      </c>
      <c r="I295" s="5" t="str" cm="1">
        <f t="array" ref="I295">IF(SUM(COUNTIF(Text_Preprocessing__224[[#This Row],[full_text]],{"*makan siang gratis*";"*MBG*";"*makan gratis*";"*makan bergizi gratis*";"*makangratis*";"*makanan gratis*"})),"Relevan","Tidak Relevan")</f>
        <v>Relevan</v>
      </c>
    </row>
    <row r="296" spans="1:10" x14ac:dyDescent="0.35">
      <c r="A296">
        <f t="shared" si="4"/>
        <v>295</v>
      </c>
      <c r="B296" t="s">
        <v>2928</v>
      </c>
      <c r="C296" t="s">
        <v>515</v>
      </c>
      <c r="D296" t="s">
        <v>2929</v>
      </c>
      <c r="E296" t="s">
        <v>1735</v>
      </c>
      <c r="F296" t="s">
        <v>2930</v>
      </c>
      <c r="G296" t="s">
        <v>2930</v>
      </c>
      <c r="H296" t="s">
        <v>2931</v>
      </c>
      <c r="I296" s="5" t="str" cm="1">
        <f t="array" ref="I296">IF(SUM(COUNTIF(Text_Preprocessing__224[[#This Row],[full_text]],{"*makan siang gratis*";"*MBG*";"*makan gratis*";"*makan bergizi gratis*";"*makangratis*";"*makanan gratis*"})),"Relevan","Tidak Relevan")</f>
        <v>Relevan</v>
      </c>
    </row>
    <row r="297" spans="1:10" x14ac:dyDescent="0.35">
      <c r="A297">
        <f t="shared" si="4"/>
        <v>296</v>
      </c>
      <c r="B297" t="s">
        <v>2932</v>
      </c>
      <c r="C297" t="s">
        <v>517</v>
      </c>
      <c r="D297" t="s">
        <v>2933</v>
      </c>
      <c r="E297" t="s">
        <v>2934</v>
      </c>
      <c r="F297" t="s">
        <v>2935</v>
      </c>
      <c r="G297" t="s">
        <v>2935</v>
      </c>
      <c r="H297" t="s">
        <v>2936</v>
      </c>
      <c r="I297" s="5" t="str" cm="1">
        <f t="array" ref="I297">IF(SUM(COUNTIF(Text_Preprocessing__224[[#This Row],[full_text]],{"*makan siang gratis*";"*MBG*";"*makan gratis*";"*makan bergizi gratis*";"*makangratis*";"*makanan gratis*"})),"Relevan","Tidak Relevan")</f>
        <v>Relevan</v>
      </c>
    </row>
    <row r="298" spans="1:10" x14ac:dyDescent="0.35">
      <c r="A298">
        <f t="shared" si="4"/>
        <v>297</v>
      </c>
      <c r="B298" t="s">
        <v>2937</v>
      </c>
      <c r="C298" t="s">
        <v>519</v>
      </c>
      <c r="D298" t="s">
        <v>2938</v>
      </c>
      <c r="E298" t="s">
        <v>1692</v>
      </c>
      <c r="F298" t="s">
        <v>2939</v>
      </c>
      <c r="G298" t="s">
        <v>2939</v>
      </c>
      <c r="H298" t="s">
        <v>2940</v>
      </c>
      <c r="I298" s="5" t="str" cm="1">
        <f t="array" ref="I298">IF(SUM(COUNTIF(Text_Preprocessing__224[[#This Row],[full_text]],{"*makan siang gratis*";"*MBG*";"*makan gratis*";"*makan bergizi gratis*";"*makangratis*";"*makanan gratis*"})),"Relevan","Tidak Relevan")</f>
        <v>Relevan</v>
      </c>
    </row>
    <row r="299" spans="1:10" x14ac:dyDescent="0.35">
      <c r="A299">
        <f t="shared" si="4"/>
        <v>298</v>
      </c>
      <c r="B299" t="s">
        <v>2941</v>
      </c>
      <c r="C299" t="s">
        <v>519</v>
      </c>
      <c r="D299" t="s">
        <v>2942</v>
      </c>
      <c r="E299" t="s">
        <v>1735</v>
      </c>
      <c r="F299" t="s">
        <v>2943</v>
      </c>
      <c r="G299" t="s">
        <v>2943</v>
      </c>
      <c r="H299" t="s">
        <v>2944</v>
      </c>
      <c r="I299" s="5" t="str" cm="1">
        <f t="array" ref="I299">IF(SUM(COUNTIF(Text_Preprocessing__224[[#This Row],[full_text]],{"*makan siang gratis*";"*MBG*";"*makan gratis*";"*makan bergizi gratis*";"*makangratis*";"*makanan gratis*"})),"Relevan","Tidak Relevan")</f>
        <v>Relevan</v>
      </c>
    </row>
    <row r="300" spans="1:10" x14ac:dyDescent="0.35">
      <c r="A300">
        <f t="shared" si="4"/>
        <v>299</v>
      </c>
      <c r="B300" t="s">
        <v>2945</v>
      </c>
      <c r="C300" t="s">
        <v>522</v>
      </c>
      <c r="D300" t="s">
        <v>2946</v>
      </c>
      <c r="E300" t="s">
        <v>2008</v>
      </c>
      <c r="F300" t="s">
        <v>2947</v>
      </c>
      <c r="G300" t="s">
        <v>2948</v>
      </c>
      <c r="H300" t="s">
        <v>2949</v>
      </c>
      <c r="I300" s="5" t="str" cm="1">
        <f t="array" ref="I300">IF(SUM(COUNTIF(Text_Preprocessing__224[[#This Row],[full_text]],{"*makan siang gratis*";"*MBG*";"*makan gratis*";"*makan bergizi gratis*";"*makangratis*";"*makanan gratis*"})),"Relevan","Tidak Relevan")</f>
        <v>Relevan</v>
      </c>
    </row>
    <row r="301" spans="1:10" x14ac:dyDescent="0.35">
      <c r="A301">
        <f t="shared" si="4"/>
        <v>300</v>
      </c>
      <c r="B301" t="s">
        <v>2950</v>
      </c>
      <c r="C301" t="s">
        <v>447</v>
      </c>
      <c r="D301" t="s">
        <v>2951</v>
      </c>
      <c r="E301" t="s">
        <v>1775</v>
      </c>
      <c r="F301" t="s">
        <v>2952</v>
      </c>
      <c r="G301" t="s">
        <v>2952</v>
      </c>
      <c r="H301" t="s">
        <v>2953</v>
      </c>
      <c r="I301" s="5" t="str" cm="1">
        <f t="array" ref="I301">IF(SUM(COUNTIF(Text_Preprocessing__224[[#This Row],[full_text]],{"*makan siang gratis*";"*MBG*";"*makan gratis*";"*makan bergizi gratis*";"*makangratis*";"*makanan gratis*"})),"Relevan","Tidak Relevan")</f>
        <v>Relevan</v>
      </c>
    </row>
    <row r="302" spans="1:10" x14ac:dyDescent="0.35">
      <c r="A302">
        <f t="shared" si="4"/>
        <v>301</v>
      </c>
      <c r="B302" t="s">
        <v>2954</v>
      </c>
      <c r="C302" t="s">
        <v>525</v>
      </c>
      <c r="D302" t="s">
        <v>2955</v>
      </c>
      <c r="E302" t="s">
        <v>1764</v>
      </c>
      <c r="F302" t="s">
        <v>2956</v>
      </c>
      <c r="G302" t="s">
        <v>2956</v>
      </c>
      <c r="H302" t="s">
        <v>2957</v>
      </c>
      <c r="I302" s="5" t="str" cm="1">
        <f t="array" ref="I302">IF(SUM(COUNTIF(Text_Preprocessing__224[[#This Row],[full_text]],{"*makan siang gratis*";"*MBG*";"*makan gratis*";"*makan bergizi gratis*";"*makangratis*";"*makanan gratis*"})),"Relevan","Tidak Relevan")</f>
        <v>Relevan</v>
      </c>
    </row>
    <row r="303" spans="1:10" x14ac:dyDescent="0.35">
      <c r="A303">
        <f t="shared" si="4"/>
        <v>302</v>
      </c>
      <c r="B303" t="s">
        <v>2958</v>
      </c>
      <c r="C303" t="s">
        <v>447</v>
      </c>
      <c r="D303" t="s">
        <v>2959</v>
      </c>
      <c r="E303" t="s">
        <v>2442</v>
      </c>
      <c r="F303" t="s">
        <v>2960</v>
      </c>
      <c r="G303" t="s">
        <v>2960</v>
      </c>
      <c r="H303" t="s">
        <v>2961</v>
      </c>
      <c r="I303" s="5" t="str" cm="1">
        <f t="array" ref="I303">IF(SUM(COUNTIF(Text_Preprocessing__224[[#This Row],[full_text]],{"*makan siang gratis*";"*MBG*";"*makan gratis*";"*makan bergizi gratis*";"*makangratis*";"*makanan gratis*"})),"Relevan","Tidak Relevan")</f>
        <v>Relevan</v>
      </c>
    </row>
    <row r="304" spans="1:10" x14ac:dyDescent="0.35">
      <c r="A304">
        <f t="shared" si="4"/>
        <v>303</v>
      </c>
      <c r="B304" t="s">
        <v>2962</v>
      </c>
      <c r="C304" t="s">
        <v>528</v>
      </c>
      <c r="D304" t="s">
        <v>2963</v>
      </c>
      <c r="E304" t="s">
        <v>1596</v>
      </c>
      <c r="F304" t="s">
        <v>2964</v>
      </c>
      <c r="G304" t="s">
        <v>2965</v>
      </c>
      <c r="H304" t="s">
        <v>2966</v>
      </c>
      <c r="I304" s="5" t="str" cm="1">
        <f t="array" ref="I304">IF(SUM(COUNTIF(Text_Preprocessing__224[[#This Row],[full_text]],{"*makan siang gratis*";"*MBG*";"*makan gratis*";"*makan bergizi gratis*";"*makangratis*";"*makanan gratis*"})),"Relevan","Tidak Relevan")</f>
        <v>Tidak Relevan</v>
      </c>
      <c r="J304" t="s">
        <v>3622</v>
      </c>
    </row>
    <row r="305" spans="1:10" x14ac:dyDescent="0.35">
      <c r="A305">
        <f t="shared" si="4"/>
        <v>304</v>
      </c>
      <c r="B305" t="s">
        <v>2967</v>
      </c>
      <c r="C305" t="s">
        <v>442</v>
      </c>
      <c r="D305" t="s">
        <v>2968</v>
      </c>
      <c r="E305" t="s">
        <v>2609</v>
      </c>
      <c r="F305" t="s">
        <v>2969</v>
      </c>
      <c r="G305" t="s">
        <v>2969</v>
      </c>
      <c r="H305" t="s">
        <v>2970</v>
      </c>
      <c r="I305" s="5" t="str" cm="1">
        <f t="array" ref="I305">IF(SUM(COUNTIF(Text_Preprocessing__224[[#This Row],[full_text]],{"*makan siang gratis*";"*MBG*";"*makan gratis*";"*makan bergizi gratis*";"*makangratis*";"*makanan gratis*"})),"Relevan","Tidak Relevan")</f>
        <v>Relevan</v>
      </c>
    </row>
    <row r="306" spans="1:10" x14ac:dyDescent="0.35">
      <c r="A306">
        <f t="shared" si="4"/>
        <v>305</v>
      </c>
      <c r="B306" t="s">
        <v>2971</v>
      </c>
      <c r="C306" t="s">
        <v>531</v>
      </c>
      <c r="D306" t="s">
        <v>2972</v>
      </c>
      <c r="E306" t="s">
        <v>2782</v>
      </c>
      <c r="F306" t="s">
        <v>2973</v>
      </c>
      <c r="G306" t="s">
        <v>2973</v>
      </c>
      <c r="H306" t="s">
        <v>2974</v>
      </c>
      <c r="I306" s="5" t="str" cm="1">
        <f t="array" ref="I306">IF(SUM(COUNTIF(Text_Preprocessing__224[[#This Row],[full_text]],{"*makan siang gratis*";"*MBG*";"*makan gratis*";"*makan bergizi gratis*";"*makangratis*";"*makanan gratis*"})),"Relevan","Tidak Relevan")</f>
        <v>Relevan</v>
      </c>
    </row>
    <row r="307" spans="1:10" x14ac:dyDescent="0.35">
      <c r="A307">
        <f t="shared" si="4"/>
        <v>306</v>
      </c>
      <c r="B307" t="s">
        <v>2975</v>
      </c>
      <c r="C307" t="s">
        <v>533</v>
      </c>
      <c r="D307" t="s">
        <v>2976</v>
      </c>
      <c r="E307" t="s">
        <v>2977</v>
      </c>
      <c r="F307" t="s">
        <v>2978</v>
      </c>
      <c r="G307" t="s">
        <v>2979</v>
      </c>
      <c r="H307" t="s">
        <v>2980</v>
      </c>
      <c r="I307" s="5" t="str" cm="1">
        <f t="array" ref="I307">IF(SUM(COUNTIF(Text_Preprocessing__224[[#This Row],[full_text]],{"*makan siang gratis*";"*MBG*";"*makan gratis*";"*makan bergizi gratis*";"*makangratis*";"*makanan gratis*"})),"Relevan","Tidak Relevan")</f>
        <v>Tidak Relevan</v>
      </c>
      <c r="J307" t="s">
        <v>3622</v>
      </c>
    </row>
    <row r="308" spans="1:10" x14ac:dyDescent="0.35">
      <c r="A308">
        <f t="shared" si="4"/>
        <v>307</v>
      </c>
      <c r="B308" t="s">
        <v>2981</v>
      </c>
      <c r="C308" t="s">
        <v>535</v>
      </c>
      <c r="D308" t="s">
        <v>2982</v>
      </c>
      <c r="E308" t="s">
        <v>2977</v>
      </c>
      <c r="F308" t="s">
        <v>2983</v>
      </c>
      <c r="G308" t="s">
        <v>2984</v>
      </c>
      <c r="H308" t="s">
        <v>2985</v>
      </c>
      <c r="I308" s="5" t="str" cm="1">
        <f t="array" ref="I308">IF(SUM(COUNTIF(Text_Preprocessing__224[[#This Row],[full_text]],{"*makan siang gratis*";"*MBG*";"*makan gratis*";"*makan bergizi gratis*";"*makangratis*";"*makanan gratis*"})),"Relevan","Tidak Relevan")</f>
        <v>Relevan</v>
      </c>
    </row>
    <row r="309" spans="1:10" x14ac:dyDescent="0.35">
      <c r="A309">
        <f t="shared" si="4"/>
        <v>308</v>
      </c>
      <c r="B309" t="s">
        <v>2986</v>
      </c>
      <c r="C309" t="s">
        <v>537</v>
      </c>
      <c r="D309" t="s">
        <v>2987</v>
      </c>
      <c r="E309" t="s">
        <v>2258</v>
      </c>
      <c r="F309" t="s">
        <v>2988</v>
      </c>
      <c r="G309" t="s">
        <v>2988</v>
      </c>
      <c r="H309" t="s">
        <v>2989</v>
      </c>
      <c r="I309" s="5" t="str" cm="1">
        <f t="array" ref="I309">IF(SUM(COUNTIF(Text_Preprocessing__224[[#This Row],[full_text]],{"*makan siang gratis*";"*MBG*";"*makan gratis*";"*makan bergizi gratis*";"*makangratis*";"*makanan gratis*"})),"Relevan","Tidak Relevan")</f>
        <v>Relevan</v>
      </c>
    </row>
    <row r="310" spans="1:10" x14ac:dyDescent="0.35">
      <c r="A310">
        <f t="shared" si="4"/>
        <v>309</v>
      </c>
      <c r="B310" t="s">
        <v>2990</v>
      </c>
      <c r="C310" t="s">
        <v>539</v>
      </c>
      <c r="D310" t="s">
        <v>2991</v>
      </c>
      <c r="E310" t="s">
        <v>2164</v>
      </c>
      <c r="F310" t="s">
        <v>2992</v>
      </c>
      <c r="G310" t="s">
        <v>2993</v>
      </c>
      <c r="H310" t="s">
        <v>2994</v>
      </c>
      <c r="I310" s="5" t="str" cm="1">
        <f t="array" ref="I310">IF(SUM(COUNTIF(Text_Preprocessing__224[[#This Row],[full_text]],{"*makan siang gratis*";"*MBG*";"*makan gratis*";"*makan bergizi gratis*";"*makangratis*";"*makanan gratis*"})),"Relevan","Tidak Relevan")</f>
        <v>Tidak Relevan</v>
      </c>
      <c r="J310" t="s">
        <v>3622</v>
      </c>
    </row>
    <row r="311" spans="1:10" x14ac:dyDescent="0.35">
      <c r="A311">
        <f t="shared" si="4"/>
        <v>310</v>
      </c>
      <c r="B311" t="s">
        <v>2995</v>
      </c>
      <c r="C311" t="s">
        <v>541</v>
      </c>
      <c r="D311" t="s">
        <v>2996</v>
      </c>
      <c r="E311" t="s">
        <v>1804</v>
      </c>
      <c r="F311" t="s">
        <v>2996</v>
      </c>
      <c r="G311" t="s">
        <v>2996</v>
      </c>
      <c r="H311" t="s">
        <v>2997</v>
      </c>
      <c r="I311" s="5" t="str" cm="1">
        <f t="array" ref="I311">IF(SUM(COUNTIF(Text_Preprocessing__224[[#This Row],[full_text]],{"*makan siang gratis*";"*MBG*";"*makan gratis*";"*makan bergizi gratis*";"*makangratis*";"*makanan gratis*"})),"Relevan","Tidak Relevan")</f>
        <v>Relevan</v>
      </c>
    </row>
    <row r="312" spans="1:10" x14ac:dyDescent="0.35">
      <c r="A312">
        <f t="shared" si="4"/>
        <v>311</v>
      </c>
      <c r="B312" t="s">
        <v>2998</v>
      </c>
      <c r="C312" t="s">
        <v>543</v>
      </c>
      <c r="D312" t="s">
        <v>2999</v>
      </c>
      <c r="E312" t="s">
        <v>2609</v>
      </c>
      <c r="F312" t="s">
        <v>3000</v>
      </c>
      <c r="G312" t="s">
        <v>3000</v>
      </c>
      <c r="H312" t="s">
        <v>3001</v>
      </c>
      <c r="I312" s="5" t="str" cm="1">
        <f t="array" ref="I312">IF(SUM(COUNTIF(Text_Preprocessing__224[[#This Row],[full_text]],{"*makan siang gratis*";"*MBG*";"*makan gratis*";"*makan bergizi gratis*";"*makangratis*";"*makanan gratis*"})),"Relevan","Tidak Relevan")</f>
        <v>Relevan</v>
      </c>
    </row>
    <row r="313" spans="1:10" x14ac:dyDescent="0.35">
      <c r="A313">
        <f t="shared" si="4"/>
        <v>312</v>
      </c>
      <c r="B313" t="s">
        <v>3002</v>
      </c>
      <c r="C313" t="s">
        <v>545</v>
      </c>
      <c r="D313" t="s">
        <v>3003</v>
      </c>
      <c r="E313" t="s">
        <v>2082</v>
      </c>
      <c r="F313" t="s">
        <v>3004</v>
      </c>
      <c r="G313" t="s">
        <v>3004</v>
      </c>
      <c r="H313" t="s">
        <v>3005</v>
      </c>
      <c r="I313" s="5" t="str" cm="1">
        <f t="array" ref="I313">IF(SUM(COUNTIF(Text_Preprocessing__224[[#This Row],[full_text]],{"*makan siang gratis*";"*MBG*";"*makan gratis*";"*makan bergizi gratis*";"*makangratis*";"*makanan gratis*"})),"Relevan","Tidak Relevan")</f>
        <v>Relevan</v>
      </c>
    </row>
    <row r="314" spans="1:10" x14ac:dyDescent="0.35">
      <c r="A314">
        <f t="shared" si="4"/>
        <v>313</v>
      </c>
      <c r="B314" t="s">
        <v>3006</v>
      </c>
      <c r="C314" t="s">
        <v>547</v>
      </c>
      <c r="D314" t="s">
        <v>3007</v>
      </c>
      <c r="E314" t="s">
        <v>1719</v>
      </c>
      <c r="F314" t="s">
        <v>3008</v>
      </c>
      <c r="G314" t="s">
        <v>3008</v>
      </c>
      <c r="H314" t="s">
        <v>3009</v>
      </c>
      <c r="I314" s="5" t="str" cm="1">
        <f t="array" ref="I314">IF(SUM(COUNTIF(Text_Preprocessing__224[[#This Row],[full_text]],{"*makan siang gratis*";"*MBG*";"*makan gratis*";"*makan bergizi gratis*";"*makangratis*";"*makanan gratis*"})),"Relevan","Tidak Relevan")</f>
        <v>Relevan</v>
      </c>
    </row>
    <row r="315" spans="1:10" x14ac:dyDescent="0.35">
      <c r="A315">
        <f t="shared" si="4"/>
        <v>314</v>
      </c>
      <c r="B315" t="s">
        <v>3010</v>
      </c>
      <c r="C315" t="s">
        <v>549</v>
      </c>
      <c r="D315" t="s">
        <v>3011</v>
      </c>
      <c r="E315" t="s">
        <v>3012</v>
      </c>
      <c r="F315" t="s">
        <v>3013</v>
      </c>
      <c r="G315" t="s">
        <v>3013</v>
      </c>
      <c r="H315" t="s">
        <v>3014</v>
      </c>
      <c r="I315" s="5" t="str" cm="1">
        <f t="array" ref="I315">IF(SUM(COUNTIF(Text_Preprocessing__224[[#This Row],[full_text]],{"*makan siang gratis*";"*MBG*";"*makan gratis*";"*makan bergizi gratis*";"*makangratis*";"*makanan gratis*"})),"Relevan","Tidak Relevan")</f>
        <v>Relevan</v>
      </c>
    </row>
    <row r="316" spans="1:10" x14ac:dyDescent="0.35">
      <c r="A316">
        <f t="shared" si="4"/>
        <v>315</v>
      </c>
      <c r="B316" t="s">
        <v>3015</v>
      </c>
      <c r="C316" t="s">
        <v>551</v>
      </c>
      <c r="D316" t="s">
        <v>3016</v>
      </c>
      <c r="E316" t="s">
        <v>1844</v>
      </c>
      <c r="F316" t="s">
        <v>3017</v>
      </c>
      <c r="G316" t="s">
        <v>3017</v>
      </c>
      <c r="H316" t="s">
        <v>3018</v>
      </c>
      <c r="I316" s="5" t="str" cm="1">
        <f t="array" ref="I316">IF(SUM(COUNTIF(Text_Preprocessing__224[[#This Row],[full_text]],{"*makan siang gratis*";"*MBG*";"*makan gratis*";"*makan bergizi gratis*";"*makangratis*";"*makanan gratis*"})),"Relevan","Tidak Relevan")</f>
        <v>Relevan</v>
      </c>
    </row>
    <row r="317" spans="1:10" x14ac:dyDescent="0.35">
      <c r="A317">
        <f t="shared" si="4"/>
        <v>316</v>
      </c>
      <c r="B317" t="s">
        <v>3019</v>
      </c>
      <c r="C317" t="s">
        <v>555</v>
      </c>
      <c r="D317" t="s">
        <v>3020</v>
      </c>
      <c r="E317" t="s">
        <v>3021</v>
      </c>
      <c r="F317" t="s">
        <v>3022</v>
      </c>
      <c r="G317" t="s">
        <v>3023</v>
      </c>
      <c r="H317" t="s">
        <v>3024</v>
      </c>
      <c r="I317" s="5" t="str" cm="1">
        <f t="array" ref="I317">IF(SUM(COUNTIF(Text_Preprocessing__224[[#This Row],[full_text]],{"*makan siang gratis*";"*MBG*";"*makan gratis*";"*makan bergizi gratis*";"*makangratis*";"*makanan gratis*"})),"Relevan","Tidak Relevan")</f>
        <v>Relevan</v>
      </c>
    </row>
    <row r="318" spans="1:10" x14ac:dyDescent="0.35">
      <c r="A318">
        <f t="shared" si="4"/>
        <v>317</v>
      </c>
      <c r="B318" t="s">
        <v>3025</v>
      </c>
      <c r="C318" t="s">
        <v>557</v>
      </c>
      <c r="D318" t="s">
        <v>3026</v>
      </c>
      <c r="E318" t="s">
        <v>2092</v>
      </c>
      <c r="F318" t="s">
        <v>3027</v>
      </c>
      <c r="G318" t="s">
        <v>3028</v>
      </c>
      <c r="H318" t="s">
        <v>3029</v>
      </c>
      <c r="I318" s="5" t="str" cm="1">
        <f t="array" ref="I318">IF(SUM(COUNTIF(Text_Preprocessing__224[[#This Row],[full_text]],{"*makan siang gratis*";"*MBG*";"*makan gratis*";"*makan bergizi gratis*";"*makangratis*";"*makanan gratis*"})),"Relevan","Tidak Relevan")</f>
        <v>Tidak Relevan</v>
      </c>
      <c r="J318" t="s">
        <v>3622</v>
      </c>
    </row>
    <row r="319" spans="1:10" x14ac:dyDescent="0.35">
      <c r="A319">
        <f t="shared" si="4"/>
        <v>318</v>
      </c>
      <c r="B319" t="s">
        <v>3030</v>
      </c>
      <c r="C319" t="s">
        <v>559</v>
      </c>
      <c r="D319" t="s">
        <v>3031</v>
      </c>
      <c r="E319" t="s">
        <v>2348</v>
      </c>
      <c r="F319" t="s">
        <v>3032</v>
      </c>
      <c r="G319" t="s">
        <v>3032</v>
      </c>
      <c r="H319" t="s">
        <v>3033</v>
      </c>
      <c r="I319" s="5" t="str" cm="1">
        <f t="array" ref="I319">IF(SUM(COUNTIF(Text_Preprocessing__224[[#This Row],[full_text]],{"*makan siang gratis*";"*MBG*";"*makan gratis*";"*makan bergizi gratis*";"*makangratis*";"*makanan gratis*"})),"Relevan","Tidak Relevan")</f>
        <v>Relevan</v>
      </c>
    </row>
    <row r="320" spans="1:10" x14ac:dyDescent="0.35">
      <c r="A320">
        <f t="shared" si="4"/>
        <v>319</v>
      </c>
      <c r="B320" t="s">
        <v>3034</v>
      </c>
      <c r="C320" t="s">
        <v>561</v>
      </c>
      <c r="D320" t="s">
        <v>3035</v>
      </c>
      <c r="E320" t="s">
        <v>3036</v>
      </c>
      <c r="F320" t="s">
        <v>3037</v>
      </c>
      <c r="G320" t="s">
        <v>3037</v>
      </c>
      <c r="H320" t="s">
        <v>3038</v>
      </c>
      <c r="I320" s="5" t="str" cm="1">
        <f t="array" ref="I320">IF(SUM(COUNTIF(Text_Preprocessing__224[[#This Row],[full_text]],{"*makan siang gratis*";"*MBG*";"*makan gratis*";"*makan bergizi gratis*";"*makangratis*";"*makanan gratis*"})),"Relevan","Tidak Relevan")</f>
        <v>Relevan</v>
      </c>
    </row>
    <row r="321" spans="1:10" x14ac:dyDescent="0.35">
      <c r="A321">
        <f t="shared" si="4"/>
        <v>320</v>
      </c>
      <c r="B321" t="s">
        <v>3039</v>
      </c>
      <c r="C321" t="s">
        <v>563</v>
      </c>
      <c r="D321" t="s">
        <v>3040</v>
      </c>
      <c r="E321" t="s">
        <v>3041</v>
      </c>
      <c r="F321" t="s">
        <v>3042</v>
      </c>
      <c r="G321" t="s">
        <v>3042</v>
      </c>
      <c r="H321" t="s">
        <v>3043</v>
      </c>
      <c r="I321" s="5" t="str" cm="1">
        <f t="array" ref="I321">IF(SUM(COUNTIF(Text_Preprocessing__224[[#This Row],[full_text]],{"*makan siang gratis*";"*MBG*";"*makan gratis*";"*makan bergizi gratis*";"*makangratis*";"*makanan gratis*"})),"Relevan","Tidak Relevan")</f>
        <v>Relevan</v>
      </c>
    </row>
    <row r="322" spans="1:10" x14ac:dyDescent="0.35">
      <c r="A322">
        <f t="shared" si="4"/>
        <v>321</v>
      </c>
      <c r="B322" t="s">
        <v>3044</v>
      </c>
      <c r="C322" t="s">
        <v>565</v>
      </c>
      <c r="D322" t="s">
        <v>3045</v>
      </c>
      <c r="E322" t="s">
        <v>2159</v>
      </c>
      <c r="F322" t="s">
        <v>3046</v>
      </c>
      <c r="G322" t="s">
        <v>3046</v>
      </c>
      <c r="H322" t="s">
        <v>3047</v>
      </c>
      <c r="I322" s="5" t="str" cm="1">
        <f t="array" ref="I322">IF(SUM(COUNTIF(Text_Preprocessing__224[[#This Row],[full_text]],{"*makan siang gratis*";"*MBG*";"*makan gratis*";"*makan bergizi gratis*";"*makangratis*";"*makanan gratis*"})),"Relevan","Tidak Relevan")</f>
        <v>Relevan</v>
      </c>
    </row>
    <row r="323" spans="1:10" x14ac:dyDescent="0.35">
      <c r="A323">
        <f t="shared" si="4"/>
        <v>322</v>
      </c>
      <c r="B323" t="s">
        <v>3048</v>
      </c>
      <c r="C323" t="s">
        <v>567</v>
      </c>
      <c r="D323" t="s">
        <v>3049</v>
      </c>
      <c r="E323" t="s">
        <v>2312</v>
      </c>
      <c r="F323" t="s">
        <v>3050</v>
      </c>
      <c r="G323" t="s">
        <v>3050</v>
      </c>
      <c r="H323" t="s">
        <v>3051</v>
      </c>
      <c r="I323" s="5" t="str" cm="1">
        <f t="array" ref="I323">IF(SUM(COUNTIF(Text_Preprocessing__224[[#This Row],[full_text]],{"*makan siang gratis*";"*MBG*";"*makan gratis*";"*makan bergizi gratis*";"*makangratis*";"*makanan gratis*"})),"Relevan","Tidak Relevan")</f>
        <v>Relevan</v>
      </c>
    </row>
    <row r="324" spans="1:10" x14ac:dyDescent="0.35">
      <c r="A324">
        <f t="shared" ref="A324:A387" si="5">SUM(A323+1)</f>
        <v>323</v>
      </c>
      <c r="B324" t="s">
        <v>3052</v>
      </c>
      <c r="C324" t="s">
        <v>569</v>
      </c>
      <c r="D324" t="s">
        <v>3053</v>
      </c>
      <c r="E324" t="s">
        <v>1629</v>
      </c>
      <c r="F324" t="s">
        <v>3054</v>
      </c>
      <c r="G324" t="s">
        <v>3054</v>
      </c>
      <c r="H324" t="s">
        <v>3055</v>
      </c>
      <c r="I324" s="5" t="str" cm="1">
        <f t="array" ref="I324">IF(SUM(COUNTIF(Text_Preprocessing__224[[#This Row],[full_text]],{"*makan siang gratis*";"*MBG*";"*makan gratis*";"*makan bergizi gratis*";"*makangratis*";"*makanan gratis*"})),"Relevan","Tidak Relevan")</f>
        <v>Relevan</v>
      </c>
    </row>
    <row r="325" spans="1:10" x14ac:dyDescent="0.35">
      <c r="A325">
        <f t="shared" si="5"/>
        <v>324</v>
      </c>
      <c r="B325" t="s">
        <v>3056</v>
      </c>
      <c r="C325" t="s">
        <v>571</v>
      </c>
      <c r="D325" t="s">
        <v>3057</v>
      </c>
      <c r="E325" t="s">
        <v>1990</v>
      </c>
      <c r="F325" t="s">
        <v>3058</v>
      </c>
      <c r="G325" t="s">
        <v>3058</v>
      </c>
      <c r="H325" t="s">
        <v>3059</v>
      </c>
      <c r="I325" s="5" t="str" cm="1">
        <f t="array" ref="I325">IF(SUM(COUNTIF(Text_Preprocessing__224[[#This Row],[full_text]],{"*makan siang gratis*";"*MBG*";"*makan gratis*";"*makan bergizi gratis*";"*makangratis*";"*makanan gratis*"})),"Relevan","Tidak Relevan")</f>
        <v>Relevan</v>
      </c>
    </row>
    <row r="326" spans="1:10" x14ac:dyDescent="0.35">
      <c r="A326">
        <f t="shared" si="5"/>
        <v>325</v>
      </c>
      <c r="B326" t="s">
        <v>3060</v>
      </c>
      <c r="C326" t="s">
        <v>484</v>
      </c>
      <c r="D326" t="s">
        <v>3061</v>
      </c>
      <c r="E326" t="s">
        <v>2348</v>
      </c>
      <c r="F326" t="s">
        <v>3062</v>
      </c>
      <c r="G326" t="s">
        <v>3062</v>
      </c>
      <c r="H326" t="s">
        <v>3063</v>
      </c>
      <c r="I326" s="5" t="str" cm="1">
        <f t="array" ref="I326">IF(SUM(COUNTIF(Text_Preprocessing__224[[#This Row],[full_text]],{"*makan siang gratis*";"*MBG*";"*makan gratis*";"*makan bergizi gratis*";"*makangratis*";"*makanan gratis*"})),"Relevan","Tidak Relevan")</f>
        <v>Relevan</v>
      </c>
    </row>
    <row r="327" spans="1:10" x14ac:dyDescent="0.35">
      <c r="A327">
        <f t="shared" si="5"/>
        <v>326</v>
      </c>
      <c r="B327" t="s">
        <v>3064</v>
      </c>
      <c r="C327" t="s">
        <v>575</v>
      </c>
      <c r="D327" t="s">
        <v>3065</v>
      </c>
      <c r="E327" t="s">
        <v>2312</v>
      </c>
      <c r="F327" t="s">
        <v>3066</v>
      </c>
      <c r="G327" t="s">
        <v>3066</v>
      </c>
      <c r="H327" t="s">
        <v>3067</v>
      </c>
      <c r="I327" s="5" t="str" cm="1">
        <f t="array" ref="I327">IF(SUM(COUNTIF(Text_Preprocessing__224[[#This Row],[full_text]],{"*makan siang gratis*";"*MBG*";"*makan gratis*";"*makan bergizi gratis*";"*makangratis*";"*makanan gratis*"})),"Relevan","Tidak Relevan")</f>
        <v>Relevan</v>
      </c>
    </row>
    <row r="328" spans="1:10" x14ac:dyDescent="0.35">
      <c r="A328">
        <f t="shared" si="5"/>
        <v>327</v>
      </c>
      <c r="B328" t="s">
        <v>3068</v>
      </c>
      <c r="C328" t="s">
        <v>577</v>
      </c>
      <c r="D328" t="s">
        <v>3069</v>
      </c>
      <c r="E328" t="s">
        <v>3070</v>
      </c>
      <c r="F328" t="s">
        <v>3071</v>
      </c>
      <c r="G328" t="s">
        <v>3071</v>
      </c>
      <c r="H328" t="s">
        <v>3072</v>
      </c>
      <c r="I328" s="5" t="str" cm="1">
        <f t="array" ref="I328">IF(SUM(COUNTIF(Text_Preprocessing__224[[#This Row],[full_text]],{"*makan siang gratis*";"*MBG*";"*makan gratis*";"*makan bergizi gratis*";"*makangratis*";"*makanan gratis*"})),"Relevan","Tidak Relevan")</f>
        <v>Relevan</v>
      </c>
    </row>
    <row r="329" spans="1:10" x14ac:dyDescent="0.35">
      <c r="A329">
        <f t="shared" si="5"/>
        <v>328</v>
      </c>
      <c r="B329" t="s">
        <v>3073</v>
      </c>
      <c r="C329" t="s">
        <v>577</v>
      </c>
      <c r="D329" t="s">
        <v>3074</v>
      </c>
      <c r="E329" t="s">
        <v>1764</v>
      </c>
      <c r="F329" t="s">
        <v>3075</v>
      </c>
      <c r="G329" t="s">
        <v>3075</v>
      </c>
      <c r="H329" t="s">
        <v>3076</v>
      </c>
      <c r="I329" s="5" t="str" cm="1">
        <f t="array" ref="I329">IF(SUM(COUNTIF(Text_Preprocessing__224[[#This Row],[full_text]],{"*makan siang gratis*";"*MBG*";"*makan gratis*";"*makan bergizi gratis*";"*makangratis*";"*makanan gratis*"})),"Relevan","Tidak Relevan")</f>
        <v>Relevan</v>
      </c>
    </row>
    <row r="330" spans="1:10" x14ac:dyDescent="0.35">
      <c r="A330">
        <f t="shared" si="5"/>
        <v>329</v>
      </c>
      <c r="B330" t="s">
        <v>3077</v>
      </c>
      <c r="C330" t="s">
        <v>435</v>
      </c>
      <c r="D330" t="s">
        <v>3078</v>
      </c>
      <c r="E330" t="s">
        <v>3079</v>
      </c>
      <c r="F330" t="s">
        <v>3080</v>
      </c>
      <c r="G330" t="s">
        <v>3080</v>
      </c>
      <c r="H330" t="s">
        <v>3081</v>
      </c>
      <c r="I330" s="5" t="str" cm="1">
        <f t="array" ref="I330">IF(SUM(COUNTIF(Text_Preprocessing__224[[#This Row],[full_text]],{"*makan siang gratis*";"*MBG*";"*makan gratis*";"*makan bergizi gratis*";"*makangratis*";"*makanan gratis*"})),"Relevan","Tidak Relevan")</f>
        <v>Relevan</v>
      </c>
    </row>
    <row r="331" spans="1:10" x14ac:dyDescent="0.35">
      <c r="A331">
        <f t="shared" si="5"/>
        <v>330</v>
      </c>
      <c r="B331" t="s">
        <v>3082</v>
      </c>
      <c r="C331" t="s">
        <v>76</v>
      </c>
      <c r="D331" t="s">
        <v>3083</v>
      </c>
      <c r="E331" t="s">
        <v>2796</v>
      </c>
      <c r="F331" t="s">
        <v>3084</v>
      </c>
      <c r="G331" t="s">
        <v>3084</v>
      </c>
      <c r="H331" t="s">
        <v>3085</v>
      </c>
      <c r="I331" s="5" t="str" cm="1">
        <f t="array" ref="I331">IF(SUM(COUNTIF(Text_Preprocessing__224[[#This Row],[full_text]],{"*makan siang gratis*";"*MBG*";"*makan gratis*";"*makan bergizi gratis*";"*makangratis*";"*makanan gratis*"})),"Relevan","Tidak Relevan")</f>
        <v>Relevan</v>
      </c>
    </row>
    <row r="332" spans="1:10" x14ac:dyDescent="0.35">
      <c r="A332">
        <f t="shared" si="5"/>
        <v>331</v>
      </c>
      <c r="B332" t="s">
        <v>3086</v>
      </c>
      <c r="C332" t="s">
        <v>582</v>
      </c>
      <c r="D332" t="s">
        <v>3087</v>
      </c>
      <c r="E332" t="s">
        <v>1613</v>
      </c>
      <c r="F332" t="s">
        <v>3088</v>
      </c>
      <c r="G332" t="s">
        <v>3089</v>
      </c>
      <c r="H332" t="s">
        <v>3090</v>
      </c>
      <c r="I332" s="5" t="str" cm="1">
        <f t="array" ref="I332">IF(SUM(COUNTIF(Text_Preprocessing__224[[#This Row],[full_text]],{"*makan siang gratis*";"*MBG*";"*makan gratis*";"*makan bergizi gratis*";"*makangratis*";"*makanan gratis*"})),"Relevan","Tidak Relevan")</f>
        <v>Relevan</v>
      </c>
    </row>
    <row r="333" spans="1:10" x14ac:dyDescent="0.35">
      <c r="A333">
        <f t="shared" si="5"/>
        <v>332</v>
      </c>
      <c r="B333" t="s">
        <v>3091</v>
      </c>
      <c r="C333" t="s">
        <v>584</v>
      </c>
      <c r="D333" t="s">
        <v>3092</v>
      </c>
      <c r="E333" t="s">
        <v>3079</v>
      </c>
      <c r="F333" t="s">
        <v>3093</v>
      </c>
      <c r="G333" t="s">
        <v>3093</v>
      </c>
      <c r="H333" t="s">
        <v>3094</v>
      </c>
      <c r="I333" s="5" t="str" cm="1">
        <f t="array" ref="I333">IF(SUM(COUNTIF(Text_Preprocessing__224[[#This Row],[full_text]],{"*makan siang gratis*";"*MBG*";"*makan gratis*";"*makan bergizi gratis*";"*makangratis*";"*makanan gratis*"})),"Relevan","Tidak Relevan")</f>
        <v>Tidak Relevan</v>
      </c>
      <c r="J333" t="s">
        <v>3622</v>
      </c>
    </row>
    <row r="334" spans="1:10" x14ac:dyDescent="0.35">
      <c r="A334">
        <f t="shared" si="5"/>
        <v>333</v>
      </c>
      <c r="B334" t="s">
        <v>3095</v>
      </c>
      <c r="C334" t="s">
        <v>586</v>
      </c>
      <c r="D334" t="s">
        <v>3096</v>
      </c>
      <c r="E334" t="s">
        <v>1663</v>
      </c>
      <c r="F334" t="s">
        <v>3097</v>
      </c>
      <c r="G334" t="s">
        <v>3098</v>
      </c>
      <c r="H334" t="s">
        <v>3099</v>
      </c>
      <c r="I334" s="5" t="str" cm="1">
        <f t="array" ref="I334">IF(SUM(COUNTIF(Text_Preprocessing__224[[#This Row],[full_text]],{"*makan siang gratis*";"*MBG*";"*makan gratis*";"*makan bergizi gratis*";"*makangratis*";"*makanan gratis*"})),"Relevan","Tidak Relevan")</f>
        <v>Tidak Relevan</v>
      </c>
      <c r="J334" t="s">
        <v>3622</v>
      </c>
    </row>
    <row r="335" spans="1:10" x14ac:dyDescent="0.35">
      <c r="A335">
        <f t="shared" si="5"/>
        <v>334</v>
      </c>
      <c r="B335" t="s">
        <v>3100</v>
      </c>
      <c r="C335" t="s">
        <v>588</v>
      </c>
      <c r="D335" t="s">
        <v>3101</v>
      </c>
      <c r="E335" t="s">
        <v>2558</v>
      </c>
      <c r="F335" t="s">
        <v>3102</v>
      </c>
      <c r="G335" t="s">
        <v>3103</v>
      </c>
      <c r="H335" t="s">
        <v>3104</v>
      </c>
      <c r="I335" s="5" t="str" cm="1">
        <f t="array" ref="I335">IF(SUM(COUNTIF(Text_Preprocessing__224[[#This Row],[full_text]],{"*makan siang gratis*";"*MBG*";"*makan gratis*";"*makan bergizi gratis*";"*makangratis*";"*makanan gratis*"})),"Relevan","Tidak Relevan")</f>
        <v>Relevan</v>
      </c>
    </row>
    <row r="336" spans="1:10" x14ac:dyDescent="0.35">
      <c r="A336">
        <f t="shared" si="5"/>
        <v>335</v>
      </c>
      <c r="B336" t="s">
        <v>3105</v>
      </c>
      <c r="C336" t="s">
        <v>590</v>
      </c>
      <c r="D336" t="s">
        <v>3106</v>
      </c>
      <c r="E336" t="s">
        <v>3107</v>
      </c>
      <c r="F336" t="s">
        <v>3108</v>
      </c>
      <c r="G336" t="s">
        <v>3109</v>
      </c>
      <c r="H336" t="s">
        <v>3110</v>
      </c>
      <c r="I336" s="5" t="str" cm="1">
        <f t="array" ref="I336">IF(SUM(COUNTIF(Text_Preprocessing__224[[#This Row],[full_text]],{"*makan siang gratis*";"*MBG*";"*makan gratis*";"*makan bergizi gratis*";"*makangratis*";"*makanan gratis*"})),"Relevan","Tidak Relevan")</f>
        <v>Relevan</v>
      </c>
    </row>
    <row r="337" spans="1:9" x14ac:dyDescent="0.35">
      <c r="A337">
        <f t="shared" si="5"/>
        <v>336</v>
      </c>
      <c r="B337" t="s">
        <v>3111</v>
      </c>
      <c r="C337" t="s">
        <v>592</v>
      </c>
      <c r="D337" t="s">
        <v>3112</v>
      </c>
      <c r="E337" t="s">
        <v>3113</v>
      </c>
      <c r="F337" t="s">
        <v>3114</v>
      </c>
      <c r="G337" t="s">
        <v>3114</v>
      </c>
      <c r="H337" t="s">
        <v>3115</v>
      </c>
      <c r="I337" s="5" t="str" cm="1">
        <f t="array" ref="I337">IF(SUM(COUNTIF(Text_Preprocessing__224[[#This Row],[full_text]],{"*makan siang gratis*";"*MBG*";"*makan gratis*";"*makan bergizi gratis*";"*makangratis*";"*makanan gratis*"})),"Relevan","Tidak Relevan")</f>
        <v>Relevan</v>
      </c>
    </row>
    <row r="338" spans="1:9" x14ac:dyDescent="0.35">
      <c r="A338">
        <f t="shared" si="5"/>
        <v>337</v>
      </c>
      <c r="B338" t="s">
        <v>3116</v>
      </c>
      <c r="C338" t="s">
        <v>594</v>
      </c>
      <c r="D338" t="s">
        <v>3117</v>
      </c>
      <c r="E338" t="s">
        <v>3118</v>
      </c>
      <c r="F338" t="s">
        <v>3119</v>
      </c>
      <c r="G338" t="s">
        <v>3119</v>
      </c>
      <c r="H338" t="s">
        <v>3120</v>
      </c>
      <c r="I338" s="5" t="str" cm="1">
        <f t="array" ref="I338">IF(SUM(COUNTIF(Text_Preprocessing__224[[#This Row],[full_text]],{"*makan siang gratis*";"*MBG*";"*makan gratis*";"*makan bergizi gratis*";"*makangratis*";"*makanan gratis*"})),"Relevan","Tidak Relevan")</f>
        <v>Relevan</v>
      </c>
    </row>
    <row r="339" spans="1:9" x14ac:dyDescent="0.35">
      <c r="A339">
        <f t="shared" si="5"/>
        <v>338</v>
      </c>
      <c r="B339" t="s">
        <v>3121</v>
      </c>
      <c r="C339" t="s">
        <v>596</v>
      </c>
      <c r="D339" t="s">
        <v>3122</v>
      </c>
      <c r="E339" t="s">
        <v>1853</v>
      </c>
      <c r="F339" t="s">
        <v>3123</v>
      </c>
      <c r="G339" t="s">
        <v>3123</v>
      </c>
      <c r="H339" t="s">
        <v>3124</v>
      </c>
      <c r="I339" s="5" t="str" cm="1">
        <f t="array" ref="I339">IF(SUM(COUNTIF(Text_Preprocessing__224[[#This Row],[full_text]],{"*makan siang gratis*";"*MBG*";"*makan gratis*";"*makan bergizi gratis*";"*makangratis*";"*makanan gratis*"})),"Relevan","Tidak Relevan")</f>
        <v>Relevan</v>
      </c>
    </row>
    <row r="340" spans="1:9" x14ac:dyDescent="0.35">
      <c r="A340">
        <f t="shared" si="5"/>
        <v>339</v>
      </c>
      <c r="B340" t="s">
        <v>3125</v>
      </c>
      <c r="C340" t="s">
        <v>598</v>
      </c>
      <c r="D340" t="s">
        <v>3126</v>
      </c>
      <c r="E340" t="s">
        <v>2229</v>
      </c>
      <c r="F340" t="s">
        <v>3127</v>
      </c>
      <c r="G340" t="s">
        <v>3127</v>
      </c>
      <c r="H340" t="s">
        <v>3128</v>
      </c>
      <c r="I340" s="5" t="str" cm="1">
        <f t="array" ref="I340">IF(SUM(COUNTIF(Text_Preprocessing__224[[#This Row],[full_text]],{"*makan siang gratis*";"*MBG*";"*makan gratis*";"*makan bergizi gratis*";"*makangratis*";"*makanan gratis*"})),"Relevan","Tidak Relevan")</f>
        <v>Relevan</v>
      </c>
    </row>
    <row r="341" spans="1:9" x14ac:dyDescent="0.35">
      <c r="A341">
        <f t="shared" si="5"/>
        <v>340</v>
      </c>
      <c r="B341" t="s">
        <v>3129</v>
      </c>
      <c r="C341" t="s">
        <v>600</v>
      </c>
      <c r="D341" t="s">
        <v>3130</v>
      </c>
      <c r="E341" t="s">
        <v>3131</v>
      </c>
      <c r="F341" t="s">
        <v>3130</v>
      </c>
      <c r="G341" t="s">
        <v>3130</v>
      </c>
      <c r="H341" t="s">
        <v>3132</v>
      </c>
      <c r="I341" s="5" t="str" cm="1">
        <f t="array" ref="I341">IF(SUM(COUNTIF(Text_Preprocessing__224[[#This Row],[full_text]],{"*makan siang gratis*";"*MBG*";"*makan gratis*";"*makan bergizi gratis*";"*makangratis*";"*makanan gratis*"})),"Relevan","Tidak Relevan")</f>
        <v>Relevan</v>
      </c>
    </row>
    <row r="342" spans="1:9" x14ac:dyDescent="0.35">
      <c r="A342">
        <f t="shared" si="5"/>
        <v>341</v>
      </c>
      <c r="B342" t="s">
        <v>3133</v>
      </c>
      <c r="C342" t="s">
        <v>602</v>
      </c>
      <c r="D342" t="s">
        <v>3134</v>
      </c>
      <c r="E342" t="s">
        <v>2862</v>
      </c>
      <c r="F342" t="s">
        <v>3135</v>
      </c>
      <c r="G342" t="s">
        <v>3135</v>
      </c>
      <c r="H342" t="s">
        <v>3136</v>
      </c>
      <c r="I342" s="5" t="str" cm="1">
        <f t="array" ref="I342">IF(SUM(COUNTIF(Text_Preprocessing__224[[#This Row],[full_text]],{"*makan siang gratis*";"*MBG*";"*makan gratis*";"*makan bergizi gratis*";"*makangratis*";"*makanan gratis*"})),"Relevan","Tidak Relevan")</f>
        <v>Relevan</v>
      </c>
    </row>
    <row r="343" spans="1:9" x14ac:dyDescent="0.35">
      <c r="A343">
        <f t="shared" si="5"/>
        <v>342</v>
      </c>
      <c r="B343" t="s">
        <v>3137</v>
      </c>
      <c r="C343" t="s">
        <v>604</v>
      </c>
      <c r="D343" t="s">
        <v>3138</v>
      </c>
      <c r="E343" t="s">
        <v>2558</v>
      </c>
      <c r="F343" t="s">
        <v>3139</v>
      </c>
      <c r="G343" t="s">
        <v>3139</v>
      </c>
      <c r="H343" t="s">
        <v>3140</v>
      </c>
      <c r="I343" s="5" t="str" cm="1">
        <f t="array" ref="I343">IF(SUM(COUNTIF(Text_Preprocessing__224[[#This Row],[full_text]],{"*makan siang gratis*";"*MBG*";"*makan gratis*";"*makan bergizi gratis*";"*makangratis*";"*makanan gratis*"})),"Relevan","Tidak Relevan")</f>
        <v>Relevan</v>
      </c>
    </row>
    <row r="344" spans="1:9" x14ac:dyDescent="0.35">
      <c r="A344">
        <f t="shared" si="5"/>
        <v>343</v>
      </c>
      <c r="B344" t="s">
        <v>3141</v>
      </c>
      <c r="C344" t="s">
        <v>606</v>
      </c>
      <c r="D344" t="s">
        <v>3142</v>
      </c>
      <c r="E344" t="s">
        <v>2154</v>
      </c>
      <c r="F344" t="s">
        <v>3143</v>
      </c>
      <c r="G344" t="s">
        <v>3144</v>
      </c>
      <c r="H344" t="s">
        <v>3145</v>
      </c>
      <c r="I344" s="5" t="str" cm="1">
        <f t="array" ref="I344">IF(SUM(COUNTIF(Text_Preprocessing__224[[#This Row],[full_text]],{"*makan siang gratis*";"*MBG*";"*makan gratis*";"*makan bergizi gratis*";"*makangratis*";"*makanan gratis*"})),"Relevan","Tidak Relevan")</f>
        <v>Relevan</v>
      </c>
    </row>
    <row r="345" spans="1:9" x14ac:dyDescent="0.35">
      <c r="A345">
        <f t="shared" si="5"/>
        <v>344</v>
      </c>
      <c r="B345" t="s">
        <v>3146</v>
      </c>
      <c r="C345" t="s">
        <v>608</v>
      </c>
      <c r="D345" t="s">
        <v>3147</v>
      </c>
      <c r="E345" t="s">
        <v>1785</v>
      </c>
      <c r="F345" t="s">
        <v>3148</v>
      </c>
      <c r="G345" t="s">
        <v>3148</v>
      </c>
      <c r="H345" t="s">
        <v>3149</v>
      </c>
      <c r="I345" s="5" t="str" cm="1">
        <f t="array" ref="I345">IF(SUM(COUNTIF(Text_Preprocessing__224[[#This Row],[full_text]],{"*makan siang gratis*";"*MBG*";"*makan gratis*";"*makan bergizi gratis*";"*makangratis*";"*makanan gratis*"})),"Relevan","Tidak Relevan")</f>
        <v>Relevan</v>
      </c>
    </row>
    <row r="346" spans="1:9" x14ac:dyDescent="0.35">
      <c r="A346">
        <f t="shared" si="5"/>
        <v>345</v>
      </c>
      <c r="B346" t="s">
        <v>3150</v>
      </c>
      <c r="C346" t="s">
        <v>610</v>
      </c>
      <c r="D346" t="s">
        <v>3151</v>
      </c>
      <c r="E346" t="s">
        <v>1764</v>
      </c>
      <c r="F346" t="s">
        <v>3152</v>
      </c>
      <c r="G346" t="s">
        <v>3152</v>
      </c>
      <c r="H346" t="s">
        <v>3153</v>
      </c>
      <c r="I346" s="5" t="str" cm="1">
        <f t="array" ref="I346">IF(SUM(COUNTIF(Text_Preprocessing__224[[#This Row],[full_text]],{"*makan siang gratis*";"*MBG*";"*makan gratis*";"*makan bergizi gratis*";"*makangratis*";"*makanan gratis*"})),"Relevan","Tidak Relevan")</f>
        <v>Relevan</v>
      </c>
    </row>
    <row r="347" spans="1:9" x14ac:dyDescent="0.35">
      <c r="A347">
        <f t="shared" si="5"/>
        <v>346</v>
      </c>
      <c r="B347" t="s">
        <v>3154</v>
      </c>
      <c r="C347" t="s">
        <v>612</v>
      </c>
      <c r="D347" t="s">
        <v>3155</v>
      </c>
      <c r="E347" t="s">
        <v>1799</v>
      </c>
      <c r="F347" t="s">
        <v>3156</v>
      </c>
      <c r="G347" t="s">
        <v>3156</v>
      </c>
      <c r="H347" t="s">
        <v>3157</v>
      </c>
      <c r="I347" s="5" t="str" cm="1">
        <f t="array" ref="I347">IF(SUM(COUNTIF(Text_Preprocessing__224[[#This Row],[full_text]],{"*makan siang gratis*";"*MBG*";"*makan gratis*";"*makan bergizi gratis*";"*makangratis*";"*makanan gratis*"})),"Relevan","Tidak Relevan")</f>
        <v>Relevan</v>
      </c>
    </row>
    <row r="348" spans="1:9" x14ac:dyDescent="0.35">
      <c r="A348">
        <f t="shared" si="5"/>
        <v>347</v>
      </c>
      <c r="B348" t="s">
        <v>3158</v>
      </c>
      <c r="C348" t="s">
        <v>614</v>
      </c>
      <c r="D348" t="s">
        <v>3159</v>
      </c>
      <c r="E348" t="s">
        <v>1799</v>
      </c>
      <c r="F348" t="s">
        <v>3160</v>
      </c>
      <c r="G348" t="s">
        <v>3160</v>
      </c>
      <c r="H348" t="s">
        <v>3161</v>
      </c>
      <c r="I348" s="5" t="str" cm="1">
        <f t="array" ref="I348">IF(SUM(COUNTIF(Text_Preprocessing__224[[#This Row],[full_text]],{"*makan siang gratis*";"*MBG*";"*makan gratis*";"*makan bergizi gratis*";"*makangratis*";"*makanan gratis*"})),"Relevan","Tidak Relevan")</f>
        <v>Relevan</v>
      </c>
    </row>
    <row r="349" spans="1:9" x14ac:dyDescent="0.35">
      <c r="A349">
        <f t="shared" si="5"/>
        <v>348</v>
      </c>
      <c r="B349" t="s">
        <v>3162</v>
      </c>
      <c r="C349" t="s">
        <v>614</v>
      </c>
      <c r="D349" t="s">
        <v>3163</v>
      </c>
      <c r="E349" t="s">
        <v>1829</v>
      </c>
      <c r="F349" t="s">
        <v>3164</v>
      </c>
      <c r="G349" t="s">
        <v>3164</v>
      </c>
      <c r="H349" t="s">
        <v>3165</v>
      </c>
      <c r="I349" s="5" t="str" cm="1">
        <f t="array" ref="I349">IF(SUM(COUNTIF(Text_Preprocessing__224[[#This Row],[full_text]],{"*makan siang gratis*";"*MBG*";"*makan gratis*";"*makan bergizi gratis*";"*makangratis*";"*makanan gratis*"})),"Relevan","Tidak Relevan")</f>
        <v>Relevan</v>
      </c>
    </row>
    <row r="350" spans="1:9" x14ac:dyDescent="0.35">
      <c r="A350">
        <f t="shared" si="5"/>
        <v>349</v>
      </c>
      <c r="B350" t="s">
        <v>3166</v>
      </c>
      <c r="C350" t="s">
        <v>617</v>
      </c>
      <c r="D350" t="s">
        <v>3167</v>
      </c>
      <c r="E350" t="s">
        <v>2505</v>
      </c>
      <c r="F350" t="s">
        <v>3168</v>
      </c>
      <c r="G350" t="s">
        <v>3168</v>
      </c>
      <c r="H350" t="s">
        <v>3169</v>
      </c>
      <c r="I350" s="5" t="str" cm="1">
        <f t="array" ref="I350">IF(SUM(COUNTIF(Text_Preprocessing__224[[#This Row],[full_text]],{"*makan siang gratis*";"*MBG*";"*makan gratis*";"*makan bergizi gratis*";"*makangratis*";"*makanan gratis*"})),"Relevan","Tidak Relevan")</f>
        <v>Relevan</v>
      </c>
    </row>
    <row r="351" spans="1:9" x14ac:dyDescent="0.35">
      <c r="A351">
        <f t="shared" si="5"/>
        <v>350</v>
      </c>
      <c r="B351" t="s">
        <v>3170</v>
      </c>
      <c r="C351" t="s">
        <v>221</v>
      </c>
      <c r="D351" t="s">
        <v>3171</v>
      </c>
      <c r="E351" t="s">
        <v>1804</v>
      </c>
      <c r="F351" t="s">
        <v>3171</v>
      </c>
      <c r="G351" t="s">
        <v>3171</v>
      </c>
      <c r="H351" t="s">
        <v>3172</v>
      </c>
      <c r="I351" s="5" t="str" cm="1">
        <f t="array" ref="I351">IF(SUM(COUNTIF(Text_Preprocessing__224[[#This Row],[full_text]],{"*makan siang gratis*";"*MBG*";"*makan gratis*";"*makan bergizi gratis*";"*makangratis*";"*makanan gratis*"})),"Relevan","Tidak Relevan")</f>
        <v>Relevan</v>
      </c>
    </row>
    <row r="352" spans="1:9" x14ac:dyDescent="0.35">
      <c r="A352">
        <f t="shared" si="5"/>
        <v>351</v>
      </c>
      <c r="B352" t="s">
        <v>3173</v>
      </c>
      <c r="C352" t="s">
        <v>620</v>
      </c>
      <c r="D352" t="s">
        <v>3174</v>
      </c>
      <c r="E352" t="s">
        <v>2604</v>
      </c>
      <c r="F352" t="s">
        <v>3175</v>
      </c>
      <c r="G352" t="s">
        <v>3175</v>
      </c>
      <c r="H352" t="s">
        <v>3176</v>
      </c>
      <c r="I352" s="5" t="str" cm="1">
        <f t="array" ref="I352">IF(SUM(COUNTIF(Text_Preprocessing__224[[#This Row],[full_text]],{"*makan siang gratis*";"*MBG*";"*makan gratis*";"*makan bergizi gratis*";"*makangratis*";"*makanan gratis*"})),"Relevan","Tidak Relevan")</f>
        <v>Relevan</v>
      </c>
    </row>
    <row r="353" spans="1:10" x14ac:dyDescent="0.35">
      <c r="A353">
        <f t="shared" si="5"/>
        <v>352</v>
      </c>
      <c r="B353" t="s">
        <v>3177</v>
      </c>
      <c r="C353" t="s">
        <v>460</v>
      </c>
      <c r="D353" t="s">
        <v>3178</v>
      </c>
      <c r="E353" t="s">
        <v>1844</v>
      </c>
      <c r="F353" t="s">
        <v>3179</v>
      </c>
      <c r="G353" t="s">
        <v>3179</v>
      </c>
      <c r="H353" t="s">
        <v>3180</v>
      </c>
      <c r="I353" s="5" t="str" cm="1">
        <f t="array" ref="I353">IF(SUM(COUNTIF(Text_Preprocessing__224[[#This Row],[full_text]],{"*makan siang gratis*";"*MBG*";"*makan gratis*";"*makan bergizi gratis*";"*makangratis*";"*makanan gratis*"})),"Relevan","Tidak Relevan")</f>
        <v>Relevan</v>
      </c>
    </row>
    <row r="354" spans="1:10" x14ac:dyDescent="0.35">
      <c r="A354">
        <f t="shared" si="5"/>
        <v>353</v>
      </c>
      <c r="B354" t="s">
        <v>3181</v>
      </c>
      <c r="C354" t="s">
        <v>460</v>
      </c>
      <c r="D354" t="s">
        <v>3182</v>
      </c>
      <c r="E354" t="s">
        <v>1730</v>
      </c>
      <c r="F354" t="s">
        <v>3183</v>
      </c>
      <c r="G354" t="s">
        <v>3183</v>
      </c>
      <c r="H354" t="s">
        <v>3184</v>
      </c>
      <c r="I354" s="5" t="str" cm="1">
        <f t="array" ref="I354">IF(SUM(COUNTIF(Text_Preprocessing__224[[#This Row],[full_text]],{"*makan siang gratis*";"*MBG*";"*makan gratis*";"*makan bergizi gratis*";"*makangratis*";"*makanan gratis*"})),"Relevan","Tidak Relevan")</f>
        <v>Relevan</v>
      </c>
    </row>
    <row r="355" spans="1:10" x14ac:dyDescent="0.35">
      <c r="A355">
        <f t="shared" si="5"/>
        <v>354</v>
      </c>
      <c r="B355" t="s">
        <v>3185</v>
      </c>
      <c r="C355" t="s">
        <v>460</v>
      </c>
      <c r="D355" t="s">
        <v>3186</v>
      </c>
      <c r="E355" t="s">
        <v>1929</v>
      </c>
      <c r="F355" t="s">
        <v>3187</v>
      </c>
      <c r="G355" t="s">
        <v>3187</v>
      </c>
      <c r="H355" t="s">
        <v>3188</v>
      </c>
      <c r="I355" s="5" t="str" cm="1">
        <f t="array" ref="I355">IF(SUM(COUNTIF(Text_Preprocessing__224[[#This Row],[full_text]],{"*makan siang gratis*";"*MBG*";"*makan gratis*";"*makan bergizi gratis*";"*makangratis*";"*makanan gratis*"})),"Relevan","Tidak Relevan")</f>
        <v>Relevan</v>
      </c>
    </row>
    <row r="356" spans="1:10" x14ac:dyDescent="0.35">
      <c r="A356">
        <f t="shared" si="5"/>
        <v>355</v>
      </c>
      <c r="B356" t="s">
        <v>3189</v>
      </c>
      <c r="C356" t="s">
        <v>460</v>
      </c>
      <c r="D356" t="s">
        <v>3190</v>
      </c>
      <c r="E356" t="s">
        <v>1929</v>
      </c>
      <c r="F356" t="s">
        <v>3191</v>
      </c>
      <c r="G356" t="s">
        <v>3191</v>
      </c>
      <c r="H356" t="s">
        <v>3192</v>
      </c>
      <c r="I356" s="5" t="str" cm="1">
        <f t="array" ref="I356">IF(SUM(COUNTIF(Text_Preprocessing__224[[#This Row],[full_text]],{"*makan siang gratis*";"*MBG*";"*makan gratis*";"*makan bergizi gratis*";"*makangratis*";"*makanan gratis*"})),"Relevan","Tidak Relevan")</f>
        <v>Relevan</v>
      </c>
    </row>
    <row r="357" spans="1:10" x14ac:dyDescent="0.35">
      <c r="A357">
        <f t="shared" si="5"/>
        <v>356</v>
      </c>
      <c r="B357" t="s">
        <v>3193</v>
      </c>
      <c r="C357" t="s">
        <v>620</v>
      </c>
      <c r="D357" t="s">
        <v>3194</v>
      </c>
      <c r="E357" t="s">
        <v>1719</v>
      </c>
      <c r="F357" t="s">
        <v>3195</v>
      </c>
      <c r="G357" t="s">
        <v>3195</v>
      </c>
      <c r="H357" t="s">
        <v>3196</v>
      </c>
      <c r="I357" s="5" t="str" cm="1">
        <f t="array" ref="I357">IF(SUM(COUNTIF(Text_Preprocessing__224[[#This Row],[full_text]],{"*makan siang gratis*";"*MBG*";"*makan gratis*";"*makan bergizi gratis*";"*makangratis*";"*makanan gratis*"})),"Relevan","Tidak Relevan")</f>
        <v>Relevan</v>
      </c>
    </row>
    <row r="358" spans="1:10" x14ac:dyDescent="0.35">
      <c r="A358">
        <f t="shared" si="5"/>
        <v>357</v>
      </c>
      <c r="B358" t="s">
        <v>3197</v>
      </c>
      <c r="C358" t="s">
        <v>460</v>
      </c>
      <c r="D358" t="s">
        <v>3198</v>
      </c>
      <c r="E358" t="s">
        <v>1730</v>
      </c>
      <c r="F358" t="s">
        <v>3199</v>
      </c>
      <c r="G358" t="s">
        <v>3199</v>
      </c>
      <c r="H358" t="s">
        <v>3200</v>
      </c>
      <c r="I358" s="5" t="str" cm="1">
        <f t="array" ref="I358">IF(SUM(COUNTIF(Text_Preprocessing__224[[#This Row],[full_text]],{"*makan siang gratis*";"*MBG*";"*makan gratis*";"*makan bergizi gratis*";"*makangratis*";"*makanan gratis*"})),"Relevan","Tidak Relevan")</f>
        <v>Relevan</v>
      </c>
    </row>
    <row r="359" spans="1:10" x14ac:dyDescent="0.35">
      <c r="A359">
        <f t="shared" si="5"/>
        <v>358</v>
      </c>
      <c r="B359" t="s">
        <v>3201</v>
      </c>
      <c r="C359" t="s">
        <v>93</v>
      </c>
      <c r="D359" t="s">
        <v>3202</v>
      </c>
      <c r="E359" t="s">
        <v>2215</v>
      </c>
      <c r="F359" t="s">
        <v>3203</v>
      </c>
      <c r="G359" t="s">
        <v>3203</v>
      </c>
      <c r="H359" t="s">
        <v>3204</v>
      </c>
      <c r="I359" s="5" t="str" cm="1">
        <f t="array" ref="I359">IF(SUM(COUNTIF(Text_Preprocessing__224[[#This Row],[full_text]],{"*makan siang gratis*";"*MBG*";"*makan gratis*";"*makan bergizi gratis*";"*makangratis*";"*makanan gratis*"})),"Relevan","Tidak Relevan")</f>
        <v>Relevan</v>
      </c>
    </row>
    <row r="360" spans="1:10" x14ac:dyDescent="0.35">
      <c r="A360">
        <f t="shared" si="5"/>
        <v>359</v>
      </c>
      <c r="B360" t="s">
        <v>3205</v>
      </c>
      <c r="C360" t="s">
        <v>629</v>
      </c>
      <c r="D360" t="s">
        <v>3206</v>
      </c>
      <c r="E360" t="s">
        <v>1730</v>
      </c>
      <c r="F360" t="s">
        <v>3207</v>
      </c>
      <c r="G360" t="s">
        <v>3207</v>
      </c>
      <c r="H360" t="s">
        <v>3208</v>
      </c>
      <c r="I360" s="5" t="str" cm="1">
        <f t="array" ref="I360">IF(SUM(COUNTIF(Text_Preprocessing__224[[#This Row],[full_text]],{"*makan siang gratis*";"*MBG*";"*makan gratis*";"*makan bergizi gratis*";"*makangratis*";"*makanan gratis*"})),"Relevan","Tidak Relevan")</f>
        <v>Relevan</v>
      </c>
    </row>
    <row r="361" spans="1:10" x14ac:dyDescent="0.35">
      <c r="A361">
        <f t="shared" si="5"/>
        <v>360</v>
      </c>
      <c r="B361" t="s">
        <v>3209</v>
      </c>
      <c r="C361" t="s">
        <v>629</v>
      </c>
      <c r="D361" t="s">
        <v>3210</v>
      </c>
      <c r="E361" t="s">
        <v>1692</v>
      </c>
      <c r="F361" t="s">
        <v>3211</v>
      </c>
      <c r="G361" t="s">
        <v>3211</v>
      </c>
      <c r="H361" t="s">
        <v>3212</v>
      </c>
      <c r="I361" s="5" t="str" cm="1">
        <f t="array" ref="I361">IF(SUM(COUNTIF(Text_Preprocessing__224[[#This Row],[full_text]],{"*makan siang gratis*";"*MBG*";"*makan gratis*";"*makan bergizi gratis*";"*makangratis*";"*makanan gratis*"})),"Relevan","Tidak Relevan")</f>
        <v>Relevan</v>
      </c>
    </row>
    <row r="362" spans="1:10" x14ac:dyDescent="0.35">
      <c r="A362">
        <f t="shared" si="5"/>
        <v>361</v>
      </c>
      <c r="B362" t="s">
        <v>3213</v>
      </c>
      <c r="C362" t="s">
        <v>629</v>
      </c>
      <c r="D362" t="s">
        <v>3214</v>
      </c>
      <c r="E362" t="s">
        <v>1929</v>
      </c>
      <c r="F362" t="s">
        <v>3215</v>
      </c>
      <c r="G362" t="s">
        <v>3215</v>
      </c>
      <c r="H362" t="s">
        <v>3216</v>
      </c>
      <c r="I362" s="5" t="str" cm="1">
        <f t="array" ref="I362">IF(SUM(COUNTIF(Text_Preprocessing__224[[#This Row],[full_text]],{"*makan siang gratis*";"*MBG*";"*makan gratis*";"*makan bergizi gratis*";"*makangratis*";"*makanan gratis*"})),"Relevan","Tidak Relevan")</f>
        <v>Relevan</v>
      </c>
    </row>
    <row r="363" spans="1:10" x14ac:dyDescent="0.35">
      <c r="A363">
        <f t="shared" si="5"/>
        <v>362</v>
      </c>
      <c r="B363" t="s">
        <v>3217</v>
      </c>
      <c r="C363" t="s">
        <v>629</v>
      </c>
      <c r="D363" t="s">
        <v>3218</v>
      </c>
      <c r="E363" t="s">
        <v>1730</v>
      </c>
      <c r="F363" t="s">
        <v>3219</v>
      </c>
      <c r="G363" t="s">
        <v>3219</v>
      </c>
      <c r="H363" t="s">
        <v>3220</v>
      </c>
      <c r="I363" s="5" t="str" cm="1">
        <f t="array" ref="I363">IF(SUM(COUNTIF(Text_Preprocessing__224[[#This Row],[full_text]],{"*makan siang gratis*";"*MBG*";"*makan gratis*";"*makan bergizi gratis*";"*makangratis*";"*makanan gratis*"})),"Relevan","Tidak Relevan")</f>
        <v>Relevan</v>
      </c>
    </row>
    <row r="364" spans="1:10" x14ac:dyDescent="0.35">
      <c r="A364">
        <f t="shared" si="5"/>
        <v>363</v>
      </c>
      <c r="B364" t="s">
        <v>3221</v>
      </c>
      <c r="C364" t="s">
        <v>634</v>
      </c>
      <c r="D364" t="s">
        <v>3222</v>
      </c>
      <c r="E364" t="s">
        <v>2748</v>
      </c>
      <c r="F364" t="s">
        <v>3223</v>
      </c>
      <c r="G364" t="s">
        <v>3223</v>
      </c>
      <c r="H364" t="s">
        <v>3224</v>
      </c>
      <c r="I364" s="5" t="str" cm="1">
        <f t="array" ref="I364">IF(SUM(COUNTIF(Text_Preprocessing__224[[#This Row],[full_text]],{"*makan siang gratis*";"*MBG*";"*makan gratis*";"*makan bergizi gratis*";"*makangratis*";"*makanan gratis*"})),"Relevan","Tidak Relevan")</f>
        <v>Tidak Relevan</v>
      </c>
      <c r="J364" t="s">
        <v>3622</v>
      </c>
    </row>
    <row r="365" spans="1:10" x14ac:dyDescent="0.35">
      <c r="A365">
        <f t="shared" si="5"/>
        <v>364</v>
      </c>
      <c r="B365" t="s">
        <v>3225</v>
      </c>
      <c r="C365" t="s">
        <v>636</v>
      </c>
      <c r="D365" t="s">
        <v>3226</v>
      </c>
      <c r="E365" t="s">
        <v>3227</v>
      </c>
      <c r="F365" t="s">
        <v>3228</v>
      </c>
      <c r="G365" t="s">
        <v>3228</v>
      </c>
      <c r="H365" t="s">
        <v>3229</v>
      </c>
      <c r="I365" s="5" t="str" cm="1">
        <f t="array" ref="I365">IF(SUM(COUNTIF(Text_Preprocessing__224[[#This Row],[full_text]],{"*makan siang gratis*";"*MBG*";"*makan gratis*";"*makan bergizi gratis*";"*makangratis*";"*makanan gratis*"})),"Relevan","Tidak Relevan")</f>
        <v>Tidak Relevan</v>
      </c>
      <c r="J365" t="s">
        <v>3622</v>
      </c>
    </row>
    <row r="366" spans="1:10" x14ac:dyDescent="0.35">
      <c r="A366">
        <f t="shared" si="5"/>
        <v>365</v>
      </c>
      <c r="B366" t="s">
        <v>3230</v>
      </c>
      <c r="C366" t="s">
        <v>638</v>
      </c>
      <c r="D366" t="s">
        <v>3231</v>
      </c>
      <c r="E366" t="s">
        <v>2743</v>
      </c>
      <c r="F366" t="s">
        <v>3232</v>
      </c>
      <c r="G366" t="s">
        <v>3232</v>
      </c>
      <c r="H366" t="s">
        <v>3233</v>
      </c>
      <c r="I366" s="5" t="str" cm="1">
        <f t="array" ref="I366">IF(SUM(COUNTIF(Text_Preprocessing__224[[#This Row],[full_text]],{"*makan siang gratis*";"*MBG*";"*makan gratis*";"*makan bergizi gratis*";"*makangratis*";"*makanan gratis*"})),"Relevan","Tidak Relevan")</f>
        <v>Relevan</v>
      </c>
    </row>
    <row r="367" spans="1:10" x14ac:dyDescent="0.35">
      <c r="A367">
        <f t="shared" si="5"/>
        <v>366</v>
      </c>
      <c r="B367" t="s">
        <v>3234</v>
      </c>
      <c r="C367" t="s">
        <v>330</v>
      </c>
      <c r="D367" t="s">
        <v>3235</v>
      </c>
      <c r="E367" t="s">
        <v>1629</v>
      </c>
      <c r="F367" t="s">
        <v>3236</v>
      </c>
      <c r="G367" t="s">
        <v>3236</v>
      </c>
      <c r="H367" t="s">
        <v>3237</v>
      </c>
      <c r="I367" s="5" t="str" cm="1">
        <f t="array" ref="I367">IF(SUM(COUNTIF(Text_Preprocessing__224[[#This Row],[full_text]],{"*makan siang gratis*";"*MBG*";"*makan gratis*";"*makan bergizi gratis*";"*makangratis*";"*makanan gratis*"})),"Relevan","Tidak Relevan")</f>
        <v>Relevan</v>
      </c>
    </row>
    <row r="368" spans="1:10" x14ac:dyDescent="0.35">
      <c r="A368">
        <f t="shared" si="5"/>
        <v>367</v>
      </c>
      <c r="B368" t="s">
        <v>3238</v>
      </c>
      <c r="C368" t="s">
        <v>641</v>
      </c>
      <c r="D368" t="s">
        <v>3239</v>
      </c>
      <c r="E368" t="s">
        <v>1893</v>
      </c>
      <c r="F368" t="s">
        <v>3240</v>
      </c>
      <c r="G368" t="s">
        <v>3240</v>
      </c>
      <c r="H368" t="s">
        <v>3241</v>
      </c>
      <c r="I368" s="5" t="str" cm="1">
        <f t="array" ref="I368">IF(SUM(COUNTIF(Text_Preprocessing__224[[#This Row],[full_text]],{"*makan siang gratis*";"*MBG*";"*makan gratis*";"*makan bergizi gratis*";"*makangratis*";"*makanan gratis*"})),"Relevan","Tidak Relevan")</f>
        <v>Relevan</v>
      </c>
    </row>
    <row r="369" spans="1:10" x14ac:dyDescent="0.35">
      <c r="A369">
        <f t="shared" si="5"/>
        <v>368</v>
      </c>
      <c r="B369" t="s">
        <v>3242</v>
      </c>
      <c r="C369" t="s">
        <v>643</v>
      </c>
      <c r="D369" t="s">
        <v>3243</v>
      </c>
      <c r="E369" t="s">
        <v>3244</v>
      </c>
      <c r="F369" t="s">
        <v>3245</v>
      </c>
      <c r="G369" t="s">
        <v>3246</v>
      </c>
      <c r="H369" t="s">
        <v>3247</v>
      </c>
      <c r="I369" s="5" t="str" cm="1">
        <f t="array" ref="I369">IF(SUM(COUNTIF(Text_Preprocessing__224[[#This Row],[full_text]],{"*makan siang gratis*";"*MBG*";"*makan gratis*";"*makan bergizi gratis*";"*makangratis*";"*makanan gratis*"})),"Relevan","Tidak Relevan")</f>
        <v>Relevan</v>
      </c>
    </row>
    <row r="370" spans="1:10" x14ac:dyDescent="0.35">
      <c r="A370">
        <f t="shared" si="5"/>
        <v>369</v>
      </c>
      <c r="B370" t="s">
        <v>3248</v>
      </c>
      <c r="C370" t="s">
        <v>645</v>
      </c>
      <c r="D370" t="s">
        <v>3249</v>
      </c>
      <c r="E370" t="s">
        <v>1799</v>
      </c>
      <c r="F370" t="s">
        <v>3250</v>
      </c>
      <c r="G370" t="s">
        <v>3250</v>
      </c>
      <c r="H370" t="s">
        <v>3251</v>
      </c>
      <c r="I370" s="5" t="str" cm="1">
        <f t="array" ref="I370">IF(SUM(COUNTIF(Text_Preprocessing__224[[#This Row],[full_text]],{"*makan siang gratis*";"*MBG*";"*makan gratis*";"*makan bergizi gratis*";"*makangratis*";"*makanan gratis*"})),"Relevan","Tidak Relevan")</f>
        <v>Relevan</v>
      </c>
    </row>
    <row r="371" spans="1:10" x14ac:dyDescent="0.35">
      <c r="A371">
        <f t="shared" si="5"/>
        <v>370</v>
      </c>
      <c r="B371" t="s">
        <v>3252</v>
      </c>
      <c r="C371" t="s">
        <v>647</v>
      </c>
      <c r="D371" t="s">
        <v>3253</v>
      </c>
      <c r="E371" t="s">
        <v>1624</v>
      </c>
      <c r="F371" t="s">
        <v>3254</v>
      </c>
      <c r="G371" t="s">
        <v>3254</v>
      </c>
      <c r="H371" t="s">
        <v>3255</v>
      </c>
      <c r="I371" s="5" t="str" cm="1">
        <f t="array" ref="I371">IF(SUM(COUNTIF(Text_Preprocessing__224[[#This Row],[full_text]],{"*makan siang gratis*";"*MBG*";"*makan gratis*";"*makan bergizi gratis*";"*makangratis*";"*makanan gratis*"})),"Relevan","Tidak Relevan")</f>
        <v>Relevan</v>
      </c>
    </row>
    <row r="372" spans="1:10" x14ac:dyDescent="0.35">
      <c r="A372">
        <f t="shared" si="5"/>
        <v>371</v>
      </c>
      <c r="B372" t="s">
        <v>3256</v>
      </c>
      <c r="C372" t="s">
        <v>649</v>
      </c>
      <c r="D372" t="s">
        <v>3257</v>
      </c>
      <c r="E372" t="s">
        <v>3258</v>
      </c>
      <c r="F372" t="s">
        <v>3259</v>
      </c>
      <c r="G372" t="s">
        <v>3259</v>
      </c>
      <c r="H372" t="s">
        <v>3260</v>
      </c>
      <c r="I372" s="5" t="str" cm="1">
        <f t="array" ref="I372">IF(SUM(COUNTIF(Text_Preprocessing__224[[#This Row],[full_text]],{"*makan siang gratis*";"*MBG*";"*makan gratis*";"*makan bergizi gratis*";"*makangratis*";"*makanan gratis*"})),"Relevan","Tidak Relevan")</f>
        <v>Relevan</v>
      </c>
    </row>
    <row r="373" spans="1:10" x14ac:dyDescent="0.35">
      <c r="A373">
        <f t="shared" si="5"/>
        <v>372</v>
      </c>
      <c r="B373" t="s">
        <v>3261</v>
      </c>
      <c r="C373" t="s">
        <v>651</v>
      </c>
      <c r="D373" t="s">
        <v>3262</v>
      </c>
      <c r="E373" t="s">
        <v>3263</v>
      </c>
      <c r="F373" t="s">
        <v>3264</v>
      </c>
      <c r="G373" t="s">
        <v>3264</v>
      </c>
      <c r="H373" t="s">
        <v>3265</v>
      </c>
      <c r="I373" s="5" t="str" cm="1">
        <f t="array" ref="I373">IF(SUM(COUNTIF(Text_Preprocessing__224[[#This Row],[full_text]],{"*makan siang gratis*";"*MBG*";"*makan gratis*";"*makan bergizi gratis*";"*makangratis*";"*makanan gratis*"})),"Relevan","Tidak Relevan")</f>
        <v>Relevan</v>
      </c>
    </row>
    <row r="374" spans="1:10" x14ac:dyDescent="0.35">
      <c r="A374">
        <f t="shared" si="5"/>
        <v>373</v>
      </c>
      <c r="B374" t="s">
        <v>3266</v>
      </c>
      <c r="C374" t="s">
        <v>653</v>
      </c>
      <c r="D374" t="s">
        <v>3267</v>
      </c>
      <c r="E374" t="s">
        <v>1785</v>
      </c>
      <c r="F374" t="s">
        <v>3268</v>
      </c>
      <c r="G374" t="s">
        <v>3268</v>
      </c>
      <c r="H374" t="s">
        <v>3269</v>
      </c>
      <c r="I374" s="5" t="str" cm="1">
        <f t="array" ref="I374">IF(SUM(COUNTIF(Text_Preprocessing__224[[#This Row],[full_text]],{"*makan siang gratis*";"*MBG*";"*makan gratis*";"*makan bergizi gratis*";"*makangratis*";"*makanan gratis*"})),"Relevan","Tidak Relevan")</f>
        <v>Relevan</v>
      </c>
    </row>
    <row r="375" spans="1:10" x14ac:dyDescent="0.35">
      <c r="A375">
        <f t="shared" si="5"/>
        <v>374</v>
      </c>
      <c r="B375" t="s">
        <v>3270</v>
      </c>
      <c r="C375" t="s">
        <v>655</v>
      </c>
      <c r="D375" t="s">
        <v>3271</v>
      </c>
      <c r="E375" t="s">
        <v>1652</v>
      </c>
      <c r="F375" t="s">
        <v>3272</v>
      </c>
      <c r="G375" t="s">
        <v>3272</v>
      </c>
      <c r="H375" t="s">
        <v>3273</v>
      </c>
      <c r="I375" s="5" t="str" cm="1">
        <f t="array" ref="I375">IF(SUM(COUNTIF(Text_Preprocessing__224[[#This Row],[full_text]],{"*makan siang gratis*";"*MBG*";"*makan gratis*";"*makan bergizi gratis*";"*makangratis*";"*makanan gratis*"})),"Relevan","Tidak Relevan")</f>
        <v>Relevan</v>
      </c>
    </row>
    <row r="376" spans="1:10" x14ac:dyDescent="0.35">
      <c r="A376">
        <f t="shared" si="5"/>
        <v>375</v>
      </c>
      <c r="B376" t="s">
        <v>3274</v>
      </c>
      <c r="C376" t="s">
        <v>657</v>
      </c>
      <c r="D376" t="s">
        <v>3275</v>
      </c>
      <c r="E376" t="s">
        <v>3276</v>
      </c>
      <c r="F376" t="s">
        <v>3275</v>
      </c>
      <c r="G376" t="s">
        <v>3275</v>
      </c>
      <c r="H376" t="s">
        <v>3277</v>
      </c>
      <c r="I376" s="5" t="str" cm="1">
        <f t="array" ref="I376">IF(SUM(COUNTIF(Text_Preprocessing__224[[#This Row],[full_text]],{"*makan siang gratis*";"*MBG*";"*makan gratis*";"*makan bergizi gratis*";"*makangratis*";"*makanan gratis*"})),"Relevan","Tidak Relevan")</f>
        <v>Tidak Relevan</v>
      </c>
      <c r="J376" s="4" t="s">
        <v>3623</v>
      </c>
    </row>
    <row r="377" spans="1:10" x14ac:dyDescent="0.35">
      <c r="A377">
        <f t="shared" si="5"/>
        <v>376</v>
      </c>
      <c r="B377" t="s">
        <v>3278</v>
      </c>
      <c r="C377" t="s">
        <v>274</v>
      </c>
      <c r="D377" t="s">
        <v>3279</v>
      </c>
      <c r="E377" t="s">
        <v>2154</v>
      </c>
      <c r="F377" t="s">
        <v>3280</v>
      </c>
      <c r="G377" t="s">
        <v>3280</v>
      </c>
      <c r="H377" t="s">
        <v>3281</v>
      </c>
      <c r="I377" s="5" t="str" cm="1">
        <f t="array" ref="I377">IF(SUM(COUNTIF(Text_Preprocessing__224[[#This Row],[full_text]],{"*makan siang gratis*";"*MBG*";"*makan gratis*";"*makan bergizi gratis*";"*makangratis*";"*makanan gratis*"})),"Relevan","Tidak Relevan")</f>
        <v>Relevan</v>
      </c>
    </row>
    <row r="378" spans="1:10" x14ac:dyDescent="0.35">
      <c r="A378">
        <f t="shared" si="5"/>
        <v>377</v>
      </c>
      <c r="B378" t="s">
        <v>3282</v>
      </c>
      <c r="C378" t="s">
        <v>660</v>
      </c>
      <c r="D378" t="s">
        <v>3283</v>
      </c>
      <c r="E378" t="s">
        <v>2114</v>
      </c>
      <c r="F378" t="s">
        <v>3284</v>
      </c>
      <c r="G378" t="s">
        <v>3284</v>
      </c>
      <c r="H378" t="s">
        <v>3285</v>
      </c>
      <c r="I378" s="5" t="str" cm="1">
        <f t="array" ref="I378">IF(SUM(COUNTIF(Text_Preprocessing__224[[#This Row],[full_text]],{"*makan siang gratis*";"*MBG*";"*makan gratis*";"*makan bergizi gratis*";"*makangratis*";"*makanan gratis*"})),"Relevan","Tidak Relevan")</f>
        <v>Relevan</v>
      </c>
    </row>
    <row r="379" spans="1:10" x14ac:dyDescent="0.35">
      <c r="A379">
        <f t="shared" si="5"/>
        <v>378</v>
      </c>
      <c r="B379" t="s">
        <v>3286</v>
      </c>
      <c r="C379" t="s">
        <v>662</v>
      </c>
      <c r="D379" t="s">
        <v>3287</v>
      </c>
      <c r="E379" t="s">
        <v>1906</v>
      </c>
      <c r="F379" t="s">
        <v>3288</v>
      </c>
      <c r="G379" t="s">
        <v>3288</v>
      </c>
      <c r="H379" t="s">
        <v>3289</v>
      </c>
      <c r="I379" s="5" t="str" cm="1">
        <f t="array" ref="I379">IF(SUM(COUNTIF(Text_Preprocessing__224[[#This Row],[full_text]],{"*makan siang gratis*";"*MBG*";"*makan gratis*";"*makan bergizi gratis*";"*makangratis*";"*makanan gratis*"})),"Relevan","Tidak Relevan")</f>
        <v>Relevan</v>
      </c>
    </row>
    <row r="380" spans="1:10" x14ac:dyDescent="0.35">
      <c r="A380">
        <f t="shared" si="5"/>
        <v>379</v>
      </c>
      <c r="B380" t="s">
        <v>3290</v>
      </c>
      <c r="C380" t="s">
        <v>664</v>
      </c>
      <c r="D380" t="s">
        <v>3291</v>
      </c>
      <c r="E380" t="s">
        <v>2109</v>
      </c>
      <c r="F380" t="s">
        <v>3292</v>
      </c>
      <c r="G380" t="s">
        <v>3292</v>
      </c>
      <c r="H380" t="s">
        <v>3293</v>
      </c>
      <c r="I380" s="5" t="str" cm="1">
        <f t="array" ref="I380">IF(SUM(COUNTIF(Text_Preprocessing__224[[#This Row],[full_text]],{"*makan siang gratis*";"*MBG*";"*makan gratis*";"*makan bergizi gratis*";"*makangratis*";"*makanan gratis*"})),"Relevan","Tidak Relevan")</f>
        <v>Relevan</v>
      </c>
    </row>
    <row r="381" spans="1:10" x14ac:dyDescent="0.35">
      <c r="A381">
        <f t="shared" si="5"/>
        <v>380</v>
      </c>
      <c r="B381" t="s">
        <v>3294</v>
      </c>
      <c r="C381" t="s">
        <v>666</v>
      </c>
      <c r="D381" t="s">
        <v>3295</v>
      </c>
      <c r="E381" t="s">
        <v>1785</v>
      </c>
      <c r="F381" t="s">
        <v>3296</v>
      </c>
      <c r="G381" t="s">
        <v>3296</v>
      </c>
      <c r="H381" t="s">
        <v>3297</v>
      </c>
      <c r="I381" s="5" t="str" cm="1">
        <f t="array" ref="I381">IF(SUM(COUNTIF(Text_Preprocessing__224[[#This Row],[full_text]],{"*makan siang gratis*";"*MBG*";"*makan gratis*";"*makan bergizi gratis*";"*makangratis*";"*makanan gratis*"})),"Relevan","Tidak Relevan")</f>
        <v>Relevan</v>
      </c>
    </row>
    <row r="382" spans="1:10" x14ac:dyDescent="0.35">
      <c r="A382">
        <f t="shared" si="5"/>
        <v>381</v>
      </c>
      <c r="B382" t="s">
        <v>3298</v>
      </c>
      <c r="C382" t="s">
        <v>668</v>
      </c>
      <c r="D382" t="s">
        <v>3299</v>
      </c>
      <c r="E382" t="s">
        <v>1674</v>
      </c>
      <c r="F382" t="s">
        <v>3300</v>
      </c>
      <c r="G382" t="s">
        <v>3300</v>
      </c>
      <c r="H382" t="s">
        <v>3301</v>
      </c>
      <c r="I382" s="5" t="str" cm="1">
        <f t="array" ref="I382">IF(SUM(COUNTIF(Text_Preprocessing__224[[#This Row],[full_text]],{"*makan siang gratis*";"*MBG*";"*makan gratis*";"*makan bergizi gratis*";"*makangratis*";"*makanan gratis*"})),"Relevan","Tidak Relevan")</f>
        <v>Relevan</v>
      </c>
    </row>
    <row r="383" spans="1:10" x14ac:dyDescent="0.35">
      <c r="A383">
        <f t="shared" si="5"/>
        <v>382</v>
      </c>
      <c r="B383" t="s">
        <v>3302</v>
      </c>
      <c r="C383" t="s">
        <v>671</v>
      </c>
      <c r="D383" t="s">
        <v>3303</v>
      </c>
      <c r="E383" t="s">
        <v>1809</v>
      </c>
      <c r="F383" t="s">
        <v>3303</v>
      </c>
      <c r="G383" t="s">
        <v>3303</v>
      </c>
      <c r="H383" t="s">
        <v>3304</v>
      </c>
      <c r="I383" s="5" t="str" cm="1">
        <f t="array" ref="I383">IF(SUM(COUNTIF(Text_Preprocessing__224[[#This Row],[full_text]],{"*makan siang gratis*";"*MBG*";"*makan gratis*";"*makan bergizi gratis*";"*makangratis*";"*makanan gratis*"})),"Relevan","Tidak Relevan")</f>
        <v>Tidak Relevan</v>
      </c>
      <c r="J383" t="s">
        <v>3622</v>
      </c>
    </row>
    <row r="384" spans="1:10" x14ac:dyDescent="0.35">
      <c r="A384">
        <f t="shared" si="5"/>
        <v>383</v>
      </c>
      <c r="B384" t="s">
        <v>3305</v>
      </c>
      <c r="C384" t="s">
        <v>673</v>
      </c>
      <c r="D384" t="s">
        <v>3306</v>
      </c>
      <c r="E384" t="s">
        <v>2387</v>
      </c>
      <c r="F384" t="s">
        <v>3307</v>
      </c>
      <c r="G384" t="s">
        <v>3308</v>
      </c>
      <c r="H384" t="s">
        <v>3309</v>
      </c>
      <c r="I384" s="5" t="str" cm="1">
        <f t="array" ref="I384">IF(SUM(COUNTIF(Text_Preprocessing__224[[#This Row],[full_text]],{"*makan siang gratis*";"*MBG*";"*makan gratis*";"*makan bergizi gratis*";"*makangratis*";"*makanan gratis*"})),"Relevan","Tidak Relevan")</f>
        <v>Relevan</v>
      </c>
    </row>
    <row r="385" spans="1:10" x14ac:dyDescent="0.35">
      <c r="A385">
        <f t="shared" si="5"/>
        <v>384</v>
      </c>
      <c r="B385" t="s">
        <v>3310</v>
      </c>
      <c r="C385" t="s">
        <v>675</v>
      </c>
      <c r="D385" t="s">
        <v>3311</v>
      </c>
      <c r="E385" t="s">
        <v>1785</v>
      </c>
      <c r="F385" t="s">
        <v>3312</v>
      </c>
      <c r="G385" t="s">
        <v>3312</v>
      </c>
      <c r="H385" t="s">
        <v>3313</v>
      </c>
      <c r="I385" s="5" t="str" cm="1">
        <f t="array" ref="I385">IF(SUM(COUNTIF(Text_Preprocessing__224[[#This Row],[full_text]],{"*makan siang gratis*";"*MBG*";"*makan gratis*";"*makan bergizi gratis*";"*makangratis*";"*makanan gratis*"})),"Relevan","Tidak Relevan")</f>
        <v>Relevan</v>
      </c>
    </row>
    <row r="386" spans="1:10" x14ac:dyDescent="0.35">
      <c r="A386">
        <f t="shared" si="5"/>
        <v>385</v>
      </c>
      <c r="B386" t="s">
        <v>3314</v>
      </c>
      <c r="C386" t="s">
        <v>677</v>
      </c>
      <c r="D386" t="s">
        <v>3315</v>
      </c>
      <c r="E386" t="s">
        <v>1990</v>
      </c>
      <c r="F386" t="s">
        <v>3316</v>
      </c>
      <c r="G386" t="s">
        <v>3316</v>
      </c>
      <c r="H386" t="s">
        <v>3317</v>
      </c>
      <c r="I386" s="5" t="str" cm="1">
        <f t="array" ref="I386">IF(SUM(COUNTIF(Text_Preprocessing__224[[#This Row],[full_text]],{"*makan siang gratis*";"*MBG*";"*makan gratis*";"*makan bergizi gratis*";"*makangratis*";"*makanan gratis*"})),"Relevan","Tidak Relevan")</f>
        <v>Relevan</v>
      </c>
    </row>
    <row r="387" spans="1:10" x14ac:dyDescent="0.35">
      <c r="A387">
        <f t="shared" si="5"/>
        <v>386</v>
      </c>
      <c r="B387" t="s">
        <v>3318</v>
      </c>
      <c r="C387" t="s">
        <v>679</v>
      </c>
      <c r="D387" t="s">
        <v>3319</v>
      </c>
      <c r="E387" t="s">
        <v>1758</v>
      </c>
      <c r="F387" t="s">
        <v>3320</v>
      </c>
      <c r="G387" t="s">
        <v>3321</v>
      </c>
      <c r="H387" t="s">
        <v>3322</v>
      </c>
      <c r="I387" s="5" t="str" cm="1">
        <f t="array" ref="I387">IF(SUM(COUNTIF(Text_Preprocessing__224[[#This Row],[full_text]],{"*makan siang gratis*";"*MBG*";"*makan gratis*";"*makan bergizi gratis*";"*makangratis*";"*makanan gratis*"})),"Relevan","Tidak Relevan")</f>
        <v>Relevan</v>
      </c>
    </row>
    <row r="388" spans="1:10" x14ac:dyDescent="0.35">
      <c r="A388">
        <f t="shared" ref="A388:A451" si="6">SUM(A387+1)</f>
        <v>387</v>
      </c>
      <c r="B388" t="s">
        <v>3323</v>
      </c>
      <c r="C388" t="s">
        <v>681</v>
      </c>
      <c r="D388" t="s">
        <v>3324</v>
      </c>
      <c r="E388" t="s">
        <v>1844</v>
      </c>
      <c r="F388" t="s">
        <v>3325</v>
      </c>
      <c r="G388" t="s">
        <v>3325</v>
      </c>
      <c r="H388" t="s">
        <v>3326</v>
      </c>
      <c r="I388" s="5" t="str" cm="1">
        <f t="array" ref="I388">IF(SUM(COUNTIF(Text_Preprocessing__224[[#This Row],[full_text]],{"*makan siang gratis*";"*MBG*";"*makan gratis*";"*makan bergizi gratis*";"*makangratis*";"*makanan gratis*"})),"Relevan","Tidak Relevan")</f>
        <v>Tidak Relevan</v>
      </c>
      <c r="J388" t="s">
        <v>3622</v>
      </c>
    </row>
    <row r="389" spans="1:10" x14ac:dyDescent="0.35">
      <c r="A389">
        <f t="shared" si="6"/>
        <v>388</v>
      </c>
      <c r="B389" t="s">
        <v>3327</v>
      </c>
      <c r="C389" t="s">
        <v>683</v>
      </c>
      <c r="D389" t="s">
        <v>3328</v>
      </c>
      <c r="E389" t="s">
        <v>3329</v>
      </c>
      <c r="F389" t="s">
        <v>3330</v>
      </c>
      <c r="G389" t="s">
        <v>3330</v>
      </c>
      <c r="H389" t="s">
        <v>3331</v>
      </c>
      <c r="I389" s="5" t="str" cm="1">
        <f t="array" ref="I389">IF(SUM(COUNTIF(Text_Preprocessing__224[[#This Row],[full_text]],{"*makan siang gratis*";"*MBG*";"*makan gratis*";"*makan bergizi gratis*";"*makangratis*";"*makanan gratis*"})),"Relevan","Tidak Relevan")</f>
        <v>Relevan</v>
      </c>
    </row>
    <row r="390" spans="1:10" x14ac:dyDescent="0.35">
      <c r="A390">
        <f t="shared" si="6"/>
        <v>389</v>
      </c>
      <c r="B390" t="s">
        <v>3332</v>
      </c>
      <c r="C390" t="s">
        <v>685</v>
      </c>
      <c r="D390" t="s">
        <v>3333</v>
      </c>
      <c r="E390" t="s">
        <v>1607</v>
      </c>
      <c r="F390" t="s">
        <v>3334</v>
      </c>
      <c r="G390" t="s">
        <v>3335</v>
      </c>
      <c r="H390" t="s">
        <v>3336</v>
      </c>
      <c r="I390" s="5" t="str" cm="1">
        <f t="array" ref="I390">IF(SUM(COUNTIF(Text_Preprocessing__224[[#This Row],[full_text]],{"*makan siang gratis*";"*MBG*";"*makan gratis*";"*makan bergizi gratis*";"*makangratis*";"*makanan gratis*"})),"Relevan","Tidak Relevan")</f>
        <v>Relevan</v>
      </c>
    </row>
    <row r="391" spans="1:10" x14ac:dyDescent="0.35">
      <c r="A391">
        <f t="shared" si="6"/>
        <v>390</v>
      </c>
      <c r="B391" t="s">
        <v>3337</v>
      </c>
      <c r="C391" t="s">
        <v>687</v>
      </c>
      <c r="D391" t="s">
        <v>3338</v>
      </c>
      <c r="E391" t="s">
        <v>2229</v>
      </c>
      <c r="F391" t="s">
        <v>3339</v>
      </c>
      <c r="G391" t="s">
        <v>3339</v>
      </c>
      <c r="H391" t="s">
        <v>3340</v>
      </c>
      <c r="I391" s="5" t="str" cm="1">
        <f t="array" ref="I391">IF(SUM(COUNTIF(Text_Preprocessing__224[[#This Row],[full_text]],{"*makan siang gratis*";"*MBG*";"*makan gratis*";"*makan bergizi gratis*";"*makangratis*";"*makanan gratis*"})),"Relevan","Tidak Relevan")</f>
        <v>Relevan</v>
      </c>
    </row>
    <row r="392" spans="1:10" x14ac:dyDescent="0.35">
      <c r="A392">
        <f t="shared" si="6"/>
        <v>391</v>
      </c>
      <c r="B392" t="s">
        <v>3341</v>
      </c>
      <c r="C392" t="s">
        <v>689</v>
      </c>
      <c r="D392" t="s">
        <v>3342</v>
      </c>
      <c r="E392" t="s">
        <v>2748</v>
      </c>
      <c r="F392" t="s">
        <v>3343</v>
      </c>
      <c r="G392" t="s">
        <v>3343</v>
      </c>
      <c r="H392" t="s">
        <v>3344</v>
      </c>
      <c r="I392" s="5" t="str" cm="1">
        <f t="array" ref="I392">IF(SUM(COUNTIF(Text_Preprocessing__224[[#This Row],[full_text]],{"*makan siang gratis*";"*MBG*";"*makan gratis*";"*makan bergizi gratis*";"*makangratis*";"*makanan gratis*"})),"Relevan","Tidak Relevan")</f>
        <v>Relevan</v>
      </c>
    </row>
    <row r="393" spans="1:10" x14ac:dyDescent="0.35">
      <c r="A393">
        <f t="shared" si="6"/>
        <v>392</v>
      </c>
      <c r="B393" t="s">
        <v>3345</v>
      </c>
      <c r="C393" t="s">
        <v>691</v>
      </c>
      <c r="D393" t="s">
        <v>3346</v>
      </c>
      <c r="E393" t="s">
        <v>1730</v>
      </c>
      <c r="F393" t="s">
        <v>3347</v>
      </c>
      <c r="G393" t="s">
        <v>3348</v>
      </c>
      <c r="H393" t="s">
        <v>3349</v>
      </c>
      <c r="I393" s="5" t="str" cm="1">
        <f t="array" ref="I393">IF(SUM(COUNTIF(Text_Preprocessing__224[[#This Row],[full_text]],{"*makan siang gratis*";"*MBG*";"*makan gratis*";"*makan bergizi gratis*";"*makangratis*";"*makanan gratis*"})),"Relevan","Tidak Relevan")</f>
        <v>Relevan</v>
      </c>
    </row>
    <row r="394" spans="1:10" x14ac:dyDescent="0.35">
      <c r="A394">
        <f t="shared" si="6"/>
        <v>393</v>
      </c>
      <c r="B394" t="s">
        <v>3350</v>
      </c>
      <c r="C394" t="s">
        <v>693</v>
      </c>
      <c r="D394" t="s">
        <v>3351</v>
      </c>
      <c r="E394" t="s">
        <v>2558</v>
      </c>
      <c r="F394" t="s">
        <v>3352</v>
      </c>
      <c r="G394" t="s">
        <v>3353</v>
      </c>
      <c r="H394" t="s">
        <v>3354</v>
      </c>
      <c r="I394" s="5" t="str" cm="1">
        <f t="array" ref="I394">IF(SUM(COUNTIF(Text_Preprocessing__224[[#This Row],[full_text]],{"*makan siang gratis*";"*MBG*";"*makan gratis*";"*makan bergizi gratis*";"*makangratis*";"*makanan gratis*"})),"Relevan","Tidak Relevan")</f>
        <v>Relevan</v>
      </c>
    </row>
    <row r="395" spans="1:10" x14ac:dyDescent="0.35">
      <c r="A395">
        <f t="shared" si="6"/>
        <v>394</v>
      </c>
      <c r="B395" t="s">
        <v>3359</v>
      </c>
      <c r="C395" t="s">
        <v>697</v>
      </c>
      <c r="D395" t="s">
        <v>3360</v>
      </c>
      <c r="E395" t="s">
        <v>2862</v>
      </c>
      <c r="F395" t="s">
        <v>3361</v>
      </c>
      <c r="G395" t="s">
        <v>3361</v>
      </c>
      <c r="H395" t="s">
        <v>3362</v>
      </c>
      <c r="I395" s="5" t="str" cm="1">
        <f t="array" ref="I395">IF(SUM(COUNTIF(Text_Preprocessing__224[[#This Row],[full_text]],{"*makan siang gratis*";"*MBG*";"*makan gratis*";"*makan bergizi gratis*";"*makangratis*";"*makanan gratis*"})),"Relevan","Tidak Relevan")</f>
        <v>Relevan</v>
      </c>
    </row>
    <row r="396" spans="1:10" x14ac:dyDescent="0.35">
      <c r="A396">
        <f t="shared" si="6"/>
        <v>395</v>
      </c>
      <c r="B396" t="s">
        <v>3355</v>
      </c>
      <c r="C396" t="s">
        <v>699</v>
      </c>
      <c r="D396" t="s">
        <v>3356</v>
      </c>
      <c r="E396" t="s">
        <v>3357</v>
      </c>
      <c r="F396" t="s">
        <v>3356</v>
      </c>
      <c r="G396" t="s">
        <v>3356</v>
      </c>
      <c r="H396" t="s">
        <v>3358</v>
      </c>
      <c r="I396" s="5" t="str" cm="1">
        <f t="array" ref="I396">IF(SUM(COUNTIF(Text_Preprocessing__224[[#This Row],[full_text]],{"*makan siang gratis*";"*MBG*";"*makan gratis*";"*makan bergizi gratis*";"*makangratis*";"*makanan gratis*"})),"Relevan","Tidak Relevan")</f>
        <v>Relevan</v>
      </c>
    </row>
    <row r="397" spans="1:10" x14ac:dyDescent="0.35">
      <c r="A397">
        <f t="shared" si="6"/>
        <v>396</v>
      </c>
      <c r="B397" t="s">
        <v>3363</v>
      </c>
      <c r="C397" t="s">
        <v>701</v>
      </c>
      <c r="D397" t="s">
        <v>3364</v>
      </c>
      <c r="E397" t="s">
        <v>3365</v>
      </c>
      <c r="F397" t="s">
        <v>3364</v>
      </c>
      <c r="G397" t="s">
        <v>3366</v>
      </c>
      <c r="H397" t="s">
        <v>3367</v>
      </c>
      <c r="I397" s="5" t="str" cm="1">
        <f t="array" ref="I397">IF(SUM(COUNTIF(Text_Preprocessing__224[[#This Row],[full_text]],{"*makan siang gratis*";"*MBG*";"*makan gratis*";"*makan bergizi gratis*";"*makangratis*";"*makanan gratis*"})),"Relevan","Tidak Relevan")</f>
        <v>Relevan</v>
      </c>
    </row>
    <row r="398" spans="1:10" x14ac:dyDescent="0.35">
      <c r="A398">
        <f t="shared" si="6"/>
        <v>397</v>
      </c>
      <c r="B398" t="s">
        <v>3368</v>
      </c>
      <c r="C398" t="s">
        <v>703</v>
      </c>
      <c r="D398" t="s">
        <v>3369</v>
      </c>
      <c r="E398" t="s">
        <v>2299</v>
      </c>
      <c r="F398" t="s">
        <v>3370</v>
      </c>
      <c r="G398" t="s">
        <v>3371</v>
      </c>
      <c r="H398" t="s">
        <v>3372</v>
      </c>
      <c r="I398" s="5" t="str" cm="1">
        <f t="array" ref="I398">IF(SUM(COUNTIF(Text_Preprocessing__224[[#This Row],[full_text]],{"*makan siang gratis*";"*MBG*";"*makan gratis*";"*makan bergizi gratis*";"*makangratis*";"*makanan gratis*"})),"Relevan","Tidak Relevan")</f>
        <v>Relevan</v>
      </c>
    </row>
    <row r="399" spans="1:10" x14ac:dyDescent="0.35">
      <c r="A399">
        <f t="shared" si="6"/>
        <v>398</v>
      </c>
      <c r="B399" t="s">
        <v>3373</v>
      </c>
      <c r="C399" t="s">
        <v>705</v>
      </c>
      <c r="D399" t="s">
        <v>3374</v>
      </c>
      <c r="E399" t="s">
        <v>3131</v>
      </c>
      <c r="F399" t="s">
        <v>3374</v>
      </c>
      <c r="G399" t="s">
        <v>3374</v>
      </c>
      <c r="H399" t="s">
        <v>3375</v>
      </c>
      <c r="I399" s="5" t="str" cm="1">
        <f t="array" ref="I399">IF(SUM(COUNTIF(Text_Preprocessing__224[[#This Row],[full_text]],{"*makan siang gratis*";"*MBG*";"*makan gratis*";"*makan bergizi gratis*";"*makangratis*";"*makanan gratis*"})),"Relevan","Tidak Relevan")</f>
        <v>Relevan</v>
      </c>
    </row>
    <row r="400" spans="1:10" x14ac:dyDescent="0.35">
      <c r="A400">
        <f t="shared" si="6"/>
        <v>399</v>
      </c>
      <c r="B400" t="s">
        <v>3376</v>
      </c>
      <c r="C400" t="s">
        <v>703</v>
      </c>
      <c r="D400" t="s">
        <v>3377</v>
      </c>
      <c r="E400" t="s">
        <v>2041</v>
      </c>
      <c r="F400" t="s">
        <v>3378</v>
      </c>
      <c r="G400" t="s">
        <v>3378</v>
      </c>
      <c r="H400" t="s">
        <v>3379</v>
      </c>
      <c r="I400" s="5" t="str" cm="1">
        <f t="array" ref="I400">IF(SUM(COUNTIF(Text_Preprocessing__224[[#This Row],[full_text]],{"*makan siang gratis*";"*MBG*";"*makan gratis*";"*makan bergizi gratis*";"*makangratis*";"*makanan gratis*"})),"Relevan","Tidak Relevan")</f>
        <v>Relevan</v>
      </c>
    </row>
    <row r="401" spans="1:10" x14ac:dyDescent="0.35">
      <c r="A401">
        <f t="shared" si="6"/>
        <v>400</v>
      </c>
      <c r="B401" t="s">
        <v>3380</v>
      </c>
      <c r="C401" t="s">
        <v>157</v>
      </c>
      <c r="D401" t="s">
        <v>3381</v>
      </c>
      <c r="E401" t="s">
        <v>2149</v>
      </c>
      <c r="F401" t="s">
        <v>3382</v>
      </c>
      <c r="G401" t="s">
        <v>3382</v>
      </c>
      <c r="H401" t="s">
        <v>3383</v>
      </c>
      <c r="I401" s="5" t="str" cm="1">
        <f t="array" ref="I401">IF(SUM(COUNTIF(Text_Preprocessing__224[[#This Row],[full_text]],{"*makan siang gratis*";"*MBG*";"*makan gratis*";"*makan bergizi gratis*";"*makangratis*";"*makanan gratis*"})),"Relevan","Tidak Relevan")</f>
        <v>Relevan</v>
      </c>
    </row>
    <row r="402" spans="1:10" x14ac:dyDescent="0.35">
      <c r="A402">
        <f t="shared" si="6"/>
        <v>401</v>
      </c>
      <c r="B402" t="s">
        <v>3384</v>
      </c>
      <c r="C402" t="s">
        <v>711</v>
      </c>
      <c r="D402" t="s">
        <v>3385</v>
      </c>
      <c r="E402" t="s">
        <v>1735</v>
      </c>
      <c r="F402" t="s">
        <v>3386</v>
      </c>
      <c r="G402" t="s">
        <v>3386</v>
      </c>
      <c r="H402" t="s">
        <v>3387</v>
      </c>
      <c r="I402" s="5" t="str" cm="1">
        <f t="array" ref="I402">IF(SUM(COUNTIF(Text_Preprocessing__224[[#This Row],[full_text]],{"*makan siang gratis*";"*MBG*";"*makan gratis*";"*makan bergizi gratis*";"*makangratis*";"*makanan gratis*"})),"Relevan","Tidak Relevan")</f>
        <v>Relevan</v>
      </c>
    </row>
    <row r="403" spans="1:10" x14ac:dyDescent="0.35">
      <c r="A403">
        <f t="shared" si="6"/>
        <v>402</v>
      </c>
      <c r="B403" t="s">
        <v>3388</v>
      </c>
      <c r="C403" t="s">
        <v>713</v>
      </c>
      <c r="D403" t="s">
        <v>3389</v>
      </c>
      <c r="E403" t="s">
        <v>1730</v>
      </c>
      <c r="F403" t="s">
        <v>3390</v>
      </c>
      <c r="G403" t="s">
        <v>3390</v>
      </c>
      <c r="H403" t="s">
        <v>3391</v>
      </c>
      <c r="I403" s="5" t="str" cm="1">
        <f t="array" ref="I403">IF(SUM(COUNTIF(Text_Preprocessing__224[[#This Row],[full_text]],{"*makan siang gratis*";"*MBG*";"*makan gratis*";"*makan bergizi gratis*";"*makangratis*";"*makanan gratis*"})),"Relevan","Tidak Relevan")</f>
        <v>Relevan</v>
      </c>
    </row>
    <row r="404" spans="1:10" x14ac:dyDescent="0.35">
      <c r="A404">
        <f t="shared" si="6"/>
        <v>403</v>
      </c>
      <c r="B404" t="s">
        <v>3392</v>
      </c>
      <c r="C404" t="s">
        <v>715</v>
      </c>
      <c r="D404" t="s">
        <v>3393</v>
      </c>
      <c r="E404" t="s">
        <v>2210</v>
      </c>
      <c r="F404" t="s">
        <v>3394</v>
      </c>
      <c r="G404" t="s">
        <v>3395</v>
      </c>
      <c r="H404" t="s">
        <v>3396</v>
      </c>
      <c r="I404" s="5" t="str" cm="1">
        <f t="array" ref="I404">IF(SUM(COUNTIF(Text_Preprocessing__224[[#This Row],[full_text]],{"*makan siang gratis*";"*MBG*";"*makan gratis*";"*makan bergizi gratis*";"*makangratis*";"*makanan gratis*"})),"Relevan","Tidak Relevan")</f>
        <v>Tidak Relevan</v>
      </c>
      <c r="J404" t="s">
        <v>3622</v>
      </c>
    </row>
    <row r="405" spans="1:10" x14ac:dyDescent="0.35">
      <c r="A405">
        <f t="shared" si="6"/>
        <v>404</v>
      </c>
      <c r="B405" t="s">
        <v>3397</v>
      </c>
      <c r="C405" t="s">
        <v>76</v>
      </c>
      <c r="D405" t="s">
        <v>3398</v>
      </c>
      <c r="E405" t="s">
        <v>1853</v>
      </c>
      <c r="F405" t="s">
        <v>3399</v>
      </c>
      <c r="G405" t="s">
        <v>3399</v>
      </c>
      <c r="H405" t="s">
        <v>3400</v>
      </c>
      <c r="I405" s="5" t="str" cm="1">
        <f t="array" ref="I405">IF(SUM(COUNTIF(Text_Preprocessing__224[[#This Row],[full_text]],{"*makan siang gratis*";"*MBG*";"*makan gratis*";"*makan bergizi gratis*";"*makangratis*";"*makanan gratis*"})),"Relevan","Tidak Relevan")</f>
        <v>Relevan</v>
      </c>
    </row>
    <row r="406" spans="1:10" x14ac:dyDescent="0.35">
      <c r="A406">
        <f t="shared" si="6"/>
        <v>405</v>
      </c>
      <c r="B406" t="s">
        <v>3401</v>
      </c>
      <c r="C406" t="s">
        <v>718</v>
      </c>
      <c r="D406" t="s">
        <v>3402</v>
      </c>
      <c r="E406" t="s">
        <v>2748</v>
      </c>
      <c r="F406" t="s">
        <v>3403</v>
      </c>
      <c r="G406" t="s">
        <v>3403</v>
      </c>
      <c r="H406" t="s">
        <v>3404</v>
      </c>
      <c r="I406" s="5" t="str" cm="1">
        <f t="array" ref="I406">IF(SUM(COUNTIF(Text_Preprocessing__224[[#This Row],[full_text]],{"*makan siang gratis*";"*MBG*";"*makan gratis*";"*makan bergizi gratis*";"*makangratis*";"*makanan gratis*"})),"Relevan","Tidak Relevan")</f>
        <v>Relevan</v>
      </c>
    </row>
    <row r="407" spans="1:10" x14ac:dyDescent="0.35">
      <c r="A407">
        <f t="shared" si="6"/>
        <v>406</v>
      </c>
      <c r="B407" t="s">
        <v>3405</v>
      </c>
      <c r="C407" t="s">
        <v>105</v>
      </c>
      <c r="D407" t="s">
        <v>3406</v>
      </c>
      <c r="E407" t="s">
        <v>2599</v>
      </c>
      <c r="F407" t="s">
        <v>3407</v>
      </c>
      <c r="G407" t="s">
        <v>3407</v>
      </c>
      <c r="H407" t="s">
        <v>3408</v>
      </c>
      <c r="I407" s="5" t="str" cm="1">
        <f t="array" ref="I407">IF(SUM(COUNTIF(Text_Preprocessing__224[[#This Row],[full_text]],{"*makan siang gratis*";"*MBG*";"*makan gratis*";"*makan bergizi gratis*";"*makangratis*";"*makanan gratis*"})),"Relevan","Tidak Relevan")</f>
        <v>Relevan</v>
      </c>
    </row>
    <row r="408" spans="1:10" x14ac:dyDescent="0.35">
      <c r="A408">
        <f t="shared" si="6"/>
        <v>407</v>
      </c>
      <c r="B408" t="s">
        <v>3409</v>
      </c>
      <c r="C408" t="s">
        <v>721</v>
      </c>
      <c r="D408" t="s">
        <v>3410</v>
      </c>
      <c r="E408" t="s">
        <v>2143</v>
      </c>
      <c r="F408" t="s">
        <v>3411</v>
      </c>
      <c r="G408" t="s">
        <v>3411</v>
      </c>
      <c r="H408" t="s">
        <v>3412</v>
      </c>
      <c r="I408" s="5" t="str" cm="1">
        <f t="array" ref="I408">IF(SUM(COUNTIF(Text_Preprocessing__224[[#This Row],[full_text]],{"*makan siang gratis*";"*MBG*";"*makan gratis*";"*makan bergizi gratis*";"*makangratis*";"*makanan gratis*"})),"Relevan","Tidak Relevan")</f>
        <v>Relevan</v>
      </c>
    </row>
    <row r="409" spans="1:10" x14ac:dyDescent="0.35">
      <c r="A409">
        <f t="shared" si="6"/>
        <v>408</v>
      </c>
      <c r="B409" t="s">
        <v>3413</v>
      </c>
      <c r="C409" t="s">
        <v>653</v>
      </c>
      <c r="D409" t="s">
        <v>3414</v>
      </c>
      <c r="E409" t="s">
        <v>2640</v>
      </c>
      <c r="F409" t="s">
        <v>3415</v>
      </c>
      <c r="G409" t="s">
        <v>3415</v>
      </c>
      <c r="H409" t="s">
        <v>3416</v>
      </c>
      <c r="I409" s="5" t="str" cm="1">
        <f t="array" ref="I409">IF(SUM(COUNTIF(Text_Preprocessing__224[[#This Row],[full_text]],{"*makan siang gratis*";"*MBG*";"*makan gratis*";"*makan bergizi gratis*";"*makangratis*";"*makanan gratis*"})),"Relevan","Tidak Relevan")</f>
        <v>Relevan</v>
      </c>
    </row>
    <row r="410" spans="1:10" x14ac:dyDescent="0.35">
      <c r="A410">
        <f t="shared" si="6"/>
        <v>409</v>
      </c>
      <c r="B410" t="s">
        <v>3417</v>
      </c>
      <c r="C410" t="s">
        <v>510</v>
      </c>
      <c r="D410" t="s">
        <v>3418</v>
      </c>
      <c r="E410" t="s">
        <v>2640</v>
      </c>
      <c r="F410" t="s">
        <v>3419</v>
      </c>
      <c r="G410" t="s">
        <v>3419</v>
      </c>
      <c r="H410" t="s">
        <v>3420</v>
      </c>
      <c r="I410" s="5" t="str" cm="1">
        <f t="array" ref="I410">IF(SUM(COUNTIF(Text_Preprocessing__224[[#This Row],[full_text]],{"*makan siang gratis*";"*MBG*";"*makan gratis*";"*makan bergizi gratis*";"*makangratis*";"*makanan gratis*"})),"Relevan","Tidak Relevan")</f>
        <v>Relevan</v>
      </c>
    </row>
    <row r="411" spans="1:10" x14ac:dyDescent="0.35">
      <c r="A411">
        <f t="shared" si="6"/>
        <v>410</v>
      </c>
      <c r="B411" t="s">
        <v>3421</v>
      </c>
      <c r="C411" t="s">
        <v>172</v>
      </c>
      <c r="D411" t="s">
        <v>3422</v>
      </c>
      <c r="E411" t="s">
        <v>2109</v>
      </c>
      <c r="F411" t="s">
        <v>3423</v>
      </c>
      <c r="G411" t="s">
        <v>3423</v>
      </c>
      <c r="H411" t="s">
        <v>3424</v>
      </c>
      <c r="I411" s="5" t="str" cm="1">
        <f t="array" ref="I411">IF(SUM(COUNTIF(Text_Preprocessing__224[[#This Row],[full_text]],{"*makan siang gratis*";"*MBG*";"*makan gratis*";"*makan bergizi gratis*";"*makangratis*";"*makanan gratis*"})),"Relevan","Tidak Relevan")</f>
        <v>Relevan</v>
      </c>
    </row>
    <row r="412" spans="1:10" x14ac:dyDescent="0.35">
      <c r="A412">
        <f t="shared" si="6"/>
        <v>411</v>
      </c>
      <c r="B412" t="s">
        <v>3425</v>
      </c>
      <c r="C412" t="s">
        <v>726</v>
      </c>
      <c r="D412" t="s">
        <v>3426</v>
      </c>
      <c r="E412" t="s">
        <v>1844</v>
      </c>
      <c r="F412" t="s">
        <v>3427</v>
      </c>
      <c r="G412" t="s">
        <v>3428</v>
      </c>
      <c r="H412" t="s">
        <v>3429</v>
      </c>
      <c r="I412" s="5" t="str" cm="1">
        <f t="array" ref="I412">IF(SUM(COUNTIF(Text_Preprocessing__224[[#This Row],[full_text]],{"*makan siang gratis*";"*MBG*";"*makan gratis*";"*makan bergizi gratis*";"*makangratis*";"*makanan gratis*"})),"Relevan","Tidak Relevan")</f>
        <v>Relevan</v>
      </c>
    </row>
    <row r="413" spans="1:10" x14ac:dyDescent="0.35">
      <c r="A413">
        <f t="shared" si="6"/>
        <v>412</v>
      </c>
      <c r="B413" t="s">
        <v>3430</v>
      </c>
      <c r="C413" t="s">
        <v>565</v>
      </c>
      <c r="D413" t="s">
        <v>3431</v>
      </c>
      <c r="E413" t="s">
        <v>2082</v>
      </c>
      <c r="F413" t="s">
        <v>3432</v>
      </c>
      <c r="G413" t="s">
        <v>3432</v>
      </c>
      <c r="H413" t="s">
        <v>3433</v>
      </c>
      <c r="I413" s="5" t="str" cm="1">
        <f t="array" ref="I413">IF(SUM(COUNTIF(Text_Preprocessing__224[[#This Row],[full_text]],{"*makan siang gratis*";"*MBG*";"*makan gratis*";"*makan bergizi gratis*";"*makangratis*";"*makanan gratis*"})),"Relevan","Tidak Relevan")</f>
        <v>Relevan</v>
      </c>
    </row>
    <row r="414" spans="1:10" x14ac:dyDescent="0.35">
      <c r="A414">
        <f t="shared" si="6"/>
        <v>413</v>
      </c>
      <c r="B414" t="s">
        <v>3434</v>
      </c>
      <c r="C414" t="s">
        <v>442</v>
      </c>
      <c r="D414" t="s">
        <v>3435</v>
      </c>
      <c r="E414" t="s">
        <v>1629</v>
      </c>
      <c r="F414" t="s">
        <v>3436</v>
      </c>
      <c r="G414" t="s">
        <v>3436</v>
      </c>
      <c r="H414" t="s">
        <v>3437</v>
      </c>
      <c r="I414" s="5" t="str" cm="1">
        <f t="array" ref="I414">IF(SUM(COUNTIF(Text_Preprocessing__224[[#This Row],[full_text]],{"*makan siang gratis*";"*MBG*";"*makan gratis*";"*makan bergizi gratis*";"*makangratis*";"*makanan gratis*"})),"Relevan","Tidak Relevan")</f>
        <v>Relevan</v>
      </c>
    </row>
    <row r="415" spans="1:10" x14ac:dyDescent="0.35">
      <c r="A415">
        <f t="shared" si="6"/>
        <v>414</v>
      </c>
      <c r="B415" t="s">
        <v>3438</v>
      </c>
      <c r="C415" t="s">
        <v>730</v>
      </c>
      <c r="D415" t="s">
        <v>3439</v>
      </c>
      <c r="E415" t="s">
        <v>2253</v>
      </c>
      <c r="F415" t="s">
        <v>3440</v>
      </c>
      <c r="G415" t="s">
        <v>3441</v>
      </c>
      <c r="H415" t="s">
        <v>3442</v>
      </c>
      <c r="I415" s="5" t="str" cm="1">
        <f t="array" ref="I415">IF(SUM(COUNTIF(Text_Preprocessing__224[[#This Row],[full_text]],{"*makan siang gratis*";"*MBG*";"*makan gratis*";"*makan bergizi gratis*";"*makangratis*";"*makanan gratis*"})),"Relevan","Tidak Relevan")</f>
        <v>Relevan</v>
      </c>
    </row>
    <row r="416" spans="1:10" x14ac:dyDescent="0.35">
      <c r="A416">
        <f t="shared" si="6"/>
        <v>415</v>
      </c>
      <c r="B416" t="s">
        <v>3443</v>
      </c>
      <c r="C416" t="s">
        <v>732</v>
      </c>
      <c r="D416" t="s">
        <v>3444</v>
      </c>
      <c r="E416" t="s">
        <v>3445</v>
      </c>
      <c r="F416" t="s">
        <v>3446</v>
      </c>
      <c r="G416" t="s">
        <v>3446</v>
      </c>
      <c r="H416" t="s">
        <v>3447</v>
      </c>
      <c r="I416" s="5" t="str" cm="1">
        <f t="array" ref="I416">IF(SUM(COUNTIF(Text_Preprocessing__224[[#This Row],[full_text]],{"*makan siang gratis*";"*MBG*";"*makan gratis*";"*makan bergizi gratis*";"*makangratis*";"*makanan gratis*"})),"Relevan","Tidak Relevan")</f>
        <v>Relevan</v>
      </c>
    </row>
    <row r="417" spans="1:10" x14ac:dyDescent="0.35">
      <c r="A417">
        <f t="shared" si="6"/>
        <v>416</v>
      </c>
      <c r="B417" t="s">
        <v>3448</v>
      </c>
      <c r="C417" t="s">
        <v>734</v>
      </c>
      <c r="D417" t="s">
        <v>3449</v>
      </c>
      <c r="E417" t="s">
        <v>1799</v>
      </c>
      <c r="F417" t="s">
        <v>3450</v>
      </c>
      <c r="G417" t="s">
        <v>3450</v>
      </c>
      <c r="H417" t="s">
        <v>3451</v>
      </c>
      <c r="I417" s="5" t="str" cm="1">
        <f t="array" ref="I417">IF(SUM(COUNTIF(Text_Preprocessing__224[[#This Row],[full_text]],{"*makan siang gratis*";"*MBG*";"*makan gratis*";"*makan bergizi gratis*";"*makangratis*";"*makanan gratis*"})),"Relevan","Tidak Relevan")</f>
        <v>Relevan</v>
      </c>
    </row>
    <row r="418" spans="1:10" x14ac:dyDescent="0.35">
      <c r="A418">
        <f t="shared" si="6"/>
        <v>417</v>
      </c>
      <c r="B418" t="s">
        <v>3452</v>
      </c>
      <c r="C418" t="s">
        <v>703</v>
      </c>
      <c r="D418" t="s">
        <v>3453</v>
      </c>
      <c r="E418" t="s">
        <v>3454</v>
      </c>
      <c r="F418" t="s">
        <v>3455</v>
      </c>
      <c r="G418" t="s">
        <v>3455</v>
      </c>
      <c r="H418" t="s">
        <v>3456</v>
      </c>
      <c r="I418" s="5" t="str" cm="1">
        <f t="array" ref="I418">IF(SUM(COUNTIF(Text_Preprocessing__224[[#This Row],[full_text]],{"*makan siang gratis*";"*MBG*";"*makan gratis*";"*makan bergizi gratis*";"*makangratis*";"*makanan gratis*"})),"Relevan","Tidak Relevan")</f>
        <v>Relevan</v>
      </c>
    </row>
    <row r="419" spans="1:10" x14ac:dyDescent="0.35">
      <c r="A419">
        <f t="shared" si="6"/>
        <v>418</v>
      </c>
      <c r="B419" t="s">
        <v>3457</v>
      </c>
      <c r="C419" t="s">
        <v>737</v>
      </c>
      <c r="D419" t="s">
        <v>3458</v>
      </c>
      <c r="E419" t="s">
        <v>3459</v>
      </c>
      <c r="F419" t="s">
        <v>3460</v>
      </c>
      <c r="G419" t="s">
        <v>3460</v>
      </c>
      <c r="H419" t="s">
        <v>3461</v>
      </c>
      <c r="I419" s="5" t="str" cm="1">
        <f t="array" ref="I419">IF(SUM(COUNTIF(Text_Preprocessing__224[[#This Row],[full_text]],{"*makan siang gratis*";"*MBG*";"*makan gratis*";"*makan bergizi gratis*";"*makangratis*";"*makanan gratis*"})),"Relevan","Tidak Relevan")</f>
        <v>Relevan</v>
      </c>
    </row>
    <row r="420" spans="1:10" x14ac:dyDescent="0.35">
      <c r="A420">
        <f t="shared" si="6"/>
        <v>419</v>
      </c>
      <c r="B420" t="s">
        <v>3462</v>
      </c>
      <c r="C420" t="s">
        <v>739</v>
      </c>
      <c r="D420" t="s">
        <v>3463</v>
      </c>
      <c r="E420" t="s">
        <v>1607</v>
      </c>
      <c r="F420" t="s">
        <v>3464</v>
      </c>
      <c r="G420" t="s">
        <v>3464</v>
      </c>
      <c r="H420" t="s">
        <v>3465</v>
      </c>
      <c r="I420" s="5" t="str" cm="1">
        <f t="array" ref="I420">IF(SUM(COUNTIF(Text_Preprocessing__224[[#This Row],[full_text]],{"*makan siang gratis*";"*MBG*";"*makan gratis*";"*makan bergizi gratis*";"*makangratis*";"*makanan gratis*"})),"Relevan","Tidak Relevan")</f>
        <v>Relevan</v>
      </c>
    </row>
    <row r="421" spans="1:10" x14ac:dyDescent="0.35">
      <c r="A421">
        <f t="shared" si="6"/>
        <v>420</v>
      </c>
      <c r="B421" t="s">
        <v>3466</v>
      </c>
      <c r="C421" t="s">
        <v>739</v>
      </c>
      <c r="D421" t="s">
        <v>3467</v>
      </c>
      <c r="E421" t="s">
        <v>3468</v>
      </c>
      <c r="F421" t="s">
        <v>3469</v>
      </c>
      <c r="G421" t="s">
        <v>3469</v>
      </c>
      <c r="H421" t="s">
        <v>3470</v>
      </c>
      <c r="I421" s="5" t="str" cm="1">
        <f t="array" ref="I421">IF(SUM(COUNTIF(Text_Preprocessing__224[[#This Row],[full_text]],{"*makan siang gratis*";"*MBG*";"*makan gratis*";"*makan bergizi gratis*";"*makangratis*";"*makanan gratis*"})),"Relevan","Tidak Relevan")</f>
        <v>Relevan</v>
      </c>
    </row>
    <row r="422" spans="1:10" x14ac:dyDescent="0.35">
      <c r="A422">
        <f t="shared" si="6"/>
        <v>421</v>
      </c>
      <c r="B422" t="s">
        <v>3471</v>
      </c>
      <c r="C422" t="s">
        <v>742</v>
      </c>
      <c r="D422" t="s">
        <v>3472</v>
      </c>
      <c r="E422" t="s">
        <v>1686</v>
      </c>
      <c r="F422" t="s">
        <v>3473</v>
      </c>
      <c r="G422" t="s">
        <v>3473</v>
      </c>
      <c r="H422" t="s">
        <v>3474</v>
      </c>
      <c r="I422" s="5" t="str" cm="1">
        <f t="array" ref="I422">IF(SUM(COUNTIF(Text_Preprocessing__224[[#This Row],[full_text]],{"*makan siang gratis*";"*MBG*";"*makan gratis*";"*makan bergizi gratis*";"*makangratis*";"*makanan gratis*"})),"Relevan","Tidak Relevan")</f>
        <v>Relevan</v>
      </c>
    </row>
    <row r="423" spans="1:10" x14ac:dyDescent="0.35">
      <c r="A423">
        <f t="shared" si="6"/>
        <v>422</v>
      </c>
      <c r="B423" t="s">
        <v>3475</v>
      </c>
      <c r="C423" t="s">
        <v>379</v>
      </c>
      <c r="D423" t="s">
        <v>3476</v>
      </c>
      <c r="E423" t="s">
        <v>2159</v>
      </c>
      <c r="F423" t="s">
        <v>3477</v>
      </c>
      <c r="G423" t="s">
        <v>3477</v>
      </c>
      <c r="H423" t="s">
        <v>3478</v>
      </c>
      <c r="I423" s="5" t="str" cm="1">
        <f t="array" ref="I423">IF(SUM(COUNTIF(Text_Preprocessing__224[[#This Row],[full_text]],{"*makan siang gratis*";"*MBG*";"*makan gratis*";"*makan bergizi gratis*";"*makangratis*";"*makanan gratis*"})),"Relevan","Tidak Relevan")</f>
        <v>Relevan</v>
      </c>
    </row>
    <row r="424" spans="1:10" x14ac:dyDescent="0.35">
      <c r="A424">
        <f t="shared" si="6"/>
        <v>423</v>
      </c>
      <c r="B424" t="s">
        <v>3479</v>
      </c>
      <c r="C424" t="s">
        <v>746</v>
      </c>
      <c r="D424" t="s">
        <v>3480</v>
      </c>
      <c r="E424" t="s">
        <v>3481</v>
      </c>
      <c r="F424" t="s">
        <v>3482</v>
      </c>
      <c r="G424" t="s">
        <v>3482</v>
      </c>
      <c r="H424" t="s">
        <v>3483</v>
      </c>
      <c r="I424" s="5" t="str" cm="1">
        <f t="array" ref="I424">IF(SUM(COUNTIF(Text_Preprocessing__224[[#This Row],[full_text]],{"*makan siang gratis*";"*MBG*";"*makan gratis*";"*makan bergizi gratis*";"*makangratis*";"*makanan gratis*"})),"Relevan","Tidak Relevan")</f>
        <v>Relevan</v>
      </c>
    </row>
    <row r="425" spans="1:10" x14ac:dyDescent="0.35">
      <c r="A425">
        <f t="shared" si="6"/>
        <v>424</v>
      </c>
      <c r="B425" t="s">
        <v>3484</v>
      </c>
      <c r="C425" t="s">
        <v>748</v>
      </c>
      <c r="D425" t="s">
        <v>3485</v>
      </c>
      <c r="E425" t="s">
        <v>2069</v>
      </c>
      <c r="F425" t="s">
        <v>3486</v>
      </c>
      <c r="G425" t="s">
        <v>3487</v>
      </c>
      <c r="H425" t="s">
        <v>3488</v>
      </c>
      <c r="I425" s="5" t="str" cm="1">
        <f t="array" ref="I425">IF(SUM(COUNTIF(Text_Preprocessing__224[[#This Row],[full_text]],{"*makan siang gratis*";"*MBG*";"*makan gratis*";"*makan bergizi gratis*";"*makangratis*";"*makanan gratis*"})),"Relevan","Tidak Relevan")</f>
        <v>Relevan</v>
      </c>
    </row>
    <row r="426" spans="1:10" x14ac:dyDescent="0.35">
      <c r="A426">
        <f t="shared" si="6"/>
        <v>425</v>
      </c>
      <c r="B426" t="s">
        <v>3489</v>
      </c>
      <c r="C426" t="s">
        <v>750</v>
      </c>
      <c r="D426" t="s">
        <v>3490</v>
      </c>
      <c r="E426" t="s">
        <v>1990</v>
      </c>
      <c r="F426" t="s">
        <v>3491</v>
      </c>
      <c r="G426" t="s">
        <v>3491</v>
      </c>
      <c r="H426" t="s">
        <v>3492</v>
      </c>
      <c r="I426" s="5" t="str" cm="1">
        <f t="array" ref="I426">IF(SUM(COUNTIF(Text_Preprocessing__224[[#This Row],[full_text]],{"*makan siang gratis*";"*MBG*";"*makan gratis*";"*makan bergizi gratis*";"*makangratis*";"*makanan gratis*"})),"Relevan","Tidak Relevan")</f>
        <v>Relevan</v>
      </c>
    </row>
    <row r="427" spans="1:10" x14ac:dyDescent="0.35">
      <c r="A427">
        <f t="shared" si="6"/>
        <v>426</v>
      </c>
      <c r="B427" t="s">
        <v>3493</v>
      </c>
      <c r="C427" t="s">
        <v>752</v>
      </c>
      <c r="D427" t="s">
        <v>3494</v>
      </c>
      <c r="E427" t="s">
        <v>2229</v>
      </c>
      <c r="F427" t="s">
        <v>3495</v>
      </c>
      <c r="G427" t="s">
        <v>3495</v>
      </c>
      <c r="H427" t="s">
        <v>3496</v>
      </c>
      <c r="I427" s="5" t="str" cm="1">
        <f t="array" ref="I427">IF(SUM(COUNTIF(Text_Preprocessing__224[[#This Row],[full_text]],{"*makan siang gratis*";"*MBG*";"*makan gratis*";"*makan bergizi gratis*";"*makangratis*";"*makanan gratis*"})),"Relevan","Tidak Relevan")</f>
        <v>Tidak Relevan</v>
      </c>
      <c r="J427" t="s">
        <v>3622</v>
      </c>
    </row>
    <row r="428" spans="1:10" x14ac:dyDescent="0.35">
      <c r="A428">
        <f t="shared" si="6"/>
        <v>427</v>
      </c>
      <c r="B428" t="s">
        <v>3497</v>
      </c>
      <c r="C428" t="s">
        <v>754</v>
      </c>
      <c r="D428" t="s">
        <v>3498</v>
      </c>
      <c r="E428" t="s">
        <v>2609</v>
      </c>
      <c r="F428" t="s">
        <v>3499</v>
      </c>
      <c r="G428" t="s">
        <v>3500</v>
      </c>
      <c r="H428" t="s">
        <v>3501</v>
      </c>
      <c r="I428" s="5" t="str" cm="1">
        <f t="array" ref="I428">IF(SUM(COUNTIF(Text_Preprocessing__224[[#This Row],[full_text]],{"*makan siang gratis*";"*MBG*";"*makan gratis*";"*makan bergizi gratis*";"*makangratis*";"*makanan gratis*"})),"Relevan","Tidak Relevan")</f>
        <v>Relevan</v>
      </c>
    </row>
    <row r="429" spans="1:10" x14ac:dyDescent="0.35">
      <c r="A429">
        <f t="shared" si="6"/>
        <v>428</v>
      </c>
      <c r="B429" t="s">
        <v>3502</v>
      </c>
      <c r="C429" t="s">
        <v>754</v>
      </c>
      <c r="D429" t="s">
        <v>3503</v>
      </c>
      <c r="E429" t="s">
        <v>2299</v>
      </c>
      <c r="F429" t="s">
        <v>3504</v>
      </c>
      <c r="G429" t="s">
        <v>3505</v>
      </c>
      <c r="H429" t="s">
        <v>3506</v>
      </c>
      <c r="I429" s="5" t="str" cm="1">
        <f t="array" ref="I429">IF(SUM(COUNTIF(Text_Preprocessing__224[[#This Row],[full_text]],{"*makan siang gratis*";"*MBG*";"*makan gratis*";"*makan bergizi gratis*";"*makangratis*";"*makanan gratis*"})),"Relevan","Tidak Relevan")</f>
        <v>Tidak Relevan</v>
      </c>
      <c r="J429" t="s">
        <v>3622</v>
      </c>
    </row>
    <row r="430" spans="1:10" x14ac:dyDescent="0.35">
      <c r="A430">
        <f t="shared" si="6"/>
        <v>429</v>
      </c>
      <c r="B430" t="s">
        <v>3507</v>
      </c>
      <c r="C430" t="s">
        <v>757</v>
      </c>
      <c r="D430" t="s">
        <v>3508</v>
      </c>
      <c r="E430" t="s">
        <v>2782</v>
      </c>
      <c r="F430" t="s">
        <v>3509</v>
      </c>
      <c r="G430" t="s">
        <v>3510</v>
      </c>
      <c r="H430" t="s">
        <v>3511</v>
      </c>
      <c r="I430" s="5" t="str" cm="1">
        <f t="array" ref="I430">IF(SUM(COUNTIF(Text_Preprocessing__224[[#This Row],[full_text]],{"*makan siang gratis*";"*MBG*";"*makan gratis*";"*makan bergizi gratis*";"*makangratis*";"*makanan gratis*"})),"Relevan","Tidak Relevan")</f>
        <v>Relevan</v>
      </c>
    </row>
    <row r="431" spans="1:10" x14ac:dyDescent="0.35">
      <c r="A431">
        <f t="shared" si="6"/>
        <v>430</v>
      </c>
      <c r="B431" t="s">
        <v>3512</v>
      </c>
      <c r="C431" t="s">
        <v>442</v>
      </c>
      <c r="D431" t="s">
        <v>3513</v>
      </c>
      <c r="E431" t="s">
        <v>1652</v>
      </c>
      <c r="F431" t="s">
        <v>3514</v>
      </c>
      <c r="G431" t="s">
        <v>3514</v>
      </c>
      <c r="H431" t="s">
        <v>3515</v>
      </c>
      <c r="I431" s="5" t="str" cm="1">
        <f t="array" ref="I431">IF(SUM(COUNTIF(Text_Preprocessing__224[[#This Row],[full_text]],{"*makan siang gratis*";"*MBG*";"*makan gratis*";"*makan bergizi gratis*";"*makangratis*";"*makanan gratis*"})),"Relevan","Tidak Relevan")</f>
        <v>Relevan</v>
      </c>
    </row>
    <row r="432" spans="1:10" x14ac:dyDescent="0.35">
      <c r="A432">
        <f t="shared" si="6"/>
        <v>431</v>
      </c>
      <c r="B432" t="s">
        <v>3516</v>
      </c>
      <c r="C432" t="s">
        <v>760</v>
      </c>
      <c r="D432" t="s">
        <v>3517</v>
      </c>
      <c r="E432" t="s">
        <v>1624</v>
      </c>
      <c r="F432" t="s">
        <v>3518</v>
      </c>
      <c r="G432" t="s">
        <v>3519</v>
      </c>
      <c r="H432" t="s">
        <v>3520</v>
      </c>
      <c r="I432" s="5" t="str" cm="1">
        <f t="array" ref="I432">IF(SUM(COUNTIF(Text_Preprocessing__224[[#This Row],[full_text]],{"*makan siang gratis*";"*MBG*";"*makan gratis*";"*makan bergizi gratis*";"*makangratis*";"*makanan gratis*"})),"Relevan","Tidak Relevan")</f>
        <v>Relevan</v>
      </c>
    </row>
    <row r="433" spans="1:10" x14ac:dyDescent="0.35">
      <c r="A433">
        <f t="shared" si="6"/>
        <v>432</v>
      </c>
      <c r="B433" t="s">
        <v>3521</v>
      </c>
      <c r="C433" t="s">
        <v>762</v>
      </c>
      <c r="D433" t="s">
        <v>3522</v>
      </c>
      <c r="E433" t="s">
        <v>2272</v>
      </c>
      <c r="F433" t="s">
        <v>3523</v>
      </c>
      <c r="G433" t="s">
        <v>3523</v>
      </c>
      <c r="H433" t="s">
        <v>3524</v>
      </c>
      <c r="I433" s="5" t="str" cm="1">
        <f t="array" ref="I433">IF(SUM(COUNTIF(Text_Preprocessing__224[[#This Row],[full_text]],{"*makan siang gratis*";"*MBG*";"*makan gratis*";"*makan bergizi gratis*";"*makangratis*";"*makanan gratis*"})),"Relevan","Tidak Relevan")</f>
        <v>Relevan</v>
      </c>
    </row>
    <row r="434" spans="1:10" x14ac:dyDescent="0.35">
      <c r="A434">
        <f t="shared" si="6"/>
        <v>433</v>
      </c>
      <c r="B434" t="s">
        <v>3525</v>
      </c>
      <c r="C434" t="s">
        <v>764</v>
      </c>
      <c r="D434" t="s">
        <v>3526</v>
      </c>
      <c r="E434" t="s">
        <v>1707</v>
      </c>
      <c r="F434" t="s">
        <v>3527</v>
      </c>
      <c r="G434" t="s">
        <v>3527</v>
      </c>
      <c r="H434" t="s">
        <v>3528</v>
      </c>
      <c r="I434" s="5" t="str" cm="1">
        <f t="array" ref="I434">IF(SUM(COUNTIF(Text_Preprocessing__224[[#This Row],[full_text]],{"*makan siang gratis*";"*MBG*";"*makan gratis*";"*makan bergizi gratis*";"*makangratis*";"*makanan gratis*"})),"Relevan","Tidak Relevan")</f>
        <v>Relevan</v>
      </c>
    </row>
    <row r="435" spans="1:10" x14ac:dyDescent="0.35">
      <c r="A435">
        <f t="shared" si="6"/>
        <v>434</v>
      </c>
      <c r="B435" t="s">
        <v>3529</v>
      </c>
      <c r="C435" t="s">
        <v>766</v>
      </c>
      <c r="D435" t="s">
        <v>3530</v>
      </c>
      <c r="E435" t="s">
        <v>1758</v>
      </c>
      <c r="F435" t="s">
        <v>3531</v>
      </c>
      <c r="G435" t="s">
        <v>3531</v>
      </c>
      <c r="H435" t="s">
        <v>3532</v>
      </c>
      <c r="I435" s="5" t="str" cm="1">
        <f t="array" ref="I435">IF(SUM(COUNTIF(Text_Preprocessing__224[[#This Row],[full_text]],{"*makan siang gratis*";"*MBG*";"*makan gratis*";"*makan bergizi gratis*";"*makangratis*";"*makanan gratis*"})),"Relevan","Tidak Relevan")</f>
        <v>Relevan</v>
      </c>
    </row>
    <row r="436" spans="1:10" x14ac:dyDescent="0.35">
      <c r="A436">
        <f t="shared" si="6"/>
        <v>435</v>
      </c>
      <c r="B436" t="s">
        <v>3533</v>
      </c>
      <c r="C436" t="s">
        <v>561</v>
      </c>
      <c r="D436" t="s">
        <v>3534</v>
      </c>
      <c r="E436" t="s">
        <v>2335</v>
      </c>
      <c r="F436" t="s">
        <v>3535</v>
      </c>
      <c r="G436" t="s">
        <v>3535</v>
      </c>
      <c r="H436" t="s">
        <v>3536</v>
      </c>
      <c r="I436" s="5" t="str" cm="1">
        <f t="array" ref="I436">IF(SUM(COUNTIF(Text_Preprocessing__224[[#This Row],[full_text]],{"*makan siang gratis*";"*MBG*";"*makan gratis*";"*makan bergizi gratis*";"*makangratis*";"*makanan gratis*"})),"Relevan","Tidak Relevan")</f>
        <v>Relevan</v>
      </c>
    </row>
    <row r="437" spans="1:10" x14ac:dyDescent="0.35">
      <c r="A437">
        <f t="shared" si="6"/>
        <v>436</v>
      </c>
      <c r="B437" t="s">
        <v>3537</v>
      </c>
      <c r="C437" t="s">
        <v>76</v>
      </c>
      <c r="D437" t="s">
        <v>3538</v>
      </c>
      <c r="E437" t="s">
        <v>3539</v>
      </c>
      <c r="F437" t="s">
        <v>3540</v>
      </c>
      <c r="G437" t="s">
        <v>3540</v>
      </c>
      <c r="H437" t="s">
        <v>3541</v>
      </c>
      <c r="I437" s="5" t="str" cm="1">
        <f t="array" ref="I437">IF(SUM(COUNTIF(Text_Preprocessing__224[[#This Row],[full_text]],{"*makan siang gratis*";"*MBG*";"*makan gratis*";"*makan bergizi gratis*";"*makangratis*";"*makanan gratis*"})),"Relevan","Tidak Relevan")</f>
        <v>Relevan</v>
      </c>
    </row>
    <row r="438" spans="1:10" x14ac:dyDescent="0.35">
      <c r="A438">
        <f t="shared" si="6"/>
        <v>437</v>
      </c>
      <c r="B438" t="s">
        <v>3542</v>
      </c>
      <c r="C438" t="s">
        <v>772</v>
      </c>
      <c r="D438" t="s">
        <v>3543</v>
      </c>
      <c r="E438" t="s">
        <v>1888</v>
      </c>
      <c r="F438" t="s">
        <v>3544</v>
      </c>
      <c r="G438" t="s">
        <v>3544</v>
      </c>
      <c r="H438" t="s">
        <v>3545</v>
      </c>
      <c r="I438" s="5" t="str" cm="1">
        <f t="array" ref="I438">IF(SUM(COUNTIF(Text_Preprocessing__224[[#This Row],[full_text]],{"*makan siang gratis*";"*MBG*";"*makan gratis*";"*makan bergizi gratis*";"*makangratis*";"*makanan gratis*"})),"Relevan","Tidak Relevan")</f>
        <v>Relevan</v>
      </c>
    </row>
    <row r="439" spans="1:10" x14ac:dyDescent="0.35">
      <c r="A439">
        <f t="shared" si="6"/>
        <v>438</v>
      </c>
      <c r="B439" t="s">
        <v>3546</v>
      </c>
      <c r="C439" t="s">
        <v>772</v>
      </c>
      <c r="D439" t="s">
        <v>3547</v>
      </c>
      <c r="E439" t="s">
        <v>3548</v>
      </c>
      <c r="F439" t="s">
        <v>3549</v>
      </c>
      <c r="G439" t="s">
        <v>3549</v>
      </c>
      <c r="H439" t="s">
        <v>3550</v>
      </c>
      <c r="I439" s="5" t="str" cm="1">
        <f t="array" ref="I439">IF(SUM(COUNTIF(Text_Preprocessing__224[[#This Row],[full_text]],{"*makan siang gratis*";"*MBG*";"*makan gratis*";"*makan bergizi gratis*";"*makangratis*";"*makanan gratis*"})),"Relevan","Tidak Relevan")</f>
        <v>Relevan</v>
      </c>
    </row>
    <row r="440" spans="1:10" x14ac:dyDescent="0.35">
      <c r="A440">
        <f t="shared" si="6"/>
        <v>439</v>
      </c>
      <c r="B440" t="s">
        <v>3551</v>
      </c>
      <c r="C440" t="s">
        <v>772</v>
      </c>
      <c r="D440" t="s">
        <v>3552</v>
      </c>
      <c r="E440" t="s">
        <v>2234</v>
      </c>
      <c r="F440" t="s">
        <v>3553</v>
      </c>
      <c r="G440" t="s">
        <v>3553</v>
      </c>
      <c r="H440" t="s">
        <v>3554</v>
      </c>
      <c r="I440" s="5" t="str" cm="1">
        <f t="array" ref="I440">IF(SUM(COUNTIF(Text_Preprocessing__224[[#This Row],[full_text]],{"*makan siang gratis*";"*MBG*";"*makan gratis*";"*makan bergizi gratis*";"*makangratis*";"*makanan gratis*"})),"Relevan","Tidak Relevan")</f>
        <v>Relevan</v>
      </c>
    </row>
    <row r="441" spans="1:10" x14ac:dyDescent="0.35">
      <c r="A441">
        <f t="shared" si="6"/>
        <v>440</v>
      </c>
      <c r="B441" t="s">
        <v>3555</v>
      </c>
      <c r="C441" t="s">
        <v>772</v>
      </c>
      <c r="D441" t="s">
        <v>3556</v>
      </c>
      <c r="E441" t="s">
        <v>1844</v>
      </c>
      <c r="F441" t="s">
        <v>3557</v>
      </c>
      <c r="G441" t="s">
        <v>3557</v>
      </c>
      <c r="H441" t="s">
        <v>3558</v>
      </c>
      <c r="I441" s="5" t="str" cm="1">
        <f t="array" ref="I441">IF(SUM(COUNTIF(Text_Preprocessing__224[[#This Row],[full_text]],{"*makan siang gratis*";"*MBG*";"*makan gratis*";"*makan bergizi gratis*";"*makangratis*";"*makanan gratis*"})),"Relevan","Tidak Relevan")</f>
        <v>Relevan</v>
      </c>
    </row>
    <row r="442" spans="1:10" x14ac:dyDescent="0.35">
      <c r="A442">
        <f t="shared" si="6"/>
        <v>441</v>
      </c>
      <c r="B442" t="s">
        <v>3559</v>
      </c>
      <c r="C442" t="s">
        <v>772</v>
      </c>
      <c r="D442" t="s">
        <v>3560</v>
      </c>
      <c r="E442" t="s">
        <v>3561</v>
      </c>
      <c r="F442" t="s">
        <v>3562</v>
      </c>
      <c r="G442" t="s">
        <v>3562</v>
      </c>
      <c r="H442" t="s">
        <v>3563</v>
      </c>
      <c r="I442" s="5" t="str" cm="1">
        <f t="array" ref="I442">IF(SUM(COUNTIF(Text_Preprocessing__224[[#This Row],[full_text]],{"*makan siang gratis*";"*MBG*";"*makan gratis*";"*makan bergizi gratis*";"*makangratis*";"*makanan gratis*"})),"Relevan","Tidak Relevan")</f>
        <v>Relevan</v>
      </c>
    </row>
    <row r="443" spans="1:10" x14ac:dyDescent="0.35">
      <c r="A443">
        <f t="shared" si="6"/>
        <v>442</v>
      </c>
      <c r="B443" t="s">
        <v>3564</v>
      </c>
      <c r="C443" t="s">
        <v>594</v>
      </c>
      <c r="D443" t="s">
        <v>3565</v>
      </c>
      <c r="E443" t="s">
        <v>2977</v>
      </c>
      <c r="F443" t="s">
        <v>3566</v>
      </c>
      <c r="G443" t="s">
        <v>3566</v>
      </c>
      <c r="H443" t="s">
        <v>3567</v>
      </c>
      <c r="I443" s="5" t="str" cm="1">
        <f t="array" ref="I443">IF(SUM(COUNTIF(Text_Preprocessing__224[[#This Row],[full_text]],{"*makan siang gratis*";"*MBG*";"*makan gratis*";"*makan bergizi gratis*";"*makangratis*";"*makanan gratis*"})),"Relevan","Tidak Relevan")</f>
        <v>Relevan</v>
      </c>
    </row>
    <row r="444" spans="1:10" x14ac:dyDescent="0.35">
      <c r="A444">
        <f t="shared" si="6"/>
        <v>443</v>
      </c>
      <c r="B444" t="s">
        <v>3568</v>
      </c>
      <c r="C444" t="s">
        <v>781</v>
      </c>
      <c r="D444" t="s">
        <v>3569</v>
      </c>
      <c r="E444" t="s">
        <v>1618</v>
      </c>
      <c r="F444" t="s">
        <v>3570</v>
      </c>
      <c r="G444" t="s">
        <v>3571</v>
      </c>
      <c r="H444" t="s">
        <v>3572</v>
      </c>
      <c r="I444" s="5" t="str" cm="1">
        <f t="array" ref="I444">IF(SUM(COUNTIF(Text_Preprocessing__224[[#This Row],[full_text]],{"*makan siang gratis*";"*MBG*";"*makan gratis*";"*makan bergizi gratis*";"*makangratis*";"*makanan gratis*"})),"Relevan","Tidak Relevan")</f>
        <v>Tidak Relevan</v>
      </c>
      <c r="J444" t="s">
        <v>3622</v>
      </c>
    </row>
    <row r="445" spans="1:10" x14ac:dyDescent="0.35">
      <c r="A445">
        <f t="shared" si="6"/>
        <v>444</v>
      </c>
      <c r="B445" t="s">
        <v>3573</v>
      </c>
      <c r="C445" t="s">
        <v>783</v>
      </c>
      <c r="D445" t="s">
        <v>3574</v>
      </c>
      <c r="E445" t="s">
        <v>3575</v>
      </c>
      <c r="F445" t="s">
        <v>3576</v>
      </c>
      <c r="G445" t="s">
        <v>3576</v>
      </c>
      <c r="H445" t="s">
        <v>3577</v>
      </c>
      <c r="I445" s="5" t="str" cm="1">
        <f t="array" ref="I445">IF(SUM(COUNTIF(Text_Preprocessing__224[[#This Row],[full_text]],{"*makan siang gratis*";"*MBG*";"*makan gratis*";"*makan bergizi gratis*";"*makangratis*";"*makanan gratis*"})),"Relevan","Tidak Relevan")</f>
        <v>Relevan</v>
      </c>
    </row>
    <row r="446" spans="1:10" x14ac:dyDescent="0.35">
      <c r="A446">
        <f t="shared" si="6"/>
        <v>445</v>
      </c>
      <c r="B446" t="s">
        <v>3578</v>
      </c>
      <c r="C446" t="s">
        <v>785</v>
      </c>
      <c r="D446" t="s">
        <v>3579</v>
      </c>
      <c r="E446" t="s">
        <v>2229</v>
      </c>
      <c r="F446" t="s">
        <v>3580</v>
      </c>
      <c r="G446" t="s">
        <v>3580</v>
      </c>
      <c r="H446" t="s">
        <v>3581</v>
      </c>
      <c r="I446" s="5" t="str" cm="1">
        <f t="array" ref="I446">IF(SUM(COUNTIF(Text_Preprocessing__224[[#This Row],[full_text]],{"*makan siang gratis*";"*MBG*";"*makan gratis*";"*makan bergizi gratis*";"*makangratis*";"*makanan gratis*"})),"Relevan","Tidak Relevan")</f>
        <v>Relevan</v>
      </c>
    </row>
    <row r="447" spans="1:10" x14ac:dyDescent="0.35">
      <c r="A447">
        <f t="shared" si="6"/>
        <v>446</v>
      </c>
      <c r="B447" t="s">
        <v>3582</v>
      </c>
      <c r="C447" t="s">
        <v>785</v>
      </c>
      <c r="D447" t="s">
        <v>3583</v>
      </c>
      <c r="E447" t="s">
        <v>1929</v>
      </c>
      <c r="F447" t="s">
        <v>3584</v>
      </c>
      <c r="G447" t="s">
        <v>3584</v>
      </c>
      <c r="H447" t="s">
        <v>3585</v>
      </c>
      <c r="I447" s="5" t="str" cm="1">
        <f t="array" ref="I447">IF(SUM(COUNTIF(Text_Preprocessing__224[[#This Row],[full_text]],{"*makan siang gratis*";"*MBG*";"*makan gratis*";"*makan bergizi gratis*";"*makangratis*";"*makanan gratis*"})),"Relevan","Tidak Relevan")</f>
        <v>Relevan</v>
      </c>
    </row>
    <row r="448" spans="1:10" x14ac:dyDescent="0.35">
      <c r="A448">
        <f t="shared" si="6"/>
        <v>447</v>
      </c>
      <c r="B448" t="s">
        <v>3586</v>
      </c>
      <c r="C448" t="s">
        <v>788</v>
      </c>
      <c r="D448" t="s">
        <v>3587</v>
      </c>
      <c r="E448" t="s">
        <v>3588</v>
      </c>
      <c r="F448" t="s">
        <v>3589</v>
      </c>
      <c r="G448" t="s">
        <v>3590</v>
      </c>
      <c r="H448" t="s">
        <v>3590</v>
      </c>
      <c r="I448" s="5" t="str" cm="1">
        <f t="array" ref="I448">IF(SUM(COUNTIF(Text_Preprocessing__224[[#This Row],[full_text]],{"*makan siang gratis*";"*MBG*";"*makan gratis*";"*makan bergizi gratis*";"*makangratis*";"*makanan gratis*"})),"Relevan","Tidak Relevan")</f>
        <v>Relevan</v>
      </c>
    </row>
    <row r="449" spans="1:9" x14ac:dyDescent="0.35">
      <c r="A449">
        <f t="shared" si="6"/>
        <v>448</v>
      </c>
      <c r="B449" t="s">
        <v>3591</v>
      </c>
      <c r="C449" t="s">
        <v>790</v>
      </c>
      <c r="D449" t="s">
        <v>3592</v>
      </c>
      <c r="E449" t="s">
        <v>3593</v>
      </c>
      <c r="F449" t="s">
        <v>3594</v>
      </c>
      <c r="G449" t="s">
        <v>3595</v>
      </c>
      <c r="H449" t="s">
        <v>3596</v>
      </c>
      <c r="I449" s="5" t="str" cm="1">
        <f t="array" ref="I449">IF(SUM(COUNTIF(Text_Preprocessing__224[[#This Row],[full_text]],{"*makan siang gratis*";"*MBG*";"*makan gratis*";"*makan bergizi gratis*";"*makangratis*";"*makanan gratis*"})),"Relevan","Tidak Relevan")</f>
        <v>Relevan</v>
      </c>
    </row>
    <row r="450" spans="1:9" x14ac:dyDescent="0.35">
      <c r="A450">
        <f t="shared" si="6"/>
        <v>449</v>
      </c>
      <c r="B450" t="s">
        <v>3597</v>
      </c>
      <c r="C450" t="s">
        <v>792</v>
      </c>
      <c r="D450" t="s">
        <v>3598</v>
      </c>
      <c r="E450" t="s">
        <v>1929</v>
      </c>
      <c r="F450" t="s">
        <v>3599</v>
      </c>
      <c r="G450" t="s">
        <v>3599</v>
      </c>
      <c r="H450" t="s">
        <v>3600</v>
      </c>
      <c r="I450" s="5" t="str" cm="1">
        <f t="array" ref="I450">IF(SUM(COUNTIF(Text_Preprocessing__224[[#This Row],[full_text]],{"*makan siang gratis*";"*MBG*";"*makan gratis*";"*makan bergizi gratis*";"*makangratis*";"*makanan gratis*"})),"Relevan","Tidak Relevan")</f>
        <v>Relevan</v>
      </c>
    </row>
    <row r="451" spans="1:9" x14ac:dyDescent="0.35">
      <c r="A451">
        <f t="shared" si="6"/>
        <v>450</v>
      </c>
      <c r="B451" t="s">
        <v>3601</v>
      </c>
      <c r="C451" t="s">
        <v>794</v>
      </c>
      <c r="D451" t="s">
        <v>3602</v>
      </c>
      <c r="E451" t="s">
        <v>2186</v>
      </c>
      <c r="F451" t="s">
        <v>3603</v>
      </c>
      <c r="G451" t="s">
        <v>3603</v>
      </c>
      <c r="H451" t="s">
        <v>3604</v>
      </c>
      <c r="I451" s="5" t="str" cm="1">
        <f t="array" ref="I451">IF(SUM(COUNTIF(Text_Preprocessing__224[[#This Row],[full_text]],{"*makan siang gratis*";"*MBG*";"*makan gratis*";"*makan bergizi gratis*";"*makangratis*";"*makanan gratis*"})),"Relevan","Tidak Relevan")</f>
        <v>Relevan</v>
      </c>
    </row>
    <row r="452" spans="1:9" x14ac:dyDescent="0.35">
      <c r="A452">
        <f t="shared" ref="A452:A455" si="7">SUM(A451+1)</f>
        <v>451</v>
      </c>
      <c r="B452" t="s">
        <v>3605</v>
      </c>
      <c r="C452" t="s">
        <v>796</v>
      </c>
      <c r="D452" t="s">
        <v>3606</v>
      </c>
      <c r="E452" t="s">
        <v>1741</v>
      </c>
      <c r="F452" t="s">
        <v>3607</v>
      </c>
      <c r="G452" t="s">
        <v>3607</v>
      </c>
      <c r="H452" t="s">
        <v>3608</v>
      </c>
      <c r="I452" s="5" t="str" cm="1">
        <f t="array" ref="I452">IF(SUM(COUNTIF(Text_Preprocessing__224[[#This Row],[full_text]],{"*makan siang gratis*";"*MBG*";"*makan gratis*";"*makan bergizi gratis*";"*makangratis*";"*makanan gratis*"})),"Relevan","Tidak Relevan")</f>
        <v>Relevan</v>
      </c>
    </row>
    <row r="453" spans="1:9" x14ac:dyDescent="0.35">
      <c r="A453">
        <f t="shared" si="7"/>
        <v>452</v>
      </c>
      <c r="B453" t="s">
        <v>3609</v>
      </c>
      <c r="C453" t="s">
        <v>798</v>
      </c>
      <c r="D453" t="s">
        <v>3610</v>
      </c>
      <c r="E453" t="s">
        <v>2604</v>
      </c>
      <c r="F453" t="s">
        <v>3611</v>
      </c>
      <c r="G453" t="s">
        <v>3611</v>
      </c>
      <c r="H453" t="s">
        <v>3612</v>
      </c>
      <c r="I453" s="5" t="str" cm="1">
        <f t="array" ref="I453">IF(SUM(COUNTIF(Text_Preprocessing__224[[#This Row],[full_text]],{"*makan siang gratis*";"*MBG*";"*makan gratis*";"*makan bergizi gratis*";"*makangratis*";"*makanan gratis*"})),"Relevan","Tidak Relevan")</f>
        <v>Relevan</v>
      </c>
    </row>
    <row r="454" spans="1:9" x14ac:dyDescent="0.35">
      <c r="A454">
        <f t="shared" si="7"/>
        <v>453</v>
      </c>
      <c r="B454" t="s">
        <v>3613</v>
      </c>
      <c r="C454" t="s">
        <v>798</v>
      </c>
      <c r="D454" t="s">
        <v>3614</v>
      </c>
      <c r="E454" t="s">
        <v>1735</v>
      </c>
      <c r="F454" t="s">
        <v>3615</v>
      </c>
      <c r="G454" t="s">
        <v>3615</v>
      </c>
      <c r="H454" t="s">
        <v>3616</v>
      </c>
      <c r="I454" s="5" t="str" cm="1">
        <f t="array" ref="I454">IF(SUM(COUNTIF(Text_Preprocessing__224[[#This Row],[full_text]],{"*makan siang gratis*";"*MBG*";"*makan gratis*";"*makan bergizi gratis*";"*makangratis*";"*makanan gratis*"})),"Relevan","Tidak Relevan")</f>
        <v>Relevan</v>
      </c>
    </row>
    <row r="455" spans="1:9" x14ac:dyDescent="0.35">
      <c r="A455">
        <f t="shared" si="7"/>
        <v>454</v>
      </c>
      <c r="B455" t="s">
        <v>3617</v>
      </c>
      <c r="C455" t="s">
        <v>801</v>
      </c>
      <c r="D455" t="s">
        <v>3618</v>
      </c>
      <c r="E455" t="s">
        <v>1785</v>
      </c>
      <c r="F455" t="s">
        <v>3619</v>
      </c>
      <c r="G455" t="s">
        <v>3619</v>
      </c>
      <c r="H455" t="s">
        <v>3620</v>
      </c>
      <c r="I455" s="5" t="str" cm="1">
        <f t="array" ref="I455">IF(SUM(COUNTIF(Text_Preprocessing__224[[#This Row],[full_text]],{"*makan siang gratis*";"*MBG*";"*makan gratis*";"*makan bergizi gratis*";"*makangratis*";"*makanan gratis*"})),"Relevan","Tidak Relevan")</f>
        <v>Relevan</v>
      </c>
    </row>
  </sheetData>
  <conditionalFormatting sqref="B2:B455">
    <cfRule type="duplicateValues" dxfId="9" priority="1"/>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9CD2E-60BF-4DF7-9442-A13FF67DEFEC}">
  <dimension ref="A1:Q452"/>
  <sheetViews>
    <sheetView topLeftCell="A416" workbookViewId="0">
      <selection activeCell="J2" sqref="J2"/>
    </sheetView>
  </sheetViews>
  <sheetFormatPr defaultRowHeight="14.5" x14ac:dyDescent="0.35"/>
  <cols>
    <col min="1" max="1" width="10.54296875" bestFit="1" customWidth="1"/>
    <col min="2" max="2" width="5.453125" bestFit="1" customWidth="1"/>
    <col min="3" max="3" width="80.7265625" bestFit="1" customWidth="1"/>
    <col min="4" max="4" width="17.1796875" bestFit="1" customWidth="1"/>
    <col min="5" max="5" width="80.7265625" bestFit="1" customWidth="1"/>
    <col min="6" max="6" width="38.90625" bestFit="1" customWidth="1"/>
    <col min="7" max="9" width="80.7265625" bestFit="1" customWidth="1"/>
    <col min="10" max="10" width="12.26953125" bestFit="1" customWidth="1"/>
    <col min="11" max="11" width="24.1796875" bestFit="1" customWidth="1"/>
  </cols>
  <sheetData>
    <row r="1" spans="1:17" x14ac:dyDescent="0.35">
      <c r="A1" t="s">
        <v>3635</v>
      </c>
      <c r="B1" t="s">
        <v>0</v>
      </c>
      <c r="C1" t="s">
        <v>1</v>
      </c>
      <c r="D1" t="s">
        <v>2</v>
      </c>
      <c r="E1" t="s">
        <v>1589</v>
      </c>
      <c r="F1" t="s">
        <v>1590</v>
      </c>
      <c r="G1" t="s">
        <v>1591</v>
      </c>
      <c r="H1" t="s">
        <v>1592</v>
      </c>
      <c r="I1" t="s">
        <v>1593</v>
      </c>
      <c r="J1" t="s">
        <v>1588</v>
      </c>
      <c r="K1" t="s">
        <v>3621</v>
      </c>
    </row>
    <row r="2" spans="1:17" x14ac:dyDescent="0.35">
      <c r="A2">
        <v>1</v>
      </c>
      <c r="B2">
        <v>1</v>
      </c>
      <c r="C2" t="s">
        <v>1594</v>
      </c>
      <c r="D2" t="s">
        <v>4</v>
      </c>
      <c r="E2" t="s">
        <v>1595</v>
      </c>
      <c r="F2" t="s">
        <v>1596</v>
      </c>
      <c r="G2" t="s">
        <v>1597</v>
      </c>
      <c r="H2" t="s">
        <v>1597</v>
      </c>
      <c r="I2" t="s">
        <v>1598</v>
      </c>
      <c r="J2" s="5" t="str" cm="1">
        <f t="array" ref="J2">IF(SUM(COUNTIF(Text_Preprocessing__224[[#This Row],[full_text]],{"*makan siang gratis*";"*MBG*";"*makan gratis*";"*makan bergizi gratis*";"*makangratis*";"*makanan gratis*"})),"Relevan","Tidak Relevan")</f>
        <v>Tidak Relevan</v>
      </c>
      <c r="K2" s="4" t="s">
        <v>3623</v>
      </c>
    </row>
    <row r="3" spans="1:17" x14ac:dyDescent="0.35">
      <c r="A3">
        <f>SUM(A2+1)</f>
        <v>2</v>
      </c>
      <c r="B3">
        <v>2</v>
      </c>
      <c r="C3" t="s">
        <v>1599</v>
      </c>
      <c r="D3" t="s">
        <v>6</v>
      </c>
      <c r="E3" t="s">
        <v>1600</v>
      </c>
      <c r="F3" t="s">
        <v>1601</v>
      </c>
      <c r="G3" t="s">
        <v>1602</v>
      </c>
      <c r="H3" t="s">
        <v>3636</v>
      </c>
      <c r="I3" t="s">
        <v>3637</v>
      </c>
      <c r="J3" t="str" cm="1">
        <f t="array" ref="J3">IF(SUM(COUNTIF(Text_Preprocessing__224[[#This Row],[full_text]],{"*makan siang gratis*";"*MBG*";"*makan gratis*";"*makan bergizi gratis*";"*makangratis*";"*makanan gratis*"})),"Relevan","Tidak Relevan")</f>
        <v>Relevan</v>
      </c>
    </row>
    <row r="4" spans="1:17" x14ac:dyDescent="0.35">
      <c r="A4">
        <f t="shared" ref="A4:A67" si="0">SUM(A3+1)</f>
        <v>3</v>
      </c>
      <c r="B4">
        <v>3</v>
      </c>
      <c r="C4" t="s">
        <v>1605</v>
      </c>
      <c r="D4" t="s">
        <v>8</v>
      </c>
      <c r="E4" t="s">
        <v>1606</v>
      </c>
      <c r="F4" t="s">
        <v>1607</v>
      </c>
      <c r="G4" t="s">
        <v>1608</v>
      </c>
      <c r="H4" t="s">
        <v>1609</v>
      </c>
      <c r="I4" t="s">
        <v>1610</v>
      </c>
      <c r="J4" t="str" cm="1">
        <f t="array" ref="J4">IF(SUM(COUNTIF(Text_Preprocessing__224[[#This Row],[full_text]],{"*makan siang gratis*";"*MBG*";"*makan gratis*";"*makan bergizi gratis*";"*makangratis*";"*makanan gratis*"})),"Relevan","Tidak Relevan")</f>
        <v>Relevan</v>
      </c>
    </row>
    <row r="5" spans="1:17" x14ac:dyDescent="0.35">
      <c r="A5">
        <f t="shared" si="0"/>
        <v>4</v>
      </c>
      <c r="B5">
        <v>4</v>
      </c>
      <c r="C5" t="s">
        <v>1611</v>
      </c>
      <c r="D5" t="s">
        <v>10</v>
      </c>
      <c r="E5" t="s">
        <v>1612</v>
      </c>
      <c r="F5" t="s">
        <v>1613</v>
      </c>
      <c r="G5" t="s">
        <v>1614</v>
      </c>
      <c r="H5" t="s">
        <v>1614</v>
      </c>
      <c r="I5" t="s">
        <v>1615</v>
      </c>
      <c r="J5" t="str" cm="1">
        <f t="array" ref="J5">IF(SUM(COUNTIF(Text_Preprocessing__224[[#This Row],[full_text]],{"*makan siang gratis*";"*MBG*";"*makan gratis*";"*makan bergizi gratis*";"*makangratis*";"*makanan gratis*"})),"Relevan","Tidak Relevan")</f>
        <v>Relevan</v>
      </c>
    </row>
    <row r="6" spans="1:17" x14ac:dyDescent="0.35">
      <c r="A6">
        <f t="shared" si="0"/>
        <v>5</v>
      </c>
      <c r="B6">
        <v>5</v>
      </c>
      <c r="C6" t="s">
        <v>1616</v>
      </c>
      <c r="D6" t="s">
        <v>12</v>
      </c>
      <c r="E6" t="s">
        <v>1617</v>
      </c>
      <c r="F6" t="s">
        <v>1618</v>
      </c>
      <c r="G6" t="s">
        <v>1619</v>
      </c>
      <c r="H6" t="s">
        <v>3638</v>
      </c>
      <c r="I6" t="s">
        <v>3639</v>
      </c>
      <c r="J6" t="str" cm="1">
        <f t="array" ref="J6">IF(SUM(COUNTIF(Text_Preprocessing__224[[#This Row],[full_text]],{"*makan siang gratis*";"*MBG*";"*makan gratis*";"*makan bergizi gratis*";"*makangratis*";"*makanan gratis*"})),"Relevan","Tidak Relevan")</f>
        <v>Relevan</v>
      </c>
    </row>
    <row r="7" spans="1:17" x14ac:dyDescent="0.35">
      <c r="A7">
        <f t="shared" si="0"/>
        <v>6</v>
      </c>
      <c r="B7">
        <v>6</v>
      </c>
      <c r="C7" t="s">
        <v>1622</v>
      </c>
      <c r="D7" t="s">
        <v>14</v>
      </c>
      <c r="E7" t="s">
        <v>1623</v>
      </c>
      <c r="F7" t="s">
        <v>1624</v>
      </c>
      <c r="G7" t="s">
        <v>1625</v>
      </c>
      <c r="H7" t="s">
        <v>3640</v>
      </c>
      <c r="I7" t="s">
        <v>3641</v>
      </c>
      <c r="J7" t="str" cm="1">
        <f t="array" ref="J7">IF(SUM(COUNTIF(Text_Preprocessing__224[[#This Row],[full_text]],{"*makan siang gratis*";"*MBG*";"*makan gratis*";"*makan bergizi gratis*";"*makangratis*";"*makanan gratis*"})),"Relevan","Tidak Relevan")</f>
        <v>Relevan</v>
      </c>
      <c r="O7" t="s">
        <v>3622</v>
      </c>
      <c r="P7" t="s">
        <v>3623</v>
      </c>
    </row>
    <row r="8" spans="1:17" x14ac:dyDescent="0.35">
      <c r="A8">
        <f t="shared" si="0"/>
        <v>7</v>
      </c>
      <c r="B8">
        <v>7</v>
      </c>
      <c r="C8" t="s">
        <v>1627</v>
      </c>
      <c r="D8" t="s">
        <v>16</v>
      </c>
      <c r="E8" t="s">
        <v>1628</v>
      </c>
      <c r="F8" t="s">
        <v>1629</v>
      </c>
      <c r="G8" t="s">
        <v>1630</v>
      </c>
      <c r="H8" t="s">
        <v>1630</v>
      </c>
      <c r="I8" t="s">
        <v>1631</v>
      </c>
      <c r="J8" t="str" cm="1">
        <f t="array" ref="J8">IF(SUM(COUNTIF(Text_Preprocessing__224[[#This Row],[full_text]],{"*makan siang gratis*";"*MBG*";"*makan gratis*";"*makan bergizi gratis*";"*makangratis*";"*makanan gratis*"})),"Relevan","Tidak Relevan")</f>
        <v>Relevan</v>
      </c>
      <c r="N8" t="s">
        <v>3624</v>
      </c>
      <c r="O8">
        <f>COUNTIF($J$2:$J$452, "Relevan")</f>
        <v>418</v>
      </c>
      <c r="P8">
        <f>COUNTIF($J$2:$J$452, "Tidak Relevan")</f>
        <v>33</v>
      </c>
      <c r="Q8">
        <f>SUM(O8+P8)</f>
        <v>451</v>
      </c>
    </row>
    <row r="9" spans="1:17" x14ac:dyDescent="0.35">
      <c r="A9">
        <f t="shared" si="0"/>
        <v>8</v>
      </c>
      <c r="B9">
        <v>8</v>
      </c>
      <c r="C9" t="s">
        <v>1632</v>
      </c>
      <c r="D9" t="s">
        <v>18</v>
      </c>
      <c r="E9" t="s">
        <v>1633</v>
      </c>
      <c r="F9" t="s">
        <v>1634</v>
      </c>
      <c r="G9" t="s">
        <v>1635</v>
      </c>
      <c r="H9" t="s">
        <v>3642</v>
      </c>
      <c r="I9" t="s">
        <v>3643</v>
      </c>
      <c r="J9" t="str" cm="1">
        <f t="array" ref="J9">IF(SUM(COUNTIF(Text_Preprocessing__224[[#This Row],[full_text]],{"*makan siang gratis*";"*MBG*";"*makan gratis*";"*makan bergizi gratis*";"*makangratis*";"*makanan gratis*"})),"Relevan","Tidak Relevan")</f>
        <v>Tidak Relevan</v>
      </c>
      <c r="K9" t="s">
        <v>3622</v>
      </c>
      <c r="N9" t="s">
        <v>3625</v>
      </c>
      <c r="O9">
        <f>COUNTIF($K$2:$K452, "Relevan")</f>
        <v>32</v>
      </c>
      <c r="P9">
        <f>COUNTIF($K$2:$K452, "Tidak Relevan")</f>
        <v>3</v>
      </c>
    </row>
    <row r="10" spans="1:17" x14ac:dyDescent="0.35">
      <c r="A10">
        <f t="shared" si="0"/>
        <v>9</v>
      </c>
      <c r="B10">
        <v>9</v>
      </c>
      <c r="C10" t="s">
        <v>1638</v>
      </c>
      <c r="D10" t="s">
        <v>20</v>
      </c>
      <c r="E10" t="s">
        <v>1639</v>
      </c>
      <c r="F10" t="s">
        <v>1640</v>
      </c>
      <c r="G10" t="s">
        <v>1641</v>
      </c>
      <c r="H10" t="s">
        <v>1642</v>
      </c>
      <c r="I10" t="s">
        <v>1643</v>
      </c>
      <c r="J10" t="str" cm="1">
        <f t="array" ref="J10">IF(SUM(COUNTIF(Text_Preprocessing__224[[#This Row],[full_text]],{"*makan siang gratis*";"*MBG*";"*makan gratis*";"*makan bergizi gratis*";"*makangratis*";"*makanan gratis*"})),"Relevan","Tidak Relevan")</f>
        <v>Tidak Relevan</v>
      </c>
      <c r="K10" t="s">
        <v>3622</v>
      </c>
      <c r="N10" t="s">
        <v>3626</v>
      </c>
      <c r="O10">
        <f>SUM(O8:O9)</f>
        <v>450</v>
      </c>
      <c r="P10">
        <v>1</v>
      </c>
      <c r="Q10">
        <f>SUM(O10+P10)</f>
        <v>451</v>
      </c>
    </row>
    <row r="11" spans="1:17" x14ac:dyDescent="0.35">
      <c r="A11">
        <f t="shared" si="0"/>
        <v>10</v>
      </c>
      <c r="B11">
        <v>10</v>
      </c>
      <c r="C11" t="s">
        <v>1644</v>
      </c>
      <c r="D11" t="s">
        <v>22</v>
      </c>
      <c r="E11" t="s">
        <v>1645</v>
      </c>
      <c r="F11" t="s">
        <v>1646</v>
      </c>
      <c r="G11" t="s">
        <v>1647</v>
      </c>
      <c r="H11" t="s">
        <v>1648</v>
      </c>
      <c r="I11" t="s">
        <v>1649</v>
      </c>
      <c r="J11" t="str" cm="1">
        <f t="array" ref="J11">IF(SUM(COUNTIF(Text_Preprocessing__224[[#This Row],[full_text]],{"*makan siang gratis*";"*MBG*";"*makan gratis*";"*makan bergizi gratis*";"*makangratis*";"*makanan gratis*"})),"Relevan","Tidak Relevan")</f>
        <v>Relevan</v>
      </c>
    </row>
    <row r="12" spans="1:17" x14ac:dyDescent="0.35">
      <c r="A12">
        <f t="shared" si="0"/>
        <v>11</v>
      </c>
      <c r="B12">
        <v>11</v>
      </c>
      <c r="C12" t="s">
        <v>1650</v>
      </c>
      <c r="D12" t="s">
        <v>24</v>
      </c>
      <c r="E12" t="s">
        <v>1651</v>
      </c>
      <c r="F12" t="s">
        <v>1652</v>
      </c>
      <c r="G12" t="s">
        <v>1653</v>
      </c>
      <c r="H12" t="s">
        <v>3644</v>
      </c>
      <c r="I12" t="s">
        <v>3645</v>
      </c>
      <c r="J12" t="str" cm="1">
        <f t="array" ref="J12">IF(SUM(COUNTIF(Text_Preprocessing__224[[#This Row],[full_text]],{"*makan siang gratis*";"*MBG*";"*makan gratis*";"*makan bergizi gratis*";"*makangratis*";"*makanan gratis*"})),"Relevan","Tidak Relevan")</f>
        <v>Relevan</v>
      </c>
    </row>
    <row r="13" spans="1:17" x14ac:dyDescent="0.35">
      <c r="A13">
        <f t="shared" si="0"/>
        <v>12</v>
      </c>
      <c r="B13">
        <v>12</v>
      </c>
      <c r="C13" t="s">
        <v>1655</v>
      </c>
      <c r="D13" t="s">
        <v>26</v>
      </c>
      <c r="E13" t="s">
        <v>1656</v>
      </c>
      <c r="F13" t="s">
        <v>1657</v>
      </c>
      <c r="G13" t="s">
        <v>1658</v>
      </c>
      <c r="H13" t="s">
        <v>1659</v>
      </c>
      <c r="I13" t="s">
        <v>1660</v>
      </c>
      <c r="J13" t="str" cm="1">
        <f t="array" ref="J13">IF(SUM(COUNTIF(Text_Preprocessing__224[[#This Row],[full_text]],{"*makan siang gratis*";"*MBG*";"*makan gratis*";"*makan bergizi gratis*";"*makangratis*";"*makanan gratis*"})),"Relevan","Tidak Relevan")</f>
        <v>Tidak Relevan</v>
      </c>
      <c r="K13" t="s">
        <v>3622</v>
      </c>
    </row>
    <row r="14" spans="1:17" x14ac:dyDescent="0.35">
      <c r="A14">
        <f t="shared" si="0"/>
        <v>13</v>
      </c>
      <c r="B14">
        <v>13</v>
      </c>
      <c r="C14" t="s">
        <v>1661</v>
      </c>
      <c r="D14" t="s">
        <v>28</v>
      </c>
      <c r="E14" t="s">
        <v>1662</v>
      </c>
      <c r="F14" t="s">
        <v>1663</v>
      </c>
      <c r="G14" t="s">
        <v>1664</v>
      </c>
      <c r="H14" t="s">
        <v>1665</v>
      </c>
      <c r="I14" t="s">
        <v>1666</v>
      </c>
      <c r="J14" t="str" cm="1">
        <f t="array" ref="J14">IF(SUM(COUNTIF(Text_Preprocessing__224[[#This Row],[full_text]],{"*makan siang gratis*";"*MBG*";"*makan gratis*";"*makan bergizi gratis*";"*makangratis*";"*makanan gratis*"})),"Relevan","Tidak Relevan")</f>
        <v>Tidak Relevan</v>
      </c>
      <c r="K14" t="s">
        <v>3622</v>
      </c>
    </row>
    <row r="15" spans="1:17" x14ac:dyDescent="0.35">
      <c r="A15">
        <f t="shared" si="0"/>
        <v>14</v>
      </c>
      <c r="B15">
        <v>15</v>
      </c>
      <c r="C15" t="s">
        <v>1667</v>
      </c>
      <c r="D15" t="s">
        <v>32</v>
      </c>
      <c r="E15" t="s">
        <v>1668</v>
      </c>
      <c r="F15" t="s">
        <v>1669</v>
      </c>
      <c r="G15" t="s">
        <v>1670</v>
      </c>
      <c r="H15" t="s">
        <v>1670</v>
      </c>
      <c r="I15" t="s">
        <v>1671</v>
      </c>
      <c r="J15" t="str" cm="1">
        <f t="array" ref="J15">IF(SUM(COUNTIF(Text_Preprocessing__224[[#This Row],[full_text]],{"*makan siang gratis*";"*MBG*";"*makan gratis*";"*makan bergizi gratis*";"*makangratis*";"*makanan gratis*"})),"Relevan","Tidak Relevan")</f>
        <v>Relevan</v>
      </c>
    </row>
    <row r="16" spans="1:17" x14ac:dyDescent="0.35">
      <c r="A16">
        <f t="shared" si="0"/>
        <v>15</v>
      </c>
      <c r="B16">
        <v>16</v>
      </c>
      <c r="C16" t="s">
        <v>1672</v>
      </c>
      <c r="D16" t="s">
        <v>34</v>
      </c>
      <c r="E16" t="s">
        <v>1673</v>
      </c>
      <c r="F16" t="s">
        <v>1674</v>
      </c>
      <c r="G16" t="s">
        <v>1675</v>
      </c>
      <c r="H16" t="s">
        <v>1676</v>
      </c>
      <c r="I16" t="s">
        <v>1677</v>
      </c>
      <c r="J16" t="str" cm="1">
        <f t="array" ref="J16">IF(SUM(COUNTIF(Text_Preprocessing__224[[#This Row],[full_text]],{"*makan siang gratis*";"*MBG*";"*makan gratis*";"*makan bergizi gratis*";"*makangratis*";"*makanan gratis*"})),"Relevan","Tidak Relevan")</f>
        <v>Tidak Relevan</v>
      </c>
      <c r="K16" t="s">
        <v>3622</v>
      </c>
    </row>
    <row r="17" spans="1:11" x14ac:dyDescent="0.35">
      <c r="A17">
        <f t="shared" si="0"/>
        <v>16</v>
      </c>
      <c r="B17">
        <v>17</v>
      </c>
      <c r="C17" t="s">
        <v>1678</v>
      </c>
      <c r="D17" t="s">
        <v>36</v>
      </c>
      <c r="E17" t="s">
        <v>1679</v>
      </c>
      <c r="F17" t="s">
        <v>1680</v>
      </c>
      <c r="G17" t="s">
        <v>1681</v>
      </c>
      <c r="H17" t="s">
        <v>1682</v>
      </c>
      <c r="I17" t="s">
        <v>1683</v>
      </c>
      <c r="J17" t="str" cm="1">
        <f t="array" ref="J17">IF(SUM(COUNTIF(Text_Preprocessing__224[[#This Row],[full_text]],{"*makan siang gratis*";"*MBG*";"*makan gratis*";"*makan bergizi gratis*";"*makangratis*";"*makanan gratis*"})),"Relevan","Tidak Relevan")</f>
        <v>Relevan</v>
      </c>
    </row>
    <row r="18" spans="1:11" x14ac:dyDescent="0.35">
      <c r="A18">
        <f t="shared" si="0"/>
        <v>17</v>
      </c>
      <c r="B18">
        <v>18</v>
      </c>
      <c r="C18" t="s">
        <v>1684</v>
      </c>
      <c r="D18" t="s">
        <v>38</v>
      </c>
      <c r="E18" t="s">
        <v>1685</v>
      </c>
      <c r="F18" t="s">
        <v>1686</v>
      </c>
      <c r="G18" t="s">
        <v>1687</v>
      </c>
      <c r="H18" t="s">
        <v>1688</v>
      </c>
      <c r="I18" t="s">
        <v>1689</v>
      </c>
      <c r="J18" t="str" cm="1">
        <f t="array" ref="J18">IF(SUM(COUNTIF(Text_Preprocessing__224[[#This Row],[full_text]],{"*makan siang gratis*";"*MBG*";"*makan gratis*";"*makan bergizi gratis*";"*makangratis*";"*makanan gratis*"})),"Relevan","Tidak Relevan")</f>
        <v>Relevan</v>
      </c>
    </row>
    <row r="19" spans="1:11" x14ac:dyDescent="0.35">
      <c r="A19">
        <f t="shared" si="0"/>
        <v>18</v>
      </c>
      <c r="B19">
        <v>19</v>
      </c>
      <c r="C19" t="s">
        <v>1690</v>
      </c>
      <c r="D19" t="s">
        <v>40</v>
      </c>
      <c r="E19" t="s">
        <v>1691</v>
      </c>
      <c r="F19" t="s">
        <v>1692</v>
      </c>
      <c r="G19" t="s">
        <v>1693</v>
      </c>
      <c r="H19" t="s">
        <v>1693</v>
      </c>
      <c r="I19" t="s">
        <v>1694</v>
      </c>
      <c r="J19" t="str" cm="1">
        <f t="array" ref="J19">IF(SUM(COUNTIF(Text_Preprocessing__224[[#This Row],[full_text]],{"*makan siang gratis*";"*MBG*";"*makan gratis*";"*makan bergizi gratis*";"*makangratis*";"*makanan gratis*"})),"Relevan","Tidak Relevan")</f>
        <v>Tidak Relevan</v>
      </c>
      <c r="K19" t="s">
        <v>3622</v>
      </c>
    </row>
    <row r="20" spans="1:11" x14ac:dyDescent="0.35">
      <c r="A20">
        <f t="shared" si="0"/>
        <v>19</v>
      </c>
      <c r="B20">
        <v>20</v>
      </c>
      <c r="C20" t="s">
        <v>1695</v>
      </c>
      <c r="D20" t="s">
        <v>42</v>
      </c>
      <c r="E20" t="s">
        <v>1696</v>
      </c>
      <c r="F20" t="s">
        <v>1697</v>
      </c>
      <c r="G20" t="s">
        <v>1698</v>
      </c>
      <c r="H20" t="s">
        <v>1698</v>
      </c>
      <c r="I20" t="s">
        <v>1699</v>
      </c>
      <c r="J20" t="str" cm="1">
        <f t="array" ref="J20">IF(SUM(COUNTIF(Text_Preprocessing__224[[#This Row],[full_text]],{"*makan siang gratis*";"*MBG*";"*makan gratis*";"*makan bergizi gratis*";"*makangratis*";"*makanan gratis*"})),"Relevan","Tidak Relevan")</f>
        <v>Tidak Relevan</v>
      </c>
      <c r="K20" t="s">
        <v>3622</v>
      </c>
    </row>
    <row r="21" spans="1:11" x14ac:dyDescent="0.35">
      <c r="A21">
        <f t="shared" si="0"/>
        <v>20</v>
      </c>
      <c r="B21">
        <v>21</v>
      </c>
      <c r="C21" t="s">
        <v>1700</v>
      </c>
      <c r="D21" t="s">
        <v>44</v>
      </c>
      <c r="E21" t="s">
        <v>1701</v>
      </c>
      <c r="F21" t="s">
        <v>1702</v>
      </c>
      <c r="G21" t="s">
        <v>1703</v>
      </c>
      <c r="H21" t="s">
        <v>1703</v>
      </c>
      <c r="I21" t="s">
        <v>1704</v>
      </c>
      <c r="J21" t="str" cm="1">
        <f t="array" ref="J21">IF(SUM(COUNTIF(Text_Preprocessing__224[[#This Row],[full_text]],{"*makan siang gratis*";"*MBG*";"*makan gratis*";"*makan bergizi gratis*";"*makangratis*";"*makanan gratis*"})),"Relevan","Tidak Relevan")</f>
        <v>Tidak Relevan</v>
      </c>
      <c r="K21" t="s">
        <v>3622</v>
      </c>
    </row>
    <row r="22" spans="1:11" x14ac:dyDescent="0.35">
      <c r="A22">
        <f t="shared" si="0"/>
        <v>21</v>
      </c>
      <c r="B22">
        <v>22</v>
      </c>
      <c r="C22" t="s">
        <v>1705</v>
      </c>
      <c r="D22" t="s">
        <v>20</v>
      </c>
      <c r="E22" t="s">
        <v>1706</v>
      </c>
      <c r="F22" t="s">
        <v>1707</v>
      </c>
      <c r="G22" t="s">
        <v>1708</v>
      </c>
      <c r="H22" t="s">
        <v>1709</v>
      </c>
      <c r="I22" t="s">
        <v>1710</v>
      </c>
      <c r="J22" t="str" cm="1">
        <f t="array" ref="J22">IF(SUM(COUNTIF(Text_Preprocessing__224[[#This Row],[full_text]],{"*makan siang gratis*";"*MBG*";"*makan gratis*";"*makan bergizi gratis*";"*makangratis*";"*makanan gratis*"})),"Relevan","Tidak Relevan")</f>
        <v>Relevan</v>
      </c>
    </row>
    <row r="23" spans="1:11" x14ac:dyDescent="0.35">
      <c r="A23">
        <f t="shared" si="0"/>
        <v>22</v>
      </c>
      <c r="B23">
        <v>23</v>
      </c>
      <c r="C23" t="s">
        <v>1711</v>
      </c>
      <c r="D23" t="s">
        <v>47</v>
      </c>
      <c r="E23" t="s">
        <v>1712</v>
      </c>
      <c r="F23" t="s">
        <v>1713</v>
      </c>
      <c r="G23" t="s">
        <v>1714</v>
      </c>
      <c r="H23" t="s">
        <v>3646</v>
      </c>
      <c r="I23" t="s">
        <v>3647</v>
      </c>
      <c r="J23" t="str" cm="1">
        <f t="array" ref="J23">IF(SUM(COUNTIF(Text_Preprocessing__224[[#This Row],[full_text]],{"*makan siang gratis*";"*MBG*";"*makan gratis*";"*makan bergizi gratis*";"*makangratis*";"*makanan gratis*"})),"Relevan","Tidak Relevan")</f>
        <v>Tidak Relevan</v>
      </c>
      <c r="K23" t="s">
        <v>3622</v>
      </c>
    </row>
    <row r="24" spans="1:11" x14ac:dyDescent="0.35">
      <c r="A24">
        <f t="shared" si="0"/>
        <v>23</v>
      </c>
      <c r="B24">
        <v>24</v>
      </c>
      <c r="C24" t="s">
        <v>1717</v>
      </c>
      <c r="D24" t="s">
        <v>49</v>
      </c>
      <c r="E24" t="s">
        <v>1718</v>
      </c>
      <c r="F24" t="s">
        <v>1719</v>
      </c>
      <c r="G24" t="s">
        <v>1720</v>
      </c>
      <c r="H24" t="s">
        <v>1720</v>
      </c>
      <c r="I24" t="s">
        <v>1721</v>
      </c>
      <c r="J24" t="str" cm="1">
        <f t="array" ref="J24">IF(SUM(COUNTIF(Text_Preprocessing__224[[#This Row],[full_text]],{"*makan siang gratis*";"*MBG*";"*makan gratis*";"*makan bergizi gratis*";"*makangratis*";"*makanan gratis*"})),"Relevan","Tidak Relevan")</f>
        <v>Relevan</v>
      </c>
    </row>
    <row r="25" spans="1:11" x14ac:dyDescent="0.35">
      <c r="A25">
        <f t="shared" si="0"/>
        <v>24</v>
      </c>
      <c r="B25">
        <v>25</v>
      </c>
      <c r="C25" t="s">
        <v>1722</v>
      </c>
      <c r="D25" t="s">
        <v>20</v>
      </c>
      <c r="E25" t="s">
        <v>1723</v>
      </c>
      <c r="F25" t="s">
        <v>1724</v>
      </c>
      <c r="G25" t="s">
        <v>1725</v>
      </c>
      <c r="H25" t="s">
        <v>1726</v>
      </c>
      <c r="I25" t="s">
        <v>1727</v>
      </c>
      <c r="J25" t="str" cm="1">
        <f t="array" ref="J25">IF(SUM(COUNTIF(Text_Preprocessing__224[[#This Row],[full_text]],{"*makan siang gratis*";"*MBG*";"*makan gratis*";"*makan bergizi gratis*";"*makangratis*";"*makanan gratis*"})),"Relevan","Tidak Relevan")</f>
        <v>Tidak Relevan</v>
      </c>
      <c r="K25" t="s">
        <v>3622</v>
      </c>
    </row>
    <row r="26" spans="1:11" x14ac:dyDescent="0.35">
      <c r="A26">
        <f t="shared" si="0"/>
        <v>25</v>
      </c>
      <c r="B26">
        <v>26</v>
      </c>
      <c r="C26" t="s">
        <v>1728</v>
      </c>
      <c r="D26" t="s">
        <v>52</v>
      </c>
      <c r="E26" t="s">
        <v>1729</v>
      </c>
      <c r="F26" t="s">
        <v>1730</v>
      </c>
      <c r="G26" t="s">
        <v>1731</v>
      </c>
      <c r="H26" t="s">
        <v>1731</v>
      </c>
      <c r="I26" t="s">
        <v>1732</v>
      </c>
      <c r="J26" t="str" cm="1">
        <f t="array" ref="J26">IF(SUM(COUNTIF(Text_Preprocessing__224[[#This Row],[full_text]],{"*makan siang gratis*";"*MBG*";"*makan gratis*";"*makan bergizi gratis*";"*makangratis*";"*makanan gratis*"})),"Relevan","Tidak Relevan")</f>
        <v>Relevan</v>
      </c>
    </row>
    <row r="27" spans="1:11" x14ac:dyDescent="0.35">
      <c r="A27">
        <f t="shared" si="0"/>
        <v>26</v>
      </c>
      <c r="B27">
        <v>27</v>
      </c>
      <c r="C27" t="s">
        <v>1733</v>
      </c>
      <c r="D27" t="s">
        <v>54</v>
      </c>
      <c r="E27" t="s">
        <v>1734</v>
      </c>
      <c r="F27" t="s">
        <v>1735</v>
      </c>
      <c r="G27" t="s">
        <v>1736</v>
      </c>
      <c r="H27" t="s">
        <v>1737</v>
      </c>
      <c r="I27" t="s">
        <v>1738</v>
      </c>
      <c r="J27" t="str" cm="1">
        <f t="array" ref="J27">IF(SUM(COUNTIF(Text_Preprocessing__224[[#This Row],[full_text]],{"*makan siang gratis*";"*MBG*";"*makan gratis*";"*makan bergizi gratis*";"*makangratis*";"*makanan gratis*"})),"Relevan","Tidak Relevan")</f>
        <v>Relevan</v>
      </c>
    </row>
    <row r="28" spans="1:11" x14ac:dyDescent="0.35">
      <c r="A28">
        <f t="shared" si="0"/>
        <v>27</v>
      </c>
      <c r="B28">
        <v>28</v>
      </c>
      <c r="C28" t="s">
        <v>1739</v>
      </c>
      <c r="D28" t="s">
        <v>56</v>
      </c>
      <c r="E28" t="s">
        <v>1740</v>
      </c>
      <c r="F28" t="s">
        <v>1741</v>
      </c>
      <c r="G28" t="s">
        <v>1742</v>
      </c>
      <c r="H28" t="s">
        <v>1743</v>
      </c>
      <c r="I28" t="s">
        <v>1744</v>
      </c>
      <c r="J28" t="str" cm="1">
        <f t="array" ref="J28">IF(SUM(COUNTIF(Text_Preprocessing__224[[#This Row],[full_text]],{"*makan siang gratis*";"*MBG*";"*makan gratis*";"*makan bergizi gratis*";"*makangratis*";"*makanan gratis*"})),"Relevan","Tidak Relevan")</f>
        <v>Relevan</v>
      </c>
    </row>
    <row r="29" spans="1:11" x14ac:dyDescent="0.35">
      <c r="A29">
        <f t="shared" si="0"/>
        <v>28</v>
      </c>
      <c r="B29">
        <v>29</v>
      </c>
      <c r="C29" t="s">
        <v>1745</v>
      </c>
      <c r="D29" t="s">
        <v>58</v>
      </c>
      <c r="E29" t="s">
        <v>1746</v>
      </c>
      <c r="F29" t="s">
        <v>1747</v>
      </c>
      <c r="G29" t="s">
        <v>1748</v>
      </c>
      <c r="H29" t="s">
        <v>1748</v>
      </c>
      <c r="I29" t="s">
        <v>1749</v>
      </c>
      <c r="J29" t="str" cm="1">
        <f t="array" ref="J29">IF(SUM(COUNTIF(Text_Preprocessing__224[[#This Row],[full_text]],{"*makan siang gratis*";"*MBG*";"*makan gratis*";"*makan bergizi gratis*";"*makangratis*";"*makanan gratis*"})),"Relevan","Tidak Relevan")</f>
        <v>Relevan</v>
      </c>
    </row>
    <row r="30" spans="1:11" x14ac:dyDescent="0.35">
      <c r="A30">
        <f t="shared" si="0"/>
        <v>29</v>
      </c>
      <c r="B30">
        <v>30</v>
      </c>
      <c r="C30" t="s">
        <v>1750</v>
      </c>
      <c r="D30" t="s">
        <v>60</v>
      </c>
      <c r="E30" t="s">
        <v>1751</v>
      </c>
      <c r="F30" t="s">
        <v>1752</v>
      </c>
      <c r="G30" t="s">
        <v>1753</v>
      </c>
      <c r="H30" t="s">
        <v>3648</v>
      </c>
      <c r="I30" t="s">
        <v>3649</v>
      </c>
      <c r="J30" t="str" cm="1">
        <f t="array" ref="J30">IF(SUM(COUNTIF(Text_Preprocessing__224[[#This Row],[full_text]],{"*makan siang gratis*";"*MBG*";"*makan gratis*";"*makan bergizi gratis*";"*makangratis*";"*makanan gratis*"})),"Relevan","Tidak Relevan")</f>
        <v>Relevan</v>
      </c>
    </row>
    <row r="31" spans="1:11" x14ac:dyDescent="0.35">
      <c r="A31">
        <f t="shared" si="0"/>
        <v>30</v>
      </c>
      <c r="B31">
        <v>31</v>
      </c>
      <c r="C31" t="s">
        <v>1756</v>
      </c>
      <c r="D31" t="s">
        <v>62</v>
      </c>
      <c r="E31" t="s">
        <v>1757</v>
      </c>
      <c r="F31" t="s">
        <v>1758</v>
      </c>
      <c r="G31" t="s">
        <v>1759</v>
      </c>
      <c r="H31" t="s">
        <v>1760</v>
      </c>
      <c r="I31" t="s">
        <v>1761</v>
      </c>
      <c r="J31" t="str" cm="1">
        <f t="array" ref="J31">IF(SUM(COUNTIF(Text_Preprocessing__224[[#This Row],[full_text]],{"*makan siang gratis*";"*MBG*";"*makan gratis*";"*makan bergizi gratis*";"*makangratis*";"*makanan gratis*"})),"Relevan","Tidak Relevan")</f>
        <v>Relevan</v>
      </c>
    </row>
    <row r="32" spans="1:11" x14ac:dyDescent="0.35">
      <c r="A32">
        <f t="shared" si="0"/>
        <v>31</v>
      </c>
      <c r="B32">
        <v>32</v>
      </c>
      <c r="C32" t="s">
        <v>1762</v>
      </c>
      <c r="D32" t="s">
        <v>64</v>
      </c>
      <c r="E32" t="s">
        <v>1763</v>
      </c>
      <c r="F32" t="s">
        <v>1764</v>
      </c>
      <c r="G32" t="s">
        <v>1765</v>
      </c>
      <c r="H32" t="s">
        <v>3650</v>
      </c>
      <c r="I32" t="s">
        <v>1767</v>
      </c>
      <c r="J32" t="str" cm="1">
        <f t="array" ref="J32">IF(SUM(COUNTIF(Text_Preprocessing__224[[#This Row],[full_text]],{"*makan siang gratis*";"*MBG*";"*makan gratis*";"*makan bergizi gratis*";"*makangratis*";"*makanan gratis*"})),"Relevan","Tidak Relevan")</f>
        <v>Relevan</v>
      </c>
    </row>
    <row r="33" spans="1:11" x14ac:dyDescent="0.35">
      <c r="A33">
        <f t="shared" si="0"/>
        <v>32</v>
      </c>
      <c r="B33">
        <v>33</v>
      </c>
      <c r="C33" t="s">
        <v>1768</v>
      </c>
      <c r="D33" t="s">
        <v>66</v>
      </c>
      <c r="E33" t="s">
        <v>1769</v>
      </c>
      <c r="F33" t="s">
        <v>1770</v>
      </c>
      <c r="G33" t="s">
        <v>1771</v>
      </c>
      <c r="H33" t="s">
        <v>1771</v>
      </c>
      <c r="I33" t="s">
        <v>1772</v>
      </c>
      <c r="J33" t="str" cm="1">
        <f t="array" ref="J33">IF(SUM(COUNTIF(Text_Preprocessing__224[[#This Row],[full_text]],{"*makan siang gratis*";"*MBG*";"*makan gratis*";"*makan bergizi gratis*";"*makangratis*";"*makanan gratis*"})),"Relevan","Tidak Relevan")</f>
        <v>Relevan</v>
      </c>
    </row>
    <row r="34" spans="1:11" x14ac:dyDescent="0.35">
      <c r="A34">
        <f t="shared" si="0"/>
        <v>33</v>
      </c>
      <c r="B34">
        <v>34</v>
      </c>
      <c r="C34" t="s">
        <v>1773</v>
      </c>
      <c r="D34" t="s">
        <v>68</v>
      </c>
      <c r="E34" t="s">
        <v>1774</v>
      </c>
      <c r="F34" t="s">
        <v>1775</v>
      </c>
      <c r="G34" t="s">
        <v>1776</v>
      </c>
      <c r="H34" t="s">
        <v>1776</v>
      </c>
      <c r="I34" t="s">
        <v>1777</v>
      </c>
      <c r="J34" t="str" cm="1">
        <f t="array" ref="J34">IF(SUM(COUNTIF(Text_Preprocessing__224[[#This Row],[full_text]],{"*makan siang gratis*";"*MBG*";"*makan gratis*";"*makan bergizi gratis*";"*makangratis*";"*makanan gratis*"})),"Relevan","Tidak Relevan")</f>
        <v>Relevan</v>
      </c>
    </row>
    <row r="35" spans="1:11" x14ac:dyDescent="0.35">
      <c r="A35">
        <f t="shared" si="0"/>
        <v>34</v>
      </c>
      <c r="B35">
        <v>35</v>
      </c>
      <c r="C35" t="s">
        <v>1778</v>
      </c>
      <c r="D35" t="s">
        <v>70</v>
      </c>
      <c r="E35" t="s">
        <v>1779</v>
      </c>
      <c r="F35" t="s">
        <v>1780</v>
      </c>
      <c r="G35" t="s">
        <v>1781</v>
      </c>
      <c r="H35" t="s">
        <v>1781</v>
      </c>
      <c r="I35" t="s">
        <v>1782</v>
      </c>
      <c r="J35" t="str" cm="1">
        <f t="array" ref="J35">IF(SUM(COUNTIF(Text_Preprocessing__224[[#This Row],[full_text]],{"*makan siang gratis*";"*MBG*";"*makan gratis*";"*makan bergizi gratis*";"*makangratis*";"*makanan gratis*"})),"Relevan","Tidak Relevan")</f>
        <v>Tidak Relevan</v>
      </c>
      <c r="K35" t="s">
        <v>3622</v>
      </c>
    </row>
    <row r="36" spans="1:11" x14ac:dyDescent="0.35">
      <c r="A36">
        <f t="shared" si="0"/>
        <v>35</v>
      </c>
      <c r="B36">
        <v>36</v>
      </c>
      <c r="C36" t="s">
        <v>1783</v>
      </c>
      <c r="D36" t="s">
        <v>72</v>
      </c>
      <c r="E36" t="s">
        <v>1784</v>
      </c>
      <c r="F36" t="s">
        <v>1785</v>
      </c>
      <c r="G36" t="s">
        <v>1786</v>
      </c>
      <c r="H36" t="s">
        <v>1786</v>
      </c>
      <c r="I36" t="s">
        <v>1787</v>
      </c>
      <c r="J36" t="str" cm="1">
        <f t="array" ref="J36">IF(SUM(COUNTIF(Text_Preprocessing__224[[#This Row],[full_text]],{"*makan siang gratis*";"*MBG*";"*makan gratis*";"*makan bergizi gratis*";"*makangratis*";"*makanan gratis*"})),"Relevan","Tidak Relevan")</f>
        <v>Tidak Relevan</v>
      </c>
      <c r="K36" t="s">
        <v>3622</v>
      </c>
    </row>
    <row r="37" spans="1:11" x14ac:dyDescent="0.35">
      <c r="A37">
        <f t="shared" si="0"/>
        <v>36</v>
      </c>
      <c r="B37">
        <v>37</v>
      </c>
      <c r="C37" t="s">
        <v>1788</v>
      </c>
      <c r="D37" t="s">
        <v>74</v>
      </c>
      <c r="E37" t="s">
        <v>1789</v>
      </c>
      <c r="F37" t="s">
        <v>1730</v>
      </c>
      <c r="G37" t="s">
        <v>1790</v>
      </c>
      <c r="H37" t="s">
        <v>1790</v>
      </c>
      <c r="I37" t="s">
        <v>1791</v>
      </c>
      <c r="J37" t="str" cm="1">
        <f t="array" ref="J37">IF(SUM(COUNTIF(Text_Preprocessing__224[[#This Row],[full_text]],{"*makan siang gratis*";"*MBG*";"*makan gratis*";"*makan bergizi gratis*";"*makangratis*";"*makanan gratis*"})),"Relevan","Tidak Relevan")</f>
        <v>Relevan</v>
      </c>
    </row>
    <row r="38" spans="1:11" x14ac:dyDescent="0.35">
      <c r="A38">
        <f t="shared" si="0"/>
        <v>37</v>
      </c>
      <c r="B38">
        <v>38</v>
      </c>
      <c r="C38" t="s">
        <v>1792</v>
      </c>
      <c r="D38" t="s">
        <v>76</v>
      </c>
      <c r="E38" t="s">
        <v>1793</v>
      </c>
      <c r="F38" t="s">
        <v>1794</v>
      </c>
      <c r="G38" t="s">
        <v>1795</v>
      </c>
      <c r="H38" t="s">
        <v>1795</v>
      </c>
      <c r="I38" t="s">
        <v>1796</v>
      </c>
      <c r="J38" t="str" cm="1">
        <f t="array" ref="J38">IF(SUM(COUNTIF(Text_Preprocessing__224[[#This Row],[full_text]],{"*makan siang gratis*";"*MBG*";"*makan gratis*";"*makan bergizi gratis*";"*makangratis*";"*makanan gratis*"})),"Relevan","Tidak Relevan")</f>
        <v>Relevan</v>
      </c>
    </row>
    <row r="39" spans="1:11" x14ac:dyDescent="0.35">
      <c r="A39">
        <f t="shared" si="0"/>
        <v>38</v>
      </c>
      <c r="B39">
        <v>39</v>
      </c>
      <c r="C39" t="s">
        <v>1797</v>
      </c>
      <c r="D39" t="s">
        <v>78</v>
      </c>
      <c r="E39" t="s">
        <v>1798</v>
      </c>
      <c r="F39" t="s">
        <v>1799</v>
      </c>
      <c r="G39" t="s">
        <v>1800</v>
      </c>
      <c r="H39" t="s">
        <v>1800</v>
      </c>
      <c r="I39" t="s">
        <v>1801</v>
      </c>
      <c r="J39" t="str" cm="1">
        <f t="array" ref="J39">IF(SUM(COUNTIF(Text_Preprocessing__224[[#This Row],[full_text]],{"*makan siang gratis*";"*MBG*";"*makan gratis*";"*makan bergizi gratis*";"*makangratis*";"*makanan gratis*"})),"Relevan","Tidak Relevan")</f>
        <v>Relevan</v>
      </c>
    </row>
    <row r="40" spans="1:11" x14ac:dyDescent="0.35">
      <c r="A40">
        <f t="shared" si="0"/>
        <v>39</v>
      </c>
      <c r="B40">
        <v>40</v>
      </c>
      <c r="C40" t="s">
        <v>1802</v>
      </c>
      <c r="D40" t="s">
        <v>80</v>
      </c>
      <c r="E40" t="s">
        <v>1803</v>
      </c>
      <c r="F40" t="s">
        <v>1804</v>
      </c>
      <c r="G40" t="s">
        <v>1805</v>
      </c>
      <c r="H40" t="s">
        <v>1805</v>
      </c>
      <c r="I40" t="s">
        <v>1806</v>
      </c>
      <c r="J40" t="str" cm="1">
        <f t="array" ref="J40">IF(SUM(COUNTIF(Text_Preprocessing__224[[#This Row],[full_text]],{"*makan siang gratis*";"*MBG*";"*makan gratis*";"*makan bergizi gratis*";"*makangratis*";"*makanan gratis*"})),"Relevan","Tidak Relevan")</f>
        <v>Relevan</v>
      </c>
    </row>
    <row r="41" spans="1:11" x14ac:dyDescent="0.35">
      <c r="A41">
        <f t="shared" si="0"/>
        <v>40</v>
      </c>
      <c r="B41">
        <v>41</v>
      </c>
      <c r="C41" t="s">
        <v>1807</v>
      </c>
      <c r="D41" t="s">
        <v>82</v>
      </c>
      <c r="E41" t="s">
        <v>1808</v>
      </c>
      <c r="F41" t="s">
        <v>1809</v>
      </c>
      <c r="G41" t="s">
        <v>1810</v>
      </c>
      <c r="H41" t="s">
        <v>1810</v>
      </c>
      <c r="I41" t="s">
        <v>1811</v>
      </c>
      <c r="J41" t="str" cm="1">
        <f t="array" ref="J41">IF(SUM(COUNTIF(Text_Preprocessing__224[[#This Row],[full_text]],{"*makan siang gratis*";"*MBG*";"*makan gratis*";"*makan bergizi gratis*";"*makangratis*";"*makanan gratis*"})),"Relevan","Tidak Relevan")</f>
        <v>Relevan</v>
      </c>
    </row>
    <row r="42" spans="1:11" x14ac:dyDescent="0.35">
      <c r="A42">
        <f t="shared" si="0"/>
        <v>41</v>
      </c>
      <c r="B42">
        <v>42</v>
      </c>
      <c r="C42" t="s">
        <v>1812</v>
      </c>
      <c r="D42" t="s">
        <v>84</v>
      </c>
      <c r="E42" t="s">
        <v>1813</v>
      </c>
      <c r="F42" t="s">
        <v>1692</v>
      </c>
      <c r="G42" t="s">
        <v>1814</v>
      </c>
      <c r="H42" t="s">
        <v>1814</v>
      </c>
      <c r="I42" t="s">
        <v>1815</v>
      </c>
      <c r="J42" t="str" cm="1">
        <f t="array" ref="J42">IF(SUM(COUNTIF(Text_Preprocessing__224[[#This Row],[full_text]],{"*makan siang gratis*";"*MBG*";"*makan gratis*";"*makan bergizi gratis*";"*makangratis*";"*makanan gratis*"})),"Relevan","Tidak Relevan")</f>
        <v>Tidak Relevan</v>
      </c>
      <c r="K42" t="s">
        <v>3622</v>
      </c>
    </row>
    <row r="43" spans="1:11" x14ac:dyDescent="0.35">
      <c r="A43">
        <f t="shared" si="0"/>
        <v>42</v>
      </c>
      <c r="B43">
        <v>43</v>
      </c>
      <c r="C43" t="s">
        <v>1816</v>
      </c>
      <c r="D43" t="s">
        <v>76</v>
      </c>
      <c r="E43" t="s">
        <v>1817</v>
      </c>
      <c r="F43" t="s">
        <v>1818</v>
      </c>
      <c r="G43" t="s">
        <v>1819</v>
      </c>
      <c r="H43" t="s">
        <v>1819</v>
      </c>
      <c r="I43" t="s">
        <v>1820</v>
      </c>
      <c r="J43" t="str" cm="1">
        <f t="array" ref="J43">IF(SUM(COUNTIF(Text_Preprocessing__224[[#This Row],[full_text]],{"*makan siang gratis*";"*MBG*";"*makan gratis*";"*makan bergizi gratis*";"*makangratis*";"*makanan gratis*"})),"Relevan","Tidak Relevan")</f>
        <v>Relevan</v>
      </c>
    </row>
    <row r="44" spans="1:11" x14ac:dyDescent="0.35">
      <c r="A44">
        <f t="shared" si="0"/>
        <v>43</v>
      </c>
      <c r="B44">
        <v>44</v>
      </c>
      <c r="C44" t="s">
        <v>1821</v>
      </c>
      <c r="D44" t="s">
        <v>87</v>
      </c>
      <c r="E44" t="s">
        <v>1822</v>
      </c>
      <c r="F44" t="s">
        <v>1823</v>
      </c>
      <c r="G44" t="s">
        <v>1824</v>
      </c>
      <c r="H44" t="s">
        <v>3651</v>
      </c>
      <c r="I44" t="s">
        <v>3652</v>
      </c>
      <c r="J44" t="str" cm="1">
        <f t="array" ref="J44">IF(SUM(COUNTIF(Text_Preprocessing__224[[#This Row],[full_text]],{"*makan siang gratis*";"*MBG*";"*makan gratis*";"*makan bergizi gratis*";"*makangratis*";"*makanan gratis*"})),"Relevan","Tidak Relevan")</f>
        <v>Relevan</v>
      </c>
    </row>
    <row r="45" spans="1:11" x14ac:dyDescent="0.35">
      <c r="A45">
        <f t="shared" si="0"/>
        <v>44</v>
      </c>
      <c r="B45">
        <v>45</v>
      </c>
      <c r="C45" t="s">
        <v>1827</v>
      </c>
      <c r="D45" t="s">
        <v>84</v>
      </c>
      <c r="E45" t="s">
        <v>1828</v>
      </c>
      <c r="F45" t="s">
        <v>1829</v>
      </c>
      <c r="G45" t="s">
        <v>1830</v>
      </c>
      <c r="H45" t="s">
        <v>1830</v>
      </c>
      <c r="I45" t="s">
        <v>1831</v>
      </c>
      <c r="J45" t="str" cm="1">
        <f t="array" ref="J45">IF(SUM(COUNTIF(Text_Preprocessing__224[[#This Row],[full_text]],{"*makan siang gratis*";"*MBG*";"*makan gratis*";"*makan bergizi gratis*";"*makangratis*";"*makanan gratis*"})),"Relevan","Tidak Relevan")</f>
        <v>Relevan</v>
      </c>
    </row>
    <row r="46" spans="1:11" x14ac:dyDescent="0.35">
      <c r="A46">
        <f t="shared" si="0"/>
        <v>45</v>
      </c>
      <c r="B46">
        <v>46</v>
      </c>
      <c r="C46" t="s">
        <v>1832</v>
      </c>
      <c r="D46" t="s">
        <v>76</v>
      </c>
      <c r="E46" t="s">
        <v>1833</v>
      </c>
      <c r="F46" t="s">
        <v>1834</v>
      </c>
      <c r="G46" t="s">
        <v>1835</v>
      </c>
      <c r="H46" t="s">
        <v>1835</v>
      </c>
      <c r="I46" t="s">
        <v>1836</v>
      </c>
      <c r="J46" t="str" cm="1">
        <f t="array" ref="J46">IF(SUM(COUNTIF(Text_Preprocessing__224[[#This Row],[full_text]],{"*makan siang gratis*";"*MBG*";"*makan gratis*";"*makan bergizi gratis*";"*makangratis*";"*makanan gratis*"})),"Relevan","Tidak Relevan")</f>
        <v>Relevan</v>
      </c>
    </row>
    <row r="47" spans="1:11" x14ac:dyDescent="0.35">
      <c r="A47">
        <f t="shared" si="0"/>
        <v>46</v>
      </c>
      <c r="B47">
        <v>47</v>
      </c>
      <c r="C47" t="s">
        <v>1837</v>
      </c>
      <c r="D47" t="s">
        <v>91</v>
      </c>
      <c r="E47" t="s">
        <v>1838</v>
      </c>
      <c r="F47" t="s">
        <v>1839</v>
      </c>
      <c r="G47" t="s">
        <v>1840</v>
      </c>
      <c r="H47" t="s">
        <v>1840</v>
      </c>
      <c r="I47" t="s">
        <v>1841</v>
      </c>
      <c r="J47" t="str" cm="1">
        <f t="array" ref="J47">IF(SUM(COUNTIF(Text_Preprocessing__224[[#This Row],[full_text]],{"*makan siang gratis*";"*MBG*";"*makan gratis*";"*makan bergizi gratis*";"*makangratis*";"*makanan gratis*"})),"Relevan","Tidak Relevan")</f>
        <v>Relevan</v>
      </c>
    </row>
    <row r="48" spans="1:11" x14ac:dyDescent="0.35">
      <c r="A48">
        <f t="shared" si="0"/>
        <v>47</v>
      </c>
      <c r="B48">
        <v>48</v>
      </c>
      <c r="C48" t="s">
        <v>1842</v>
      </c>
      <c r="D48" t="s">
        <v>93</v>
      </c>
      <c r="E48" t="s">
        <v>1843</v>
      </c>
      <c r="F48" t="s">
        <v>1844</v>
      </c>
      <c r="G48" t="s">
        <v>1845</v>
      </c>
      <c r="H48" t="s">
        <v>1845</v>
      </c>
      <c r="I48" t="s">
        <v>1846</v>
      </c>
      <c r="J48" t="str" cm="1">
        <f t="array" ref="J48">IF(SUM(COUNTIF(Text_Preprocessing__224[[#This Row],[full_text]],{"*makan siang gratis*";"*MBG*";"*makan gratis*";"*makan bergizi gratis*";"*makangratis*";"*makanan gratis*"})),"Relevan","Tidak Relevan")</f>
        <v>Relevan</v>
      </c>
    </row>
    <row r="49" spans="1:10" x14ac:dyDescent="0.35">
      <c r="A49">
        <f t="shared" si="0"/>
        <v>48</v>
      </c>
      <c r="B49">
        <v>49</v>
      </c>
      <c r="C49" t="s">
        <v>1847</v>
      </c>
      <c r="D49" t="s">
        <v>93</v>
      </c>
      <c r="E49" t="s">
        <v>1848</v>
      </c>
      <c r="F49" t="s">
        <v>1804</v>
      </c>
      <c r="G49" t="s">
        <v>1849</v>
      </c>
      <c r="H49" t="s">
        <v>1849</v>
      </c>
      <c r="I49" t="s">
        <v>1850</v>
      </c>
      <c r="J49" t="str" cm="1">
        <f t="array" ref="J49">IF(SUM(COUNTIF(Text_Preprocessing__224[[#This Row],[full_text]],{"*makan siang gratis*";"*MBG*";"*makan gratis*";"*makan bergizi gratis*";"*makangratis*";"*makanan gratis*"})),"Relevan","Tidak Relevan")</f>
        <v>Relevan</v>
      </c>
    </row>
    <row r="50" spans="1:10" x14ac:dyDescent="0.35">
      <c r="A50">
        <f t="shared" si="0"/>
        <v>49</v>
      </c>
      <c r="B50">
        <v>50</v>
      </c>
      <c r="C50" t="s">
        <v>1851</v>
      </c>
      <c r="D50" t="s">
        <v>76</v>
      </c>
      <c r="E50" t="s">
        <v>1852</v>
      </c>
      <c r="F50" t="s">
        <v>1853</v>
      </c>
      <c r="G50" t="s">
        <v>1854</v>
      </c>
      <c r="H50" t="s">
        <v>1854</v>
      </c>
      <c r="I50" t="s">
        <v>1855</v>
      </c>
      <c r="J50" t="str" cm="1">
        <f t="array" ref="J50">IF(SUM(COUNTIF(Text_Preprocessing__224[[#This Row],[full_text]],{"*makan siang gratis*";"*MBG*";"*makan gratis*";"*makan bergizi gratis*";"*makangratis*";"*makanan gratis*"})),"Relevan","Tidak Relevan")</f>
        <v>Relevan</v>
      </c>
    </row>
    <row r="51" spans="1:10" x14ac:dyDescent="0.35">
      <c r="A51">
        <f t="shared" si="0"/>
        <v>50</v>
      </c>
      <c r="B51">
        <v>51</v>
      </c>
      <c r="C51" t="s">
        <v>1856</v>
      </c>
      <c r="D51" t="s">
        <v>93</v>
      </c>
      <c r="E51" t="s">
        <v>1857</v>
      </c>
      <c r="F51" t="s">
        <v>1596</v>
      </c>
      <c r="G51" t="s">
        <v>1858</v>
      </c>
      <c r="H51" t="s">
        <v>1858</v>
      </c>
      <c r="I51" t="s">
        <v>1859</v>
      </c>
      <c r="J51" t="str" cm="1">
        <f t="array" ref="J51">IF(SUM(COUNTIF(Text_Preprocessing__224[[#This Row],[full_text]],{"*makan siang gratis*";"*MBG*";"*makan gratis*";"*makan bergizi gratis*";"*makangratis*";"*makanan gratis*"})),"Relevan","Tidak Relevan")</f>
        <v>Relevan</v>
      </c>
    </row>
    <row r="52" spans="1:10" x14ac:dyDescent="0.35">
      <c r="A52">
        <f t="shared" si="0"/>
        <v>51</v>
      </c>
      <c r="B52">
        <v>52</v>
      </c>
      <c r="C52" t="s">
        <v>1860</v>
      </c>
      <c r="D52" t="s">
        <v>98</v>
      </c>
      <c r="E52" t="s">
        <v>1861</v>
      </c>
      <c r="F52" t="s">
        <v>1692</v>
      </c>
      <c r="G52" t="s">
        <v>1862</v>
      </c>
      <c r="H52" t="s">
        <v>1862</v>
      </c>
      <c r="I52" t="s">
        <v>1863</v>
      </c>
      <c r="J52" t="str" cm="1">
        <f t="array" ref="J52">IF(SUM(COUNTIF(Text_Preprocessing__224[[#This Row],[full_text]],{"*makan siang gratis*";"*MBG*";"*makan gratis*";"*makan bergizi gratis*";"*makangratis*";"*makanan gratis*"})),"Relevan","Tidak Relevan")</f>
        <v>Relevan</v>
      </c>
    </row>
    <row r="53" spans="1:10" x14ac:dyDescent="0.35">
      <c r="A53">
        <f t="shared" si="0"/>
        <v>52</v>
      </c>
      <c r="B53">
        <v>53</v>
      </c>
      <c r="C53" t="s">
        <v>1864</v>
      </c>
      <c r="D53" t="s">
        <v>100</v>
      </c>
      <c r="E53" t="s">
        <v>1865</v>
      </c>
      <c r="F53" t="s">
        <v>1730</v>
      </c>
      <c r="G53" t="s">
        <v>1866</v>
      </c>
      <c r="H53" t="s">
        <v>1866</v>
      </c>
      <c r="I53" t="s">
        <v>1867</v>
      </c>
      <c r="J53" t="str" cm="1">
        <f t="array" ref="J53">IF(SUM(COUNTIF(Text_Preprocessing__224[[#This Row],[full_text]],{"*makan siang gratis*";"*MBG*";"*makan gratis*";"*makan bergizi gratis*";"*makangratis*";"*makanan gratis*"})),"Relevan","Tidak Relevan")</f>
        <v>Relevan</v>
      </c>
    </row>
    <row r="54" spans="1:10" x14ac:dyDescent="0.35">
      <c r="A54">
        <f t="shared" si="0"/>
        <v>53</v>
      </c>
      <c r="B54">
        <v>54</v>
      </c>
      <c r="C54" t="s">
        <v>1868</v>
      </c>
      <c r="D54" t="s">
        <v>102</v>
      </c>
      <c r="E54" t="s">
        <v>1869</v>
      </c>
      <c r="F54" t="s">
        <v>1596</v>
      </c>
      <c r="G54" t="s">
        <v>1870</v>
      </c>
      <c r="H54" t="s">
        <v>1871</v>
      </c>
      <c r="I54" t="s">
        <v>1872</v>
      </c>
      <c r="J54" t="str" cm="1">
        <f t="array" ref="J54">IF(SUM(COUNTIF(Text_Preprocessing__224[[#This Row],[full_text]],{"*makan siang gratis*";"*MBG*";"*makan gratis*";"*makan bergizi gratis*";"*makangratis*";"*makanan gratis*"})),"Relevan","Tidak Relevan")</f>
        <v>Relevan</v>
      </c>
    </row>
    <row r="55" spans="1:10" x14ac:dyDescent="0.35">
      <c r="A55">
        <f t="shared" si="0"/>
        <v>54</v>
      </c>
      <c r="B55">
        <v>55</v>
      </c>
      <c r="C55" t="s">
        <v>1873</v>
      </c>
      <c r="D55" t="s">
        <v>100</v>
      </c>
      <c r="E55" t="s">
        <v>1874</v>
      </c>
      <c r="F55" t="s">
        <v>1804</v>
      </c>
      <c r="G55" t="s">
        <v>1875</v>
      </c>
      <c r="H55" t="s">
        <v>1875</v>
      </c>
      <c r="I55" t="s">
        <v>1876</v>
      </c>
      <c r="J55" t="str" cm="1">
        <f t="array" ref="J55">IF(SUM(COUNTIF(Text_Preprocessing__224[[#This Row],[full_text]],{"*makan siang gratis*";"*MBG*";"*makan gratis*";"*makan bergizi gratis*";"*makangratis*";"*makanan gratis*"})),"Relevan","Tidak Relevan")</f>
        <v>Relevan</v>
      </c>
    </row>
    <row r="56" spans="1:10" x14ac:dyDescent="0.35">
      <c r="A56">
        <f t="shared" si="0"/>
        <v>55</v>
      </c>
      <c r="B56">
        <v>56</v>
      </c>
      <c r="C56" t="s">
        <v>1877</v>
      </c>
      <c r="D56" t="s">
        <v>105</v>
      </c>
      <c r="E56" t="s">
        <v>1878</v>
      </c>
      <c r="F56" t="s">
        <v>1879</v>
      </c>
      <c r="G56" t="s">
        <v>1880</v>
      </c>
      <c r="H56" t="s">
        <v>1880</v>
      </c>
      <c r="I56" t="s">
        <v>1881</v>
      </c>
      <c r="J56" t="str" cm="1">
        <f t="array" ref="J56">IF(SUM(COUNTIF(Text_Preprocessing__224[[#This Row],[full_text]],{"*makan siang gratis*";"*MBG*";"*makan gratis*";"*makan bergizi gratis*";"*makangratis*";"*makanan gratis*"})),"Relevan","Tidak Relevan")</f>
        <v>Relevan</v>
      </c>
    </row>
    <row r="57" spans="1:10" x14ac:dyDescent="0.35">
      <c r="A57">
        <f t="shared" si="0"/>
        <v>56</v>
      </c>
      <c r="B57">
        <v>58</v>
      </c>
      <c r="C57" t="s">
        <v>1882</v>
      </c>
      <c r="D57" t="s">
        <v>108</v>
      </c>
      <c r="E57" t="s">
        <v>1883</v>
      </c>
      <c r="F57" t="s">
        <v>1884</v>
      </c>
      <c r="G57" t="s">
        <v>1883</v>
      </c>
      <c r="H57" t="s">
        <v>1883</v>
      </c>
      <c r="I57" t="s">
        <v>1885</v>
      </c>
      <c r="J57" t="str" cm="1">
        <f t="array" ref="J57">IF(SUM(COUNTIF(Text_Preprocessing__224[[#This Row],[full_text]],{"*makan siang gratis*";"*MBG*";"*makan gratis*";"*makan bergizi gratis*";"*makangratis*";"*makanan gratis*"})),"Relevan","Tidak Relevan")</f>
        <v>Relevan</v>
      </c>
    </row>
    <row r="58" spans="1:10" x14ac:dyDescent="0.35">
      <c r="A58">
        <f t="shared" si="0"/>
        <v>57</v>
      </c>
      <c r="B58">
        <v>59</v>
      </c>
      <c r="C58" t="s">
        <v>1886</v>
      </c>
      <c r="D58" t="s">
        <v>110</v>
      </c>
      <c r="E58" t="s">
        <v>1887</v>
      </c>
      <c r="F58" t="s">
        <v>1888</v>
      </c>
      <c r="G58" t="s">
        <v>1887</v>
      </c>
      <c r="H58" t="s">
        <v>1889</v>
      </c>
      <c r="I58" t="s">
        <v>1890</v>
      </c>
      <c r="J58" t="str" cm="1">
        <f t="array" ref="J58">IF(SUM(COUNTIF(Text_Preprocessing__224[[#This Row],[full_text]],{"*makan siang gratis*";"*MBG*";"*makan gratis*";"*makan bergizi gratis*";"*makangratis*";"*makanan gratis*"})),"Relevan","Tidak Relevan")</f>
        <v>Relevan</v>
      </c>
    </row>
    <row r="59" spans="1:10" x14ac:dyDescent="0.35">
      <c r="A59">
        <f t="shared" si="0"/>
        <v>58</v>
      </c>
      <c r="B59">
        <v>60</v>
      </c>
      <c r="C59" t="s">
        <v>1891</v>
      </c>
      <c r="D59" t="s">
        <v>112</v>
      </c>
      <c r="E59" t="s">
        <v>1892</v>
      </c>
      <c r="F59" t="s">
        <v>1893</v>
      </c>
      <c r="G59" t="s">
        <v>1894</v>
      </c>
      <c r="H59" t="s">
        <v>1894</v>
      </c>
      <c r="I59" t="s">
        <v>1895</v>
      </c>
      <c r="J59" t="str" cm="1">
        <f t="array" ref="J59">IF(SUM(COUNTIF(Text_Preprocessing__224[[#This Row],[full_text]],{"*makan siang gratis*";"*MBG*";"*makan gratis*";"*makan bergizi gratis*";"*makangratis*";"*makanan gratis*"})),"Relevan","Tidak Relevan")</f>
        <v>Relevan</v>
      </c>
    </row>
    <row r="60" spans="1:10" x14ac:dyDescent="0.35">
      <c r="A60">
        <f t="shared" si="0"/>
        <v>59</v>
      </c>
      <c r="B60">
        <v>61</v>
      </c>
      <c r="C60" t="s">
        <v>1896</v>
      </c>
      <c r="D60" t="s">
        <v>114</v>
      </c>
      <c r="E60" t="s">
        <v>1897</v>
      </c>
      <c r="F60" t="s">
        <v>1596</v>
      </c>
      <c r="G60" t="s">
        <v>1897</v>
      </c>
      <c r="H60" t="s">
        <v>1897</v>
      </c>
      <c r="I60" t="s">
        <v>1898</v>
      </c>
      <c r="J60" t="str" cm="1">
        <f t="array" ref="J60">IF(SUM(COUNTIF(Text_Preprocessing__224[[#This Row],[full_text]],{"*makan siang gratis*";"*MBG*";"*makan gratis*";"*makan bergizi gratis*";"*makangratis*";"*makanan gratis*"})),"Relevan","Tidak Relevan")</f>
        <v>Relevan</v>
      </c>
    </row>
    <row r="61" spans="1:10" x14ac:dyDescent="0.35">
      <c r="A61">
        <f t="shared" si="0"/>
        <v>60</v>
      </c>
      <c r="B61">
        <v>62</v>
      </c>
      <c r="C61" t="s">
        <v>1899</v>
      </c>
      <c r="D61" t="s">
        <v>116</v>
      </c>
      <c r="E61" t="s">
        <v>1900</v>
      </c>
      <c r="F61" t="s">
        <v>1829</v>
      </c>
      <c r="G61" t="s">
        <v>1901</v>
      </c>
      <c r="H61" t="s">
        <v>1902</v>
      </c>
      <c r="I61" t="s">
        <v>1903</v>
      </c>
      <c r="J61" t="str" cm="1">
        <f t="array" ref="J61">IF(SUM(COUNTIF(Text_Preprocessing__224[[#This Row],[full_text]],{"*makan siang gratis*";"*MBG*";"*makan gratis*";"*makan bergizi gratis*";"*makangratis*";"*makanan gratis*"})),"Relevan","Tidak Relevan")</f>
        <v>Relevan</v>
      </c>
    </row>
    <row r="62" spans="1:10" x14ac:dyDescent="0.35">
      <c r="A62">
        <f t="shared" si="0"/>
        <v>61</v>
      </c>
      <c r="B62">
        <v>64</v>
      </c>
      <c r="C62" t="s">
        <v>1904</v>
      </c>
      <c r="D62" t="s">
        <v>119</v>
      </c>
      <c r="E62" t="s">
        <v>1905</v>
      </c>
      <c r="F62" t="s">
        <v>1906</v>
      </c>
      <c r="G62" t="s">
        <v>1907</v>
      </c>
      <c r="H62" t="s">
        <v>1907</v>
      </c>
      <c r="I62" t="s">
        <v>1908</v>
      </c>
      <c r="J62" t="str" cm="1">
        <f t="array" ref="J62">IF(SUM(COUNTIF(Text_Preprocessing__224[[#This Row],[full_text]],{"*makan siang gratis*";"*MBG*";"*makan gratis*";"*makan bergizi gratis*";"*makangratis*";"*makanan gratis*"})),"Relevan","Tidak Relevan")</f>
        <v>Relevan</v>
      </c>
    </row>
    <row r="63" spans="1:10" x14ac:dyDescent="0.35">
      <c r="A63">
        <f t="shared" si="0"/>
        <v>62</v>
      </c>
      <c r="B63">
        <v>65</v>
      </c>
      <c r="C63" t="s">
        <v>1909</v>
      </c>
      <c r="D63" t="s">
        <v>121</v>
      </c>
      <c r="E63" t="s">
        <v>1910</v>
      </c>
      <c r="F63" t="s">
        <v>1652</v>
      </c>
      <c r="G63" t="s">
        <v>1911</v>
      </c>
      <c r="H63" t="s">
        <v>1911</v>
      </c>
      <c r="I63" t="s">
        <v>1912</v>
      </c>
      <c r="J63" t="str" cm="1">
        <f t="array" ref="J63">IF(SUM(COUNTIF(Text_Preprocessing__224[[#This Row],[full_text]],{"*makan siang gratis*";"*MBG*";"*makan gratis*";"*makan bergizi gratis*";"*makangratis*";"*makanan gratis*"})),"Relevan","Tidak Relevan")</f>
        <v>Relevan</v>
      </c>
    </row>
    <row r="64" spans="1:10" x14ac:dyDescent="0.35">
      <c r="A64">
        <f t="shared" si="0"/>
        <v>63</v>
      </c>
      <c r="B64">
        <v>66</v>
      </c>
      <c r="C64" t="s">
        <v>1913</v>
      </c>
      <c r="D64" t="s">
        <v>123</v>
      </c>
      <c r="E64" t="s">
        <v>1914</v>
      </c>
      <c r="F64" t="s">
        <v>1915</v>
      </c>
      <c r="G64" t="s">
        <v>1916</v>
      </c>
      <c r="H64" t="s">
        <v>1916</v>
      </c>
      <c r="I64" t="s">
        <v>1917</v>
      </c>
      <c r="J64" t="str" cm="1">
        <f t="array" ref="J64">IF(SUM(COUNTIF(Text_Preprocessing__224[[#This Row],[full_text]],{"*makan siang gratis*";"*MBG*";"*makan gratis*";"*makan bergizi gratis*";"*makangratis*";"*makanan gratis*"})),"Relevan","Tidak Relevan")</f>
        <v>Relevan</v>
      </c>
    </row>
    <row r="65" spans="1:10" x14ac:dyDescent="0.35">
      <c r="A65">
        <f t="shared" si="0"/>
        <v>64</v>
      </c>
      <c r="B65">
        <v>67</v>
      </c>
      <c r="C65" t="s">
        <v>1918</v>
      </c>
      <c r="D65" t="s">
        <v>125</v>
      </c>
      <c r="E65" t="s">
        <v>1919</v>
      </c>
      <c r="F65" t="s">
        <v>1920</v>
      </c>
      <c r="G65" t="s">
        <v>1921</v>
      </c>
      <c r="H65" t="s">
        <v>1921</v>
      </c>
      <c r="I65" t="s">
        <v>1922</v>
      </c>
      <c r="J65" t="str" cm="1">
        <f t="array" ref="J65">IF(SUM(COUNTIF(Text_Preprocessing__224[[#This Row],[full_text]],{"*makan siang gratis*";"*MBG*";"*makan gratis*";"*makan bergizi gratis*";"*makangratis*";"*makanan gratis*"})),"Relevan","Tidak Relevan")</f>
        <v>Relevan</v>
      </c>
    </row>
    <row r="66" spans="1:10" x14ac:dyDescent="0.35">
      <c r="A66">
        <f t="shared" si="0"/>
        <v>65</v>
      </c>
      <c r="B66">
        <v>68</v>
      </c>
      <c r="C66" t="s">
        <v>1923</v>
      </c>
      <c r="D66" t="s">
        <v>127</v>
      </c>
      <c r="E66" t="s">
        <v>1924</v>
      </c>
      <c r="F66" t="s">
        <v>1624</v>
      </c>
      <c r="G66" t="s">
        <v>1925</v>
      </c>
      <c r="H66" t="s">
        <v>1925</v>
      </c>
      <c r="I66" t="s">
        <v>1926</v>
      </c>
      <c r="J66" t="str" cm="1">
        <f t="array" ref="J66">IF(SUM(COUNTIF(Text_Preprocessing__224[[#This Row],[full_text]],{"*makan siang gratis*";"*MBG*";"*makan gratis*";"*makan bergizi gratis*";"*makangratis*";"*makanan gratis*"})),"Relevan","Tidak Relevan")</f>
        <v>Relevan</v>
      </c>
    </row>
    <row r="67" spans="1:10" x14ac:dyDescent="0.35">
      <c r="A67">
        <f t="shared" si="0"/>
        <v>66</v>
      </c>
      <c r="B67">
        <v>69</v>
      </c>
      <c r="C67" t="s">
        <v>1927</v>
      </c>
      <c r="D67" t="s">
        <v>129</v>
      </c>
      <c r="E67" t="s">
        <v>1928</v>
      </c>
      <c r="F67" t="s">
        <v>1929</v>
      </c>
      <c r="G67" t="s">
        <v>1930</v>
      </c>
      <c r="H67" t="s">
        <v>1931</v>
      </c>
      <c r="I67" t="s">
        <v>1932</v>
      </c>
      <c r="J67" t="str" cm="1">
        <f t="array" ref="J67">IF(SUM(COUNTIF(Text_Preprocessing__224[[#This Row],[full_text]],{"*makan siang gratis*";"*MBG*";"*makan gratis*";"*makan bergizi gratis*";"*makangratis*";"*makanan gratis*"})),"Relevan","Tidak Relevan")</f>
        <v>Relevan</v>
      </c>
    </row>
    <row r="68" spans="1:10" x14ac:dyDescent="0.35">
      <c r="A68">
        <f t="shared" ref="A68:A131" si="1">SUM(A67+1)</f>
        <v>67</v>
      </c>
      <c r="B68">
        <v>70</v>
      </c>
      <c r="C68" t="s">
        <v>1933</v>
      </c>
      <c r="D68" t="s">
        <v>93</v>
      </c>
      <c r="E68" t="s">
        <v>1934</v>
      </c>
      <c r="F68" t="s">
        <v>1596</v>
      </c>
      <c r="G68" t="s">
        <v>1935</v>
      </c>
      <c r="H68" t="s">
        <v>1935</v>
      </c>
      <c r="I68" t="s">
        <v>1936</v>
      </c>
      <c r="J68" t="str" cm="1">
        <f t="array" ref="J68">IF(SUM(COUNTIF(Text_Preprocessing__224[[#This Row],[full_text]],{"*makan siang gratis*";"*MBG*";"*makan gratis*";"*makan bergizi gratis*";"*makangratis*";"*makanan gratis*"})),"Relevan","Tidak Relevan")</f>
        <v>Relevan</v>
      </c>
    </row>
    <row r="69" spans="1:10" x14ac:dyDescent="0.35">
      <c r="A69">
        <f t="shared" si="1"/>
        <v>68</v>
      </c>
      <c r="B69">
        <v>72</v>
      </c>
      <c r="C69" t="s">
        <v>1937</v>
      </c>
      <c r="D69" t="s">
        <v>133</v>
      </c>
      <c r="E69" t="s">
        <v>1938</v>
      </c>
      <c r="F69" t="s">
        <v>1596</v>
      </c>
      <c r="G69" t="s">
        <v>1938</v>
      </c>
      <c r="H69" t="s">
        <v>1938</v>
      </c>
      <c r="I69" t="s">
        <v>1939</v>
      </c>
      <c r="J69" t="str" cm="1">
        <f t="array" ref="J69">IF(SUM(COUNTIF(Text_Preprocessing__224[[#This Row],[full_text]],{"*makan siang gratis*";"*MBG*";"*makan gratis*";"*makan bergizi gratis*";"*makangratis*";"*makanan gratis*"})),"Relevan","Tidak Relevan")</f>
        <v>Relevan</v>
      </c>
    </row>
    <row r="70" spans="1:10" x14ac:dyDescent="0.35">
      <c r="A70">
        <f t="shared" si="1"/>
        <v>69</v>
      </c>
      <c r="B70">
        <v>73</v>
      </c>
      <c r="C70" t="s">
        <v>1940</v>
      </c>
      <c r="D70" t="s">
        <v>135</v>
      </c>
      <c r="E70" t="s">
        <v>1941</v>
      </c>
      <c r="F70" t="s">
        <v>1692</v>
      </c>
      <c r="G70" t="s">
        <v>1942</v>
      </c>
      <c r="H70" t="s">
        <v>1942</v>
      </c>
      <c r="I70" t="s">
        <v>1943</v>
      </c>
      <c r="J70" t="str" cm="1">
        <f t="array" ref="J70">IF(SUM(COUNTIF(Text_Preprocessing__224[[#This Row],[full_text]],{"*makan siang gratis*";"*MBG*";"*makan gratis*";"*makan bergizi gratis*";"*makangratis*";"*makanan gratis*"})),"Relevan","Tidak Relevan")</f>
        <v>Relevan</v>
      </c>
    </row>
    <row r="71" spans="1:10" x14ac:dyDescent="0.35">
      <c r="A71">
        <f t="shared" si="1"/>
        <v>70</v>
      </c>
      <c r="B71">
        <v>74</v>
      </c>
      <c r="C71" t="s">
        <v>1944</v>
      </c>
      <c r="D71" t="s">
        <v>137</v>
      </c>
      <c r="E71" t="s">
        <v>1945</v>
      </c>
      <c r="F71" t="s">
        <v>1946</v>
      </c>
      <c r="G71" t="s">
        <v>1947</v>
      </c>
      <c r="H71" t="s">
        <v>1947</v>
      </c>
      <c r="I71" t="s">
        <v>1948</v>
      </c>
      <c r="J71" t="str" cm="1">
        <f t="array" ref="J71">IF(SUM(COUNTIF(Text_Preprocessing__224[[#This Row],[full_text]],{"*makan siang gratis*";"*MBG*";"*makan gratis*";"*makan bergizi gratis*";"*makangratis*";"*makanan gratis*"})),"Relevan","Tidak Relevan")</f>
        <v>Relevan</v>
      </c>
    </row>
    <row r="72" spans="1:10" x14ac:dyDescent="0.35">
      <c r="A72">
        <f t="shared" si="1"/>
        <v>71</v>
      </c>
      <c r="B72">
        <v>75</v>
      </c>
      <c r="C72" t="s">
        <v>1949</v>
      </c>
      <c r="D72" t="s">
        <v>139</v>
      </c>
      <c r="E72" t="s">
        <v>1950</v>
      </c>
      <c r="F72" t="s">
        <v>1951</v>
      </c>
      <c r="G72" t="s">
        <v>1952</v>
      </c>
      <c r="H72" t="s">
        <v>3653</v>
      </c>
      <c r="I72" t="s">
        <v>3654</v>
      </c>
      <c r="J72" t="str" cm="1">
        <f t="array" ref="J72">IF(SUM(COUNTIF(Text_Preprocessing__224[[#This Row],[full_text]],{"*makan siang gratis*";"*MBG*";"*makan gratis*";"*makan bergizi gratis*";"*makangratis*";"*makanan gratis*"})),"Relevan","Tidak Relevan")</f>
        <v>Relevan</v>
      </c>
    </row>
    <row r="73" spans="1:10" x14ac:dyDescent="0.35">
      <c r="A73">
        <f t="shared" si="1"/>
        <v>72</v>
      </c>
      <c r="B73">
        <v>76</v>
      </c>
      <c r="C73" t="s">
        <v>1954</v>
      </c>
      <c r="D73" t="s">
        <v>141</v>
      </c>
      <c r="E73" t="s">
        <v>1955</v>
      </c>
      <c r="F73" t="s">
        <v>1730</v>
      </c>
      <c r="G73" t="s">
        <v>1956</v>
      </c>
      <c r="H73" t="s">
        <v>1956</v>
      </c>
      <c r="I73" t="s">
        <v>1957</v>
      </c>
      <c r="J73" t="str" cm="1">
        <f t="array" ref="J73">IF(SUM(COUNTIF(Text_Preprocessing__224[[#This Row],[full_text]],{"*makan siang gratis*";"*MBG*";"*makan gratis*";"*makan bergizi gratis*";"*makangratis*";"*makanan gratis*"})),"Relevan","Tidak Relevan")</f>
        <v>Relevan</v>
      </c>
    </row>
    <row r="74" spans="1:10" x14ac:dyDescent="0.35">
      <c r="A74">
        <f t="shared" si="1"/>
        <v>73</v>
      </c>
      <c r="B74">
        <v>77</v>
      </c>
      <c r="C74" t="s">
        <v>1958</v>
      </c>
      <c r="D74" t="s">
        <v>143</v>
      </c>
      <c r="E74" t="s">
        <v>1959</v>
      </c>
      <c r="F74" t="s">
        <v>1893</v>
      </c>
      <c r="G74" t="s">
        <v>1960</v>
      </c>
      <c r="H74" t="s">
        <v>1960</v>
      </c>
      <c r="I74" t="s">
        <v>1961</v>
      </c>
      <c r="J74" t="str" cm="1">
        <f t="array" ref="J74">IF(SUM(COUNTIF(Text_Preprocessing__224[[#This Row],[full_text]],{"*makan siang gratis*";"*MBG*";"*makan gratis*";"*makan bergizi gratis*";"*makangratis*";"*makanan gratis*"})),"Relevan","Tidak Relevan")</f>
        <v>Relevan</v>
      </c>
    </row>
    <row r="75" spans="1:10" x14ac:dyDescent="0.35">
      <c r="A75">
        <f t="shared" si="1"/>
        <v>74</v>
      </c>
      <c r="B75">
        <v>78</v>
      </c>
      <c r="C75" t="s">
        <v>1962</v>
      </c>
      <c r="D75" t="s">
        <v>143</v>
      </c>
      <c r="E75" t="s">
        <v>1963</v>
      </c>
      <c r="F75" t="s">
        <v>1964</v>
      </c>
      <c r="G75" t="s">
        <v>1965</v>
      </c>
      <c r="H75" t="s">
        <v>1965</v>
      </c>
      <c r="I75" t="s">
        <v>1966</v>
      </c>
      <c r="J75" t="str" cm="1">
        <f t="array" ref="J75">IF(SUM(COUNTIF(Text_Preprocessing__224[[#This Row],[full_text]],{"*makan siang gratis*";"*MBG*";"*makan gratis*";"*makan bergizi gratis*";"*makangratis*";"*makanan gratis*"})),"Relevan","Tidak Relevan")</f>
        <v>Relevan</v>
      </c>
    </row>
    <row r="76" spans="1:10" x14ac:dyDescent="0.35">
      <c r="A76">
        <f t="shared" si="1"/>
        <v>75</v>
      </c>
      <c r="B76">
        <v>79</v>
      </c>
      <c r="C76" t="s">
        <v>1967</v>
      </c>
      <c r="D76" t="s">
        <v>143</v>
      </c>
      <c r="E76" t="s">
        <v>1968</v>
      </c>
      <c r="F76" t="s">
        <v>1893</v>
      </c>
      <c r="G76" t="s">
        <v>1969</v>
      </c>
      <c r="H76" t="s">
        <v>1969</v>
      </c>
      <c r="I76" t="s">
        <v>1970</v>
      </c>
      <c r="J76" t="str" cm="1">
        <f t="array" ref="J76">IF(SUM(COUNTIF(Text_Preprocessing__224[[#This Row],[full_text]],{"*makan siang gratis*";"*MBG*";"*makan gratis*";"*makan bergizi gratis*";"*makangratis*";"*makanan gratis*"})),"Relevan","Tidak Relevan")</f>
        <v>Relevan</v>
      </c>
    </row>
    <row r="77" spans="1:10" x14ac:dyDescent="0.35">
      <c r="A77">
        <f t="shared" si="1"/>
        <v>76</v>
      </c>
      <c r="B77">
        <v>81</v>
      </c>
      <c r="C77" t="s">
        <v>1971</v>
      </c>
      <c r="D77" t="s">
        <v>149</v>
      </c>
      <c r="E77" t="s">
        <v>1972</v>
      </c>
      <c r="F77" t="s">
        <v>1973</v>
      </c>
      <c r="G77" t="s">
        <v>1974</v>
      </c>
      <c r="H77" t="s">
        <v>1974</v>
      </c>
      <c r="I77" t="s">
        <v>1975</v>
      </c>
      <c r="J77" t="str" cm="1">
        <f t="array" ref="J77">IF(SUM(COUNTIF(Text_Preprocessing__224[[#This Row],[full_text]],{"*makan siang gratis*";"*MBG*";"*makan gratis*";"*makan bergizi gratis*";"*makangratis*";"*makanan gratis*"})),"Relevan","Tidak Relevan")</f>
        <v>Relevan</v>
      </c>
    </row>
    <row r="78" spans="1:10" x14ac:dyDescent="0.35">
      <c r="A78">
        <f t="shared" si="1"/>
        <v>77</v>
      </c>
      <c r="B78">
        <v>82</v>
      </c>
      <c r="C78" t="s">
        <v>1976</v>
      </c>
      <c r="D78" t="s">
        <v>143</v>
      </c>
      <c r="E78" t="s">
        <v>1977</v>
      </c>
      <c r="F78" t="s">
        <v>1724</v>
      </c>
      <c r="G78" t="s">
        <v>1978</v>
      </c>
      <c r="H78" t="s">
        <v>1978</v>
      </c>
      <c r="I78" t="s">
        <v>1979</v>
      </c>
      <c r="J78" t="str" cm="1">
        <f t="array" ref="J78">IF(SUM(COUNTIF(Text_Preprocessing__224[[#This Row],[full_text]],{"*makan siang gratis*";"*MBG*";"*makan gratis*";"*makan bergizi gratis*";"*makangratis*";"*makanan gratis*"})),"Relevan","Tidak Relevan")</f>
        <v>Relevan</v>
      </c>
    </row>
    <row r="79" spans="1:10" x14ac:dyDescent="0.35">
      <c r="A79">
        <f t="shared" si="1"/>
        <v>78</v>
      </c>
      <c r="B79">
        <v>83</v>
      </c>
      <c r="C79" t="s">
        <v>1980</v>
      </c>
      <c r="D79" t="s">
        <v>143</v>
      </c>
      <c r="E79" t="s">
        <v>1981</v>
      </c>
      <c r="F79" t="s">
        <v>1692</v>
      </c>
      <c r="G79" t="s">
        <v>1982</v>
      </c>
      <c r="H79" t="s">
        <v>1982</v>
      </c>
      <c r="I79" t="s">
        <v>1983</v>
      </c>
      <c r="J79" t="str" cm="1">
        <f t="array" ref="J79">IF(SUM(COUNTIF(Text_Preprocessing__224[[#This Row],[full_text]],{"*makan siang gratis*";"*MBG*";"*makan gratis*";"*makan bergizi gratis*";"*makangratis*";"*makanan gratis*"})),"Relevan","Tidak Relevan")</f>
        <v>Relevan</v>
      </c>
    </row>
    <row r="80" spans="1:10" x14ac:dyDescent="0.35">
      <c r="A80">
        <f t="shared" si="1"/>
        <v>79</v>
      </c>
      <c r="B80">
        <v>84</v>
      </c>
      <c r="C80" t="s">
        <v>1984</v>
      </c>
      <c r="D80" t="s">
        <v>153</v>
      </c>
      <c r="E80" t="s">
        <v>1985</v>
      </c>
      <c r="F80" t="s">
        <v>1804</v>
      </c>
      <c r="G80" t="s">
        <v>1986</v>
      </c>
      <c r="H80" t="s">
        <v>1986</v>
      </c>
      <c r="I80" t="s">
        <v>1987</v>
      </c>
      <c r="J80" t="str" cm="1">
        <f t="array" ref="J80">IF(SUM(COUNTIF(Text_Preprocessing__224[[#This Row],[full_text]],{"*makan siang gratis*";"*MBG*";"*makan gratis*";"*makan bergizi gratis*";"*makangratis*";"*makanan gratis*"})),"Relevan","Tidak Relevan")</f>
        <v>Relevan</v>
      </c>
    </row>
    <row r="81" spans="1:11" x14ac:dyDescent="0.35">
      <c r="A81">
        <f t="shared" si="1"/>
        <v>80</v>
      </c>
      <c r="B81">
        <v>86</v>
      </c>
      <c r="C81" t="s">
        <v>1988</v>
      </c>
      <c r="D81" t="s">
        <v>157</v>
      </c>
      <c r="E81" t="s">
        <v>1989</v>
      </c>
      <c r="F81" t="s">
        <v>1990</v>
      </c>
      <c r="G81" t="s">
        <v>1991</v>
      </c>
      <c r="H81" t="s">
        <v>1991</v>
      </c>
      <c r="I81" t="s">
        <v>1992</v>
      </c>
      <c r="J81" t="str" cm="1">
        <f t="array" ref="J81">IF(SUM(COUNTIF(Text_Preprocessing__224[[#This Row],[full_text]],{"*makan siang gratis*";"*MBG*";"*makan gratis*";"*makan bergizi gratis*";"*makangratis*";"*makanan gratis*"})),"Relevan","Tidak Relevan")</f>
        <v>Relevan</v>
      </c>
    </row>
    <row r="82" spans="1:11" x14ac:dyDescent="0.35">
      <c r="A82">
        <f t="shared" si="1"/>
        <v>81</v>
      </c>
      <c r="B82">
        <v>87</v>
      </c>
      <c r="C82" t="s">
        <v>1993</v>
      </c>
      <c r="D82" t="s">
        <v>159</v>
      </c>
      <c r="E82" t="s">
        <v>1994</v>
      </c>
      <c r="F82" t="s">
        <v>1735</v>
      </c>
      <c r="G82" t="s">
        <v>1995</v>
      </c>
      <c r="H82" t="s">
        <v>1995</v>
      </c>
      <c r="I82" t="s">
        <v>1996</v>
      </c>
      <c r="J82" t="str" cm="1">
        <f t="array" ref="J82">IF(SUM(COUNTIF(Text_Preprocessing__224[[#This Row],[full_text]],{"*makan siang gratis*";"*MBG*";"*makan gratis*";"*makan bergizi gratis*";"*makangratis*";"*makanan gratis*"})),"Relevan","Tidak Relevan")</f>
        <v>Relevan</v>
      </c>
    </row>
    <row r="83" spans="1:11" x14ac:dyDescent="0.35">
      <c r="A83">
        <f t="shared" si="1"/>
        <v>82</v>
      </c>
      <c r="B83">
        <v>88</v>
      </c>
      <c r="C83" t="s">
        <v>1997</v>
      </c>
      <c r="D83" t="s">
        <v>161</v>
      </c>
      <c r="E83" t="s">
        <v>1998</v>
      </c>
      <c r="F83" t="s">
        <v>1999</v>
      </c>
      <c r="G83" t="s">
        <v>2000</v>
      </c>
      <c r="H83" t="s">
        <v>2000</v>
      </c>
      <c r="I83" t="s">
        <v>2001</v>
      </c>
      <c r="J83" t="str" cm="1">
        <f t="array" ref="J83">IF(SUM(COUNTIF(Text_Preprocessing__224[[#This Row],[full_text]],{"*makan siang gratis*";"*MBG*";"*makan gratis*";"*makan bergizi gratis*";"*makangratis*";"*makanan gratis*"})),"Relevan","Tidak Relevan")</f>
        <v>Relevan</v>
      </c>
    </row>
    <row r="84" spans="1:11" x14ac:dyDescent="0.35">
      <c r="A84">
        <f t="shared" si="1"/>
        <v>83</v>
      </c>
      <c r="B84">
        <v>89</v>
      </c>
      <c r="C84" t="s">
        <v>2002</v>
      </c>
      <c r="D84" t="s">
        <v>102</v>
      </c>
      <c r="E84" t="s">
        <v>2003</v>
      </c>
      <c r="F84" t="s">
        <v>1613</v>
      </c>
      <c r="G84" t="s">
        <v>2004</v>
      </c>
      <c r="H84" t="s">
        <v>2004</v>
      </c>
      <c r="I84" t="s">
        <v>2005</v>
      </c>
      <c r="J84" t="str" cm="1">
        <f t="array" ref="J84">IF(SUM(COUNTIF(Text_Preprocessing__224[[#This Row],[full_text]],{"*makan siang gratis*";"*MBG*";"*makan gratis*";"*makan bergizi gratis*";"*makangratis*";"*makanan gratis*"})),"Relevan","Tidak Relevan")</f>
        <v>Relevan</v>
      </c>
    </row>
    <row r="85" spans="1:11" x14ac:dyDescent="0.35">
      <c r="A85">
        <f t="shared" si="1"/>
        <v>84</v>
      </c>
      <c r="B85">
        <v>90</v>
      </c>
      <c r="C85" t="s">
        <v>2006</v>
      </c>
      <c r="D85" t="s">
        <v>125</v>
      </c>
      <c r="E85" t="s">
        <v>2007</v>
      </c>
      <c r="F85" t="s">
        <v>2008</v>
      </c>
      <c r="G85" t="s">
        <v>2009</v>
      </c>
      <c r="H85" t="s">
        <v>3655</v>
      </c>
      <c r="I85" t="s">
        <v>3656</v>
      </c>
      <c r="J85" t="str" cm="1">
        <f t="array" ref="J85">IF(SUM(COUNTIF(Text_Preprocessing__224[[#This Row],[full_text]],{"*makan siang gratis*";"*MBG*";"*makan gratis*";"*makan bergizi gratis*";"*makangratis*";"*makanan gratis*"})),"Relevan","Tidak Relevan")</f>
        <v>Relevan</v>
      </c>
    </row>
    <row r="86" spans="1:11" x14ac:dyDescent="0.35">
      <c r="A86">
        <f t="shared" si="1"/>
        <v>85</v>
      </c>
      <c r="B86">
        <v>91</v>
      </c>
      <c r="C86" t="s">
        <v>2011</v>
      </c>
      <c r="D86" t="s">
        <v>137</v>
      </c>
      <c r="E86" t="s">
        <v>2012</v>
      </c>
      <c r="F86" t="s">
        <v>1613</v>
      </c>
      <c r="G86" t="s">
        <v>2013</v>
      </c>
      <c r="H86" t="s">
        <v>2014</v>
      </c>
      <c r="I86" t="s">
        <v>2015</v>
      </c>
      <c r="J86" t="str" cm="1">
        <f t="array" ref="J86">IF(SUM(COUNTIF(Text_Preprocessing__224[[#This Row],[full_text]],{"*makan siang gratis*";"*MBG*";"*makan gratis*";"*makan bergizi gratis*";"*makangratis*";"*makanan gratis*"})),"Relevan","Tidak Relevan")</f>
        <v>Tidak Relevan</v>
      </c>
      <c r="K86" t="s">
        <v>3622</v>
      </c>
    </row>
    <row r="87" spans="1:11" x14ac:dyDescent="0.35">
      <c r="A87">
        <f t="shared" si="1"/>
        <v>86</v>
      </c>
      <c r="B87">
        <v>92</v>
      </c>
      <c r="C87" t="s">
        <v>2016</v>
      </c>
      <c r="D87" t="s">
        <v>166</v>
      </c>
      <c r="E87" t="s">
        <v>2017</v>
      </c>
      <c r="F87" t="s">
        <v>1844</v>
      </c>
      <c r="G87" t="s">
        <v>2018</v>
      </c>
      <c r="H87" t="s">
        <v>2018</v>
      </c>
      <c r="I87" t="s">
        <v>2019</v>
      </c>
      <c r="J87" t="str" cm="1">
        <f t="array" ref="J87">IF(SUM(COUNTIF(Text_Preprocessing__224[[#This Row],[full_text]],{"*makan siang gratis*";"*MBG*";"*makan gratis*";"*makan bergizi gratis*";"*makangratis*";"*makanan gratis*"})),"Relevan","Tidak Relevan")</f>
        <v>Relevan</v>
      </c>
    </row>
    <row r="88" spans="1:11" x14ac:dyDescent="0.35">
      <c r="A88">
        <f t="shared" si="1"/>
        <v>87</v>
      </c>
      <c r="B88">
        <v>93</v>
      </c>
      <c r="C88" t="s">
        <v>2020</v>
      </c>
      <c r="D88" t="s">
        <v>168</v>
      </c>
      <c r="E88" t="s">
        <v>2021</v>
      </c>
      <c r="F88" t="s">
        <v>2022</v>
      </c>
      <c r="G88" t="s">
        <v>2023</v>
      </c>
      <c r="H88" t="s">
        <v>2024</v>
      </c>
      <c r="I88" t="s">
        <v>2025</v>
      </c>
      <c r="J88" t="str" cm="1">
        <f t="array" ref="J88">IF(SUM(COUNTIF(Text_Preprocessing__224[[#This Row],[full_text]],{"*makan siang gratis*";"*MBG*";"*makan gratis*";"*makan bergizi gratis*";"*makangratis*";"*makanan gratis*"})),"Relevan","Tidak Relevan")</f>
        <v>Relevan</v>
      </c>
    </row>
    <row r="89" spans="1:11" x14ac:dyDescent="0.35">
      <c r="A89">
        <f t="shared" si="1"/>
        <v>88</v>
      </c>
      <c r="B89">
        <v>94</v>
      </c>
      <c r="C89" t="s">
        <v>2026</v>
      </c>
      <c r="D89" t="s">
        <v>170</v>
      </c>
      <c r="E89" t="s">
        <v>2027</v>
      </c>
      <c r="F89" t="s">
        <v>1596</v>
      </c>
      <c r="G89" t="s">
        <v>2028</v>
      </c>
      <c r="H89" t="s">
        <v>2028</v>
      </c>
      <c r="I89" t="s">
        <v>2029</v>
      </c>
      <c r="J89" t="str" cm="1">
        <f t="array" ref="J89">IF(SUM(COUNTIF(Text_Preprocessing__224[[#This Row],[full_text]],{"*makan siang gratis*";"*MBG*";"*makan gratis*";"*makan bergizi gratis*";"*makangratis*";"*makanan gratis*"})),"Relevan","Tidak Relevan")</f>
        <v>Relevan</v>
      </c>
    </row>
    <row r="90" spans="1:11" x14ac:dyDescent="0.35">
      <c r="A90">
        <f t="shared" si="1"/>
        <v>89</v>
      </c>
      <c r="B90">
        <v>95</v>
      </c>
      <c r="C90" t="s">
        <v>2030</v>
      </c>
      <c r="D90" t="s">
        <v>172</v>
      </c>
      <c r="E90" t="s">
        <v>2031</v>
      </c>
      <c r="F90" t="s">
        <v>1652</v>
      </c>
      <c r="G90" t="s">
        <v>2032</v>
      </c>
      <c r="H90" t="s">
        <v>2032</v>
      </c>
      <c r="I90" t="s">
        <v>2033</v>
      </c>
      <c r="J90" t="str" cm="1">
        <f t="array" ref="J90">IF(SUM(COUNTIF(Text_Preprocessing__224[[#This Row],[full_text]],{"*makan siang gratis*";"*MBG*";"*makan gratis*";"*makan bergizi gratis*";"*makangratis*";"*makanan gratis*"})),"Relevan","Tidak Relevan")</f>
        <v>Tidak Relevan</v>
      </c>
      <c r="K90" t="s">
        <v>3622</v>
      </c>
    </row>
    <row r="91" spans="1:11" x14ac:dyDescent="0.35">
      <c r="A91">
        <f t="shared" si="1"/>
        <v>90</v>
      </c>
      <c r="B91">
        <v>96</v>
      </c>
      <c r="C91" t="s">
        <v>2034</v>
      </c>
      <c r="D91" t="s">
        <v>174</v>
      </c>
      <c r="E91" t="s">
        <v>2035</v>
      </c>
      <c r="F91" t="s">
        <v>2036</v>
      </c>
      <c r="G91" t="s">
        <v>2037</v>
      </c>
      <c r="H91" t="s">
        <v>2037</v>
      </c>
      <c r="I91" t="s">
        <v>2038</v>
      </c>
      <c r="J91" t="str" cm="1">
        <f t="array" ref="J91">IF(SUM(COUNTIF(Text_Preprocessing__224[[#This Row],[full_text]],{"*makan siang gratis*";"*MBG*";"*makan gratis*";"*makan bergizi gratis*";"*makangratis*";"*makanan gratis*"})),"Relevan","Tidak Relevan")</f>
        <v>Relevan</v>
      </c>
    </row>
    <row r="92" spans="1:11" x14ac:dyDescent="0.35">
      <c r="A92">
        <f t="shared" si="1"/>
        <v>91</v>
      </c>
      <c r="B92">
        <v>97</v>
      </c>
      <c r="C92" t="s">
        <v>2039</v>
      </c>
      <c r="D92" t="s">
        <v>176</v>
      </c>
      <c r="E92" t="s">
        <v>2040</v>
      </c>
      <c r="F92" t="s">
        <v>2041</v>
      </c>
      <c r="G92" t="s">
        <v>2042</v>
      </c>
      <c r="H92" t="s">
        <v>2043</v>
      </c>
      <c r="I92" t="s">
        <v>2044</v>
      </c>
      <c r="J92" t="str" cm="1">
        <f t="array" ref="J92">IF(SUM(COUNTIF(Text_Preprocessing__224[[#This Row],[full_text]],{"*makan siang gratis*";"*MBG*";"*makan gratis*";"*makan bergizi gratis*";"*makangratis*";"*makanan gratis*"})),"Relevan","Tidak Relevan")</f>
        <v>Relevan</v>
      </c>
    </row>
    <row r="93" spans="1:11" x14ac:dyDescent="0.35">
      <c r="A93">
        <f t="shared" si="1"/>
        <v>92</v>
      </c>
      <c r="B93">
        <v>98</v>
      </c>
      <c r="C93" t="s">
        <v>2045</v>
      </c>
      <c r="D93" t="s">
        <v>143</v>
      </c>
      <c r="E93" t="s">
        <v>2046</v>
      </c>
      <c r="F93" t="s">
        <v>1929</v>
      </c>
      <c r="G93" t="s">
        <v>2047</v>
      </c>
      <c r="H93" t="s">
        <v>2048</v>
      </c>
      <c r="I93" t="s">
        <v>2049</v>
      </c>
      <c r="J93" t="str" cm="1">
        <f t="array" ref="J93">IF(SUM(COUNTIF(Text_Preprocessing__224[[#This Row],[full_text]],{"*makan siang gratis*";"*MBG*";"*makan gratis*";"*makan bergizi gratis*";"*makangratis*";"*makanan gratis*"})),"Relevan","Tidak Relevan")</f>
        <v>Relevan</v>
      </c>
    </row>
    <row r="94" spans="1:11" x14ac:dyDescent="0.35">
      <c r="A94">
        <f t="shared" si="1"/>
        <v>93</v>
      </c>
      <c r="B94">
        <v>99</v>
      </c>
      <c r="C94" t="s">
        <v>2050</v>
      </c>
      <c r="D94" t="s">
        <v>137</v>
      </c>
      <c r="E94" t="s">
        <v>2051</v>
      </c>
      <c r="F94" t="s">
        <v>2052</v>
      </c>
      <c r="G94" t="s">
        <v>2053</v>
      </c>
      <c r="H94" t="s">
        <v>2053</v>
      </c>
      <c r="I94" t="s">
        <v>2054</v>
      </c>
      <c r="J94" t="str" cm="1">
        <f t="array" ref="J94">IF(SUM(COUNTIF(Text_Preprocessing__224[[#This Row],[full_text]],{"*makan siang gratis*";"*MBG*";"*makan gratis*";"*makan bergizi gratis*";"*makangratis*";"*makanan gratis*"})),"Relevan","Tidak Relevan")</f>
        <v>Relevan</v>
      </c>
    </row>
    <row r="95" spans="1:11" x14ac:dyDescent="0.35">
      <c r="A95">
        <f t="shared" si="1"/>
        <v>94</v>
      </c>
      <c r="B95">
        <v>100</v>
      </c>
      <c r="C95" t="s">
        <v>2055</v>
      </c>
      <c r="D95" t="s">
        <v>180</v>
      </c>
      <c r="E95" t="s">
        <v>2056</v>
      </c>
      <c r="F95" t="s">
        <v>2008</v>
      </c>
      <c r="G95" t="s">
        <v>2057</v>
      </c>
      <c r="H95" t="s">
        <v>2057</v>
      </c>
      <c r="I95" t="s">
        <v>2058</v>
      </c>
      <c r="J95" t="str" cm="1">
        <f t="array" ref="J95">IF(SUM(COUNTIF(Text_Preprocessing__224[[#This Row],[full_text]],{"*makan siang gratis*";"*MBG*";"*makan gratis*";"*makan bergizi gratis*";"*makangratis*";"*makanan gratis*"})),"Relevan","Tidak Relevan")</f>
        <v>Relevan</v>
      </c>
    </row>
    <row r="96" spans="1:11" x14ac:dyDescent="0.35">
      <c r="A96">
        <f t="shared" si="1"/>
        <v>95</v>
      </c>
      <c r="B96">
        <v>101</v>
      </c>
      <c r="C96" t="s">
        <v>2059</v>
      </c>
      <c r="D96" t="s">
        <v>182</v>
      </c>
      <c r="E96" t="s">
        <v>2060</v>
      </c>
      <c r="F96" t="s">
        <v>1692</v>
      </c>
      <c r="G96" t="s">
        <v>2061</v>
      </c>
      <c r="H96" t="s">
        <v>2061</v>
      </c>
      <c r="I96" t="s">
        <v>2062</v>
      </c>
      <c r="J96" t="str" cm="1">
        <f t="array" ref="J96">IF(SUM(COUNTIF(Text_Preprocessing__224[[#This Row],[full_text]],{"*makan siang gratis*";"*MBG*";"*makan gratis*";"*makan bergizi gratis*";"*makangratis*";"*makanan gratis*"})),"Relevan","Tidak Relevan")</f>
        <v>Relevan</v>
      </c>
    </row>
    <row r="97" spans="1:10" x14ac:dyDescent="0.35">
      <c r="A97">
        <f t="shared" si="1"/>
        <v>96</v>
      </c>
      <c r="B97">
        <v>102</v>
      </c>
      <c r="C97" t="s">
        <v>2063</v>
      </c>
      <c r="D97" t="s">
        <v>172</v>
      </c>
      <c r="E97" t="s">
        <v>2064</v>
      </c>
      <c r="F97" t="s">
        <v>1674</v>
      </c>
      <c r="G97" t="s">
        <v>2065</v>
      </c>
      <c r="H97" t="s">
        <v>2065</v>
      </c>
      <c r="I97" t="s">
        <v>2066</v>
      </c>
      <c r="J97" t="str" cm="1">
        <f t="array" ref="J97">IF(SUM(COUNTIF(Text_Preprocessing__224[[#This Row],[full_text]],{"*makan siang gratis*";"*MBG*";"*makan gratis*";"*makan bergizi gratis*";"*makangratis*";"*makanan gratis*"})),"Relevan","Tidak Relevan")</f>
        <v>Relevan</v>
      </c>
    </row>
    <row r="98" spans="1:10" x14ac:dyDescent="0.35">
      <c r="A98">
        <f t="shared" si="1"/>
        <v>97</v>
      </c>
      <c r="B98">
        <v>103</v>
      </c>
      <c r="C98" t="s">
        <v>2067</v>
      </c>
      <c r="D98" t="s">
        <v>185</v>
      </c>
      <c r="E98" t="s">
        <v>2068</v>
      </c>
      <c r="F98" t="s">
        <v>2069</v>
      </c>
      <c r="G98" t="s">
        <v>2070</v>
      </c>
      <c r="H98" t="s">
        <v>2070</v>
      </c>
      <c r="I98" t="s">
        <v>2071</v>
      </c>
      <c r="J98" t="str" cm="1">
        <f t="array" ref="J98">IF(SUM(COUNTIF(Text_Preprocessing__224[[#This Row],[full_text]],{"*makan siang gratis*";"*MBG*";"*makan gratis*";"*makan bergizi gratis*";"*makangratis*";"*makanan gratis*"})),"Relevan","Tidak Relevan")</f>
        <v>Relevan</v>
      </c>
    </row>
    <row r="99" spans="1:10" x14ac:dyDescent="0.35">
      <c r="A99">
        <f t="shared" si="1"/>
        <v>98</v>
      </c>
      <c r="B99">
        <v>104</v>
      </c>
      <c r="C99" t="s">
        <v>2072</v>
      </c>
      <c r="D99" t="s">
        <v>76</v>
      </c>
      <c r="E99" t="s">
        <v>2073</v>
      </c>
      <c r="F99" t="s">
        <v>2074</v>
      </c>
      <c r="G99" t="s">
        <v>2075</v>
      </c>
      <c r="H99" t="s">
        <v>2075</v>
      </c>
      <c r="I99" t="s">
        <v>2076</v>
      </c>
      <c r="J99" t="str" cm="1">
        <f t="array" ref="J99">IF(SUM(COUNTIF(Text_Preprocessing__224[[#This Row],[full_text]],{"*makan siang gratis*";"*MBG*";"*makan gratis*";"*makan bergizi gratis*";"*makangratis*";"*makanan gratis*"})),"Relevan","Tidak Relevan")</f>
        <v>Relevan</v>
      </c>
    </row>
    <row r="100" spans="1:10" x14ac:dyDescent="0.35">
      <c r="A100">
        <f t="shared" si="1"/>
        <v>99</v>
      </c>
      <c r="B100">
        <v>105</v>
      </c>
      <c r="C100" t="s">
        <v>2077</v>
      </c>
      <c r="D100" t="s">
        <v>182</v>
      </c>
      <c r="E100" t="s">
        <v>2078</v>
      </c>
      <c r="F100" t="s">
        <v>1809</v>
      </c>
      <c r="G100" t="s">
        <v>2078</v>
      </c>
      <c r="H100" t="s">
        <v>2078</v>
      </c>
      <c r="I100" t="s">
        <v>2079</v>
      </c>
      <c r="J100" t="str" cm="1">
        <f t="array" ref="J100">IF(SUM(COUNTIF(Text_Preprocessing__224[[#This Row],[full_text]],{"*makan siang gratis*";"*MBG*";"*makan gratis*";"*makan bergizi gratis*";"*makangratis*";"*makanan gratis*"})),"Relevan","Tidak Relevan")</f>
        <v>Relevan</v>
      </c>
    </row>
    <row r="101" spans="1:10" x14ac:dyDescent="0.35">
      <c r="A101">
        <f t="shared" si="1"/>
        <v>100</v>
      </c>
      <c r="B101">
        <v>106</v>
      </c>
      <c r="C101" t="s">
        <v>2080</v>
      </c>
      <c r="D101" t="s">
        <v>189</v>
      </c>
      <c r="E101" t="s">
        <v>2081</v>
      </c>
      <c r="F101" t="s">
        <v>2082</v>
      </c>
      <c r="G101" t="s">
        <v>2083</v>
      </c>
      <c r="H101" t="s">
        <v>2084</v>
      </c>
      <c r="I101" t="s">
        <v>2085</v>
      </c>
      <c r="J101" t="str" cm="1">
        <f t="array" ref="J101">IF(SUM(COUNTIF(Text_Preprocessing__224[[#This Row],[full_text]],{"*makan siang gratis*";"*MBG*";"*makan gratis*";"*makan bergizi gratis*";"*makangratis*";"*makanan gratis*"})),"Relevan","Tidak Relevan")</f>
        <v>Relevan</v>
      </c>
    </row>
    <row r="102" spans="1:10" x14ac:dyDescent="0.35">
      <c r="A102">
        <f t="shared" si="1"/>
        <v>101</v>
      </c>
      <c r="B102">
        <v>107</v>
      </c>
      <c r="C102" t="s">
        <v>2086</v>
      </c>
      <c r="D102" t="s">
        <v>93</v>
      </c>
      <c r="E102" t="s">
        <v>2087</v>
      </c>
      <c r="F102" t="s">
        <v>1596</v>
      </c>
      <c r="G102" t="s">
        <v>2088</v>
      </c>
      <c r="H102" t="s">
        <v>2088</v>
      </c>
      <c r="I102" t="s">
        <v>2089</v>
      </c>
      <c r="J102" t="str" cm="1">
        <f t="array" ref="J102">IF(SUM(COUNTIF(Text_Preprocessing__224[[#This Row],[full_text]],{"*makan siang gratis*";"*MBG*";"*makan gratis*";"*makan bergizi gratis*";"*makangratis*";"*makanan gratis*"})),"Relevan","Tidak Relevan")</f>
        <v>Relevan</v>
      </c>
    </row>
    <row r="103" spans="1:10" x14ac:dyDescent="0.35">
      <c r="A103">
        <f t="shared" si="1"/>
        <v>102</v>
      </c>
      <c r="B103">
        <v>108</v>
      </c>
      <c r="C103" t="s">
        <v>2090</v>
      </c>
      <c r="D103" t="s">
        <v>192</v>
      </c>
      <c r="E103" t="s">
        <v>2091</v>
      </c>
      <c r="F103" t="s">
        <v>2092</v>
      </c>
      <c r="G103" t="s">
        <v>2093</v>
      </c>
      <c r="H103" t="s">
        <v>2093</v>
      </c>
      <c r="I103" t="s">
        <v>2094</v>
      </c>
      <c r="J103" t="str" cm="1">
        <f t="array" ref="J103">IF(SUM(COUNTIF(Text_Preprocessing__224[[#This Row],[full_text]],{"*makan siang gratis*";"*MBG*";"*makan gratis*";"*makan bergizi gratis*";"*makangratis*";"*makanan gratis*"})),"Relevan","Tidak Relevan")</f>
        <v>Relevan</v>
      </c>
    </row>
    <row r="104" spans="1:10" x14ac:dyDescent="0.35">
      <c r="A104">
        <f t="shared" si="1"/>
        <v>103</v>
      </c>
      <c r="B104">
        <v>109</v>
      </c>
      <c r="C104" t="s">
        <v>2095</v>
      </c>
      <c r="D104" t="s">
        <v>93</v>
      </c>
      <c r="E104" t="s">
        <v>2096</v>
      </c>
      <c r="F104" t="s">
        <v>1730</v>
      </c>
      <c r="G104" t="s">
        <v>2097</v>
      </c>
      <c r="H104" t="s">
        <v>2097</v>
      </c>
      <c r="I104" t="s">
        <v>2098</v>
      </c>
      <c r="J104" t="str" cm="1">
        <f t="array" ref="J104">IF(SUM(COUNTIF(Text_Preprocessing__224[[#This Row],[full_text]],{"*makan siang gratis*";"*MBG*";"*makan gratis*";"*makan bergizi gratis*";"*makangratis*";"*makanan gratis*"})),"Relevan","Tidak Relevan")</f>
        <v>Relevan</v>
      </c>
    </row>
    <row r="105" spans="1:10" x14ac:dyDescent="0.35">
      <c r="A105">
        <f t="shared" si="1"/>
        <v>104</v>
      </c>
      <c r="B105">
        <v>110</v>
      </c>
      <c r="C105" t="s">
        <v>2099</v>
      </c>
      <c r="D105" t="s">
        <v>174</v>
      </c>
      <c r="E105" t="s">
        <v>2100</v>
      </c>
      <c r="F105" t="s">
        <v>1629</v>
      </c>
      <c r="G105" t="s">
        <v>2101</v>
      </c>
      <c r="H105" t="s">
        <v>2101</v>
      </c>
      <c r="I105" t="s">
        <v>2102</v>
      </c>
      <c r="J105" t="str" cm="1">
        <f t="array" ref="J105">IF(SUM(COUNTIF(Text_Preprocessing__224[[#This Row],[full_text]],{"*makan siang gratis*";"*MBG*";"*makan gratis*";"*makan bergizi gratis*";"*makangratis*";"*makanan gratis*"})),"Relevan","Tidak Relevan")</f>
        <v>Relevan</v>
      </c>
    </row>
    <row r="106" spans="1:10" x14ac:dyDescent="0.35">
      <c r="A106">
        <f t="shared" si="1"/>
        <v>105</v>
      </c>
      <c r="B106">
        <v>111</v>
      </c>
      <c r="C106" t="s">
        <v>2103</v>
      </c>
      <c r="D106" t="s">
        <v>196</v>
      </c>
      <c r="E106" t="s">
        <v>2104</v>
      </c>
      <c r="F106" t="s">
        <v>1735</v>
      </c>
      <c r="G106" t="s">
        <v>2105</v>
      </c>
      <c r="H106" t="s">
        <v>2105</v>
      </c>
      <c r="I106" t="s">
        <v>2106</v>
      </c>
      <c r="J106" t="str" cm="1">
        <f t="array" ref="J106">IF(SUM(COUNTIF(Text_Preprocessing__224[[#This Row],[full_text]],{"*makan siang gratis*";"*MBG*";"*makan gratis*";"*makan bergizi gratis*";"*makangratis*";"*makanan gratis*"})),"Relevan","Tidak Relevan")</f>
        <v>Relevan</v>
      </c>
    </row>
    <row r="107" spans="1:10" x14ac:dyDescent="0.35">
      <c r="A107">
        <f t="shared" si="1"/>
        <v>106</v>
      </c>
      <c r="B107">
        <v>112</v>
      </c>
      <c r="C107" t="s">
        <v>2107</v>
      </c>
      <c r="D107" t="s">
        <v>137</v>
      </c>
      <c r="E107" t="s">
        <v>2108</v>
      </c>
      <c r="F107" t="s">
        <v>2109</v>
      </c>
      <c r="G107" t="s">
        <v>2110</v>
      </c>
      <c r="H107" t="s">
        <v>2110</v>
      </c>
      <c r="I107" t="s">
        <v>2111</v>
      </c>
      <c r="J107" t="str" cm="1">
        <f t="array" ref="J107">IF(SUM(COUNTIF(Text_Preprocessing__224[[#This Row],[full_text]],{"*makan siang gratis*";"*MBG*";"*makan gratis*";"*makan bergizi gratis*";"*makangratis*";"*makanan gratis*"})),"Relevan","Tidak Relevan")</f>
        <v>Relevan</v>
      </c>
    </row>
    <row r="108" spans="1:10" x14ac:dyDescent="0.35">
      <c r="A108">
        <f t="shared" si="1"/>
        <v>107</v>
      </c>
      <c r="B108">
        <v>113</v>
      </c>
      <c r="C108" t="s">
        <v>2112</v>
      </c>
      <c r="D108" t="s">
        <v>137</v>
      </c>
      <c r="E108" t="s">
        <v>2113</v>
      </c>
      <c r="F108" t="s">
        <v>2114</v>
      </c>
      <c r="G108" t="s">
        <v>2115</v>
      </c>
      <c r="H108" t="s">
        <v>2115</v>
      </c>
      <c r="I108" t="s">
        <v>2116</v>
      </c>
      <c r="J108" t="str" cm="1">
        <f t="array" ref="J108">IF(SUM(COUNTIF(Text_Preprocessing__224[[#This Row],[full_text]],{"*makan siang gratis*";"*MBG*";"*makan gratis*";"*makan bergizi gratis*";"*makangratis*";"*makanan gratis*"})),"Relevan","Tidak Relevan")</f>
        <v>Relevan</v>
      </c>
    </row>
    <row r="109" spans="1:10" x14ac:dyDescent="0.35">
      <c r="A109">
        <f t="shared" si="1"/>
        <v>108</v>
      </c>
      <c r="B109">
        <v>114</v>
      </c>
      <c r="C109" t="s">
        <v>2117</v>
      </c>
      <c r="D109" t="s">
        <v>200</v>
      </c>
      <c r="E109" t="s">
        <v>2118</v>
      </c>
      <c r="F109" t="s">
        <v>1724</v>
      </c>
      <c r="G109" t="s">
        <v>2119</v>
      </c>
      <c r="H109" t="s">
        <v>3657</v>
      </c>
      <c r="I109" t="s">
        <v>3658</v>
      </c>
      <c r="J109" t="str" cm="1">
        <f t="array" ref="J109">IF(SUM(COUNTIF(Text_Preprocessing__224[[#This Row],[full_text]],{"*makan siang gratis*";"*MBG*";"*makan gratis*";"*makan bergizi gratis*";"*makangratis*";"*makanan gratis*"})),"Relevan","Tidak Relevan")</f>
        <v>Relevan</v>
      </c>
    </row>
    <row r="110" spans="1:10" x14ac:dyDescent="0.35">
      <c r="A110">
        <f t="shared" si="1"/>
        <v>109</v>
      </c>
      <c r="B110">
        <v>115</v>
      </c>
      <c r="C110" t="s">
        <v>2121</v>
      </c>
      <c r="D110" t="s">
        <v>202</v>
      </c>
      <c r="E110" t="s">
        <v>2122</v>
      </c>
      <c r="F110" t="s">
        <v>1596</v>
      </c>
      <c r="G110" t="s">
        <v>2123</v>
      </c>
      <c r="H110" t="s">
        <v>2123</v>
      </c>
      <c r="I110" t="s">
        <v>2124</v>
      </c>
      <c r="J110" t="str" cm="1">
        <f t="array" ref="J110">IF(SUM(COUNTIF(Text_Preprocessing__224[[#This Row],[full_text]],{"*makan siang gratis*";"*MBG*";"*makan gratis*";"*makan bergizi gratis*";"*makangratis*";"*makanan gratis*"})),"Relevan","Tidak Relevan")</f>
        <v>Relevan</v>
      </c>
    </row>
    <row r="111" spans="1:10" x14ac:dyDescent="0.35">
      <c r="A111">
        <f t="shared" si="1"/>
        <v>110</v>
      </c>
      <c r="B111">
        <v>116</v>
      </c>
      <c r="C111" t="s">
        <v>2125</v>
      </c>
      <c r="D111" t="s">
        <v>202</v>
      </c>
      <c r="E111" t="s">
        <v>2126</v>
      </c>
      <c r="F111" t="s">
        <v>1888</v>
      </c>
      <c r="G111" t="s">
        <v>2126</v>
      </c>
      <c r="H111" t="s">
        <v>2126</v>
      </c>
      <c r="I111" t="s">
        <v>2127</v>
      </c>
      <c r="J111" t="str" cm="1">
        <f t="array" ref="J111">IF(SUM(COUNTIF(Text_Preprocessing__224[[#This Row],[full_text]],{"*makan siang gratis*";"*MBG*";"*makan gratis*";"*makan bergizi gratis*";"*makangratis*";"*makanan gratis*"})),"Relevan","Tidak Relevan")</f>
        <v>Relevan</v>
      </c>
    </row>
    <row r="112" spans="1:10" x14ac:dyDescent="0.35">
      <c r="A112">
        <f t="shared" si="1"/>
        <v>111</v>
      </c>
      <c r="B112">
        <v>117</v>
      </c>
      <c r="C112" t="s">
        <v>2128</v>
      </c>
      <c r="D112" t="s">
        <v>205</v>
      </c>
      <c r="E112" t="s">
        <v>2129</v>
      </c>
      <c r="F112" t="s">
        <v>1730</v>
      </c>
      <c r="G112" t="s">
        <v>2130</v>
      </c>
      <c r="H112" t="s">
        <v>2130</v>
      </c>
      <c r="I112" t="s">
        <v>2131</v>
      </c>
      <c r="J112" t="str" cm="1">
        <f t="array" ref="J112">IF(SUM(COUNTIF(Text_Preprocessing__224[[#This Row],[full_text]],{"*makan siang gratis*";"*MBG*";"*makan gratis*";"*makan bergizi gratis*";"*makangratis*";"*makanan gratis*"})),"Relevan","Tidak Relevan")</f>
        <v>Relevan</v>
      </c>
    </row>
    <row r="113" spans="1:10" x14ac:dyDescent="0.35">
      <c r="A113">
        <f t="shared" si="1"/>
        <v>112</v>
      </c>
      <c r="B113">
        <v>118</v>
      </c>
      <c r="C113" t="s">
        <v>2132</v>
      </c>
      <c r="D113" t="s">
        <v>207</v>
      </c>
      <c r="E113" t="s">
        <v>2133</v>
      </c>
      <c r="F113" t="s">
        <v>2134</v>
      </c>
      <c r="G113" t="s">
        <v>2135</v>
      </c>
      <c r="H113" t="s">
        <v>2135</v>
      </c>
      <c r="I113" t="s">
        <v>2136</v>
      </c>
      <c r="J113" t="str" cm="1">
        <f t="array" ref="J113">IF(SUM(COUNTIF(Text_Preprocessing__224[[#This Row],[full_text]],{"*makan siang gratis*";"*MBG*";"*makan gratis*";"*makan bergizi gratis*";"*makangratis*";"*makanan gratis*"})),"Relevan","Tidak Relevan")</f>
        <v>Relevan</v>
      </c>
    </row>
    <row r="114" spans="1:10" x14ac:dyDescent="0.35">
      <c r="A114">
        <f t="shared" si="1"/>
        <v>113</v>
      </c>
      <c r="B114">
        <v>119</v>
      </c>
      <c r="C114" t="s">
        <v>2137</v>
      </c>
      <c r="D114" t="s">
        <v>209</v>
      </c>
      <c r="E114" t="s">
        <v>2138</v>
      </c>
      <c r="F114" t="s">
        <v>1844</v>
      </c>
      <c r="G114" t="s">
        <v>2139</v>
      </c>
      <c r="H114" t="s">
        <v>2139</v>
      </c>
      <c r="I114" t="s">
        <v>2140</v>
      </c>
      <c r="J114" t="str" cm="1">
        <f t="array" ref="J114">IF(SUM(COUNTIF(Text_Preprocessing__224[[#This Row],[full_text]],{"*makan siang gratis*";"*MBG*";"*makan gratis*";"*makan bergizi gratis*";"*makangratis*";"*makanan gratis*"})),"Relevan","Tidak Relevan")</f>
        <v>Relevan</v>
      </c>
    </row>
    <row r="115" spans="1:10" x14ac:dyDescent="0.35">
      <c r="A115">
        <f t="shared" si="1"/>
        <v>114</v>
      </c>
      <c r="B115">
        <v>120</v>
      </c>
      <c r="C115" t="s">
        <v>2141</v>
      </c>
      <c r="D115" t="s">
        <v>211</v>
      </c>
      <c r="E115" t="s">
        <v>2142</v>
      </c>
      <c r="F115" t="s">
        <v>2143</v>
      </c>
      <c r="G115" t="s">
        <v>2144</v>
      </c>
      <c r="H115" t="s">
        <v>2145</v>
      </c>
      <c r="I115" t="s">
        <v>2146</v>
      </c>
      <c r="J115" t="str" cm="1">
        <f t="array" ref="J115">IF(SUM(COUNTIF(Text_Preprocessing__224[[#This Row],[full_text]],{"*makan siang gratis*";"*MBG*";"*makan gratis*";"*makan bergizi gratis*";"*makangratis*";"*makanan gratis*"})),"Relevan","Tidak Relevan")</f>
        <v>Relevan</v>
      </c>
    </row>
    <row r="116" spans="1:10" x14ac:dyDescent="0.35">
      <c r="A116">
        <f t="shared" si="1"/>
        <v>115</v>
      </c>
      <c r="B116">
        <v>121</v>
      </c>
      <c r="C116" t="s">
        <v>2147</v>
      </c>
      <c r="D116" t="s">
        <v>213</v>
      </c>
      <c r="E116" t="s">
        <v>2148</v>
      </c>
      <c r="F116" t="s">
        <v>2149</v>
      </c>
      <c r="G116" t="s">
        <v>2150</v>
      </c>
      <c r="H116" t="s">
        <v>2150</v>
      </c>
      <c r="I116" t="s">
        <v>2151</v>
      </c>
      <c r="J116" t="str" cm="1">
        <f t="array" ref="J116">IF(SUM(COUNTIF(Text_Preprocessing__224[[#This Row],[full_text]],{"*makan siang gratis*";"*MBG*";"*makan gratis*";"*makan bergizi gratis*";"*makangratis*";"*makanan gratis*"})),"Relevan","Tidak Relevan")</f>
        <v>Relevan</v>
      </c>
    </row>
    <row r="117" spans="1:10" x14ac:dyDescent="0.35">
      <c r="A117">
        <f t="shared" si="1"/>
        <v>116</v>
      </c>
      <c r="B117">
        <v>122</v>
      </c>
      <c r="C117" t="s">
        <v>2152</v>
      </c>
      <c r="D117" t="s">
        <v>215</v>
      </c>
      <c r="E117" t="s">
        <v>2153</v>
      </c>
      <c r="F117" t="s">
        <v>2154</v>
      </c>
      <c r="G117" t="s">
        <v>2155</v>
      </c>
      <c r="H117" t="s">
        <v>2155</v>
      </c>
      <c r="I117" t="s">
        <v>2156</v>
      </c>
      <c r="J117" t="str" cm="1">
        <f t="array" ref="J117">IF(SUM(COUNTIF(Text_Preprocessing__224[[#This Row],[full_text]],{"*makan siang gratis*";"*MBG*";"*makan gratis*";"*makan bergizi gratis*";"*makangratis*";"*makanan gratis*"})),"Relevan","Tidak Relevan")</f>
        <v>Relevan</v>
      </c>
    </row>
    <row r="118" spans="1:10" x14ac:dyDescent="0.35">
      <c r="A118">
        <f t="shared" si="1"/>
        <v>117</v>
      </c>
      <c r="B118">
        <v>123</v>
      </c>
      <c r="C118" t="s">
        <v>2157</v>
      </c>
      <c r="D118" t="s">
        <v>217</v>
      </c>
      <c r="E118" t="s">
        <v>2158</v>
      </c>
      <c r="F118" t="s">
        <v>2159</v>
      </c>
      <c r="G118" t="s">
        <v>2160</v>
      </c>
      <c r="H118" t="s">
        <v>2160</v>
      </c>
      <c r="I118" t="s">
        <v>2161</v>
      </c>
      <c r="J118" t="str" cm="1">
        <f t="array" ref="J118">IF(SUM(COUNTIF(Text_Preprocessing__224[[#This Row],[full_text]],{"*makan siang gratis*";"*MBG*";"*makan gratis*";"*makan bergizi gratis*";"*makangratis*";"*makanan gratis*"})),"Relevan","Tidak Relevan")</f>
        <v>Relevan</v>
      </c>
    </row>
    <row r="119" spans="1:10" x14ac:dyDescent="0.35">
      <c r="A119">
        <f t="shared" si="1"/>
        <v>118</v>
      </c>
      <c r="B119">
        <v>124</v>
      </c>
      <c r="C119" t="s">
        <v>2162</v>
      </c>
      <c r="D119" t="s">
        <v>219</v>
      </c>
      <c r="E119" t="s">
        <v>2163</v>
      </c>
      <c r="F119" t="s">
        <v>2164</v>
      </c>
      <c r="G119" t="s">
        <v>2165</v>
      </c>
      <c r="H119" t="s">
        <v>2165</v>
      </c>
      <c r="I119" t="s">
        <v>2166</v>
      </c>
      <c r="J119" t="str" cm="1">
        <f t="array" ref="J119">IF(SUM(COUNTIF(Text_Preprocessing__224[[#This Row],[full_text]],{"*makan siang gratis*";"*MBG*";"*makan gratis*";"*makan bergizi gratis*";"*makangratis*";"*makanan gratis*"})),"Relevan","Tidak Relevan")</f>
        <v>Relevan</v>
      </c>
    </row>
    <row r="120" spans="1:10" x14ac:dyDescent="0.35">
      <c r="A120">
        <f t="shared" si="1"/>
        <v>119</v>
      </c>
      <c r="B120">
        <v>125</v>
      </c>
      <c r="C120" t="s">
        <v>2167</v>
      </c>
      <c r="D120" t="s">
        <v>221</v>
      </c>
      <c r="E120" t="s">
        <v>2168</v>
      </c>
      <c r="F120" t="s">
        <v>1804</v>
      </c>
      <c r="G120" t="s">
        <v>2169</v>
      </c>
      <c r="H120" t="s">
        <v>2169</v>
      </c>
      <c r="I120" t="s">
        <v>2170</v>
      </c>
      <c r="J120" t="str" cm="1">
        <f t="array" ref="J120">IF(SUM(COUNTIF(Text_Preprocessing__224[[#This Row],[full_text]],{"*makan siang gratis*";"*MBG*";"*makan gratis*";"*makan bergizi gratis*";"*makangratis*";"*makanan gratis*"})),"Relevan","Tidak Relevan")</f>
        <v>Relevan</v>
      </c>
    </row>
    <row r="121" spans="1:10" x14ac:dyDescent="0.35">
      <c r="A121">
        <f t="shared" si="1"/>
        <v>120</v>
      </c>
      <c r="B121">
        <v>126</v>
      </c>
      <c r="C121" t="s">
        <v>2171</v>
      </c>
      <c r="D121" t="s">
        <v>223</v>
      </c>
      <c r="E121" t="s">
        <v>2172</v>
      </c>
      <c r="F121" t="s">
        <v>2109</v>
      </c>
      <c r="G121" t="s">
        <v>2173</v>
      </c>
      <c r="H121" t="s">
        <v>2173</v>
      </c>
      <c r="I121" t="s">
        <v>2174</v>
      </c>
      <c r="J121" t="str" cm="1">
        <f t="array" ref="J121">IF(SUM(COUNTIF(Text_Preprocessing__224[[#This Row],[full_text]],{"*makan siang gratis*";"*MBG*";"*makan gratis*";"*makan bergizi gratis*";"*makangratis*";"*makanan gratis*"})),"Relevan","Tidak Relevan")</f>
        <v>Relevan</v>
      </c>
    </row>
    <row r="122" spans="1:10" x14ac:dyDescent="0.35">
      <c r="A122">
        <f t="shared" si="1"/>
        <v>121</v>
      </c>
      <c r="B122">
        <v>127</v>
      </c>
      <c r="C122" t="s">
        <v>2175</v>
      </c>
      <c r="D122" t="s">
        <v>225</v>
      </c>
      <c r="E122" t="s">
        <v>2176</v>
      </c>
      <c r="F122" t="s">
        <v>2177</v>
      </c>
      <c r="G122" t="s">
        <v>2178</v>
      </c>
      <c r="H122" t="s">
        <v>2178</v>
      </c>
      <c r="I122" t="s">
        <v>2179</v>
      </c>
      <c r="J122" t="str" cm="1">
        <f t="array" ref="J122">IF(SUM(COUNTIF(Text_Preprocessing__224[[#This Row],[full_text]],{"*makan siang gratis*";"*MBG*";"*makan gratis*";"*makan bergizi gratis*";"*makangratis*";"*makanan gratis*"})),"Relevan","Tidak Relevan")</f>
        <v>Relevan</v>
      </c>
    </row>
    <row r="123" spans="1:10" x14ac:dyDescent="0.35">
      <c r="A123">
        <f t="shared" si="1"/>
        <v>122</v>
      </c>
      <c r="B123">
        <v>128</v>
      </c>
      <c r="C123" t="s">
        <v>2180</v>
      </c>
      <c r="D123" t="s">
        <v>227</v>
      </c>
      <c r="E123" t="s">
        <v>2181</v>
      </c>
      <c r="F123" t="s">
        <v>1804</v>
      </c>
      <c r="G123" t="s">
        <v>2182</v>
      </c>
      <c r="H123" t="s">
        <v>2182</v>
      </c>
      <c r="I123" t="s">
        <v>2183</v>
      </c>
      <c r="J123" t="str" cm="1">
        <f t="array" ref="J123">IF(SUM(COUNTIF(Text_Preprocessing__224[[#This Row],[full_text]],{"*makan siang gratis*";"*MBG*";"*makan gratis*";"*makan bergizi gratis*";"*makangratis*";"*makanan gratis*"})),"Relevan","Tidak Relevan")</f>
        <v>Relevan</v>
      </c>
    </row>
    <row r="124" spans="1:10" x14ac:dyDescent="0.35">
      <c r="A124">
        <f t="shared" si="1"/>
        <v>123</v>
      </c>
      <c r="B124">
        <v>129</v>
      </c>
      <c r="C124" t="s">
        <v>2184</v>
      </c>
      <c r="D124" t="s">
        <v>229</v>
      </c>
      <c r="E124" t="s">
        <v>2185</v>
      </c>
      <c r="F124" t="s">
        <v>2186</v>
      </c>
      <c r="G124" t="s">
        <v>2187</v>
      </c>
      <c r="H124" t="s">
        <v>2187</v>
      </c>
      <c r="I124" t="s">
        <v>2188</v>
      </c>
      <c r="J124" t="str" cm="1">
        <f t="array" ref="J124">IF(SUM(COUNTIF(Text_Preprocessing__224[[#This Row],[full_text]],{"*makan siang gratis*";"*MBG*";"*makan gratis*";"*makan bergizi gratis*";"*makangratis*";"*makanan gratis*"})),"Relevan","Tidak Relevan")</f>
        <v>Relevan</v>
      </c>
    </row>
    <row r="125" spans="1:10" x14ac:dyDescent="0.35">
      <c r="A125">
        <f t="shared" si="1"/>
        <v>124</v>
      </c>
      <c r="B125">
        <v>130</v>
      </c>
      <c r="C125" t="s">
        <v>2189</v>
      </c>
      <c r="D125" t="s">
        <v>231</v>
      </c>
      <c r="E125" t="s">
        <v>2190</v>
      </c>
      <c r="F125" t="s">
        <v>2191</v>
      </c>
      <c r="G125" t="s">
        <v>2192</v>
      </c>
      <c r="H125" t="s">
        <v>2192</v>
      </c>
      <c r="I125" t="s">
        <v>2193</v>
      </c>
      <c r="J125" t="str" cm="1">
        <f t="array" ref="J125">IF(SUM(COUNTIF(Text_Preprocessing__224[[#This Row],[full_text]],{"*makan siang gratis*";"*MBG*";"*makan gratis*";"*makan bergizi gratis*";"*makangratis*";"*makanan gratis*"})),"Relevan","Tidak Relevan")</f>
        <v>Relevan</v>
      </c>
    </row>
    <row r="126" spans="1:10" x14ac:dyDescent="0.35">
      <c r="A126">
        <f t="shared" si="1"/>
        <v>125</v>
      </c>
      <c r="B126">
        <v>131</v>
      </c>
      <c r="C126" t="s">
        <v>2194</v>
      </c>
      <c r="D126" t="s">
        <v>233</v>
      </c>
      <c r="E126" t="s">
        <v>2195</v>
      </c>
      <c r="F126" t="s">
        <v>2196</v>
      </c>
      <c r="G126" t="s">
        <v>2197</v>
      </c>
      <c r="H126" t="s">
        <v>2197</v>
      </c>
      <c r="I126" t="s">
        <v>2198</v>
      </c>
      <c r="J126" t="str" cm="1">
        <f t="array" ref="J126">IF(SUM(COUNTIF(Text_Preprocessing__224[[#This Row],[full_text]],{"*makan siang gratis*";"*MBG*";"*makan gratis*";"*makan bergizi gratis*";"*makangratis*";"*makanan gratis*"})),"Relevan","Tidak Relevan")</f>
        <v>Relevan</v>
      </c>
    </row>
    <row r="127" spans="1:10" x14ac:dyDescent="0.35">
      <c r="A127">
        <f t="shared" si="1"/>
        <v>126</v>
      </c>
      <c r="B127">
        <v>132</v>
      </c>
      <c r="C127" t="s">
        <v>2199</v>
      </c>
      <c r="D127" t="s">
        <v>235</v>
      </c>
      <c r="E127" t="s">
        <v>2200</v>
      </c>
      <c r="F127" t="s">
        <v>1692</v>
      </c>
      <c r="G127" t="s">
        <v>2201</v>
      </c>
      <c r="H127" t="s">
        <v>2201</v>
      </c>
      <c r="I127" t="s">
        <v>2202</v>
      </c>
      <c r="J127" t="str" cm="1">
        <f t="array" ref="J127">IF(SUM(COUNTIF(Text_Preprocessing__224[[#This Row],[full_text]],{"*makan siang gratis*";"*MBG*";"*makan gratis*";"*makan bergizi gratis*";"*makangratis*";"*makanan gratis*"})),"Relevan","Tidak Relevan")</f>
        <v>Relevan</v>
      </c>
    </row>
    <row r="128" spans="1:10" x14ac:dyDescent="0.35">
      <c r="A128">
        <f t="shared" si="1"/>
        <v>127</v>
      </c>
      <c r="B128">
        <v>133</v>
      </c>
      <c r="C128" t="s">
        <v>2203</v>
      </c>
      <c r="D128" t="s">
        <v>237</v>
      </c>
      <c r="E128" t="s">
        <v>2204</v>
      </c>
      <c r="F128" t="s">
        <v>2205</v>
      </c>
      <c r="G128" t="s">
        <v>2206</v>
      </c>
      <c r="H128" t="s">
        <v>2206</v>
      </c>
      <c r="I128" t="s">
        <v>2207</v>
      </c>
      <c r="J128" t="str" cm="1">
        <f t="array" ref="J128">IF(SUM(COUNTIF(Text_Preprocessing__224[[#This Row],[full_text]],{"*makan siang gratis*";"*MBG*";"*makan gratis*";"*makan bergizi gratis*";"*makangratis*";"*makanan gratis*"})),"Relevan","Tidak Relevan")</f>
        <v>Relevan</v>
      </c>
    </row>
    <row r="129" spans="1:10" x14ac:dyDescent="0.35">
      <c r="A129">
        <f t="shared" si="1"/>
        <v>128</v>
      </c>
      <c r="B129">
        <v>134</v>
      </c>
      <c r="C129" t="s">
        <v>2208</v>
      </c>
      <c r="D129" t="s">
        <v>4</v>
      </c>
      <c r="E129" t="s">
        <v>2209</v>
      </c>
      <c r="F129" t="s">
        <v>2210</v>
      </c>
      <c r="G129" t="s">
        <v>2211</v>
      </c>
      <c r="H129" t="s">
        <v>2211</v>
      </c>
      <c r="I129" t="s">
        <v>2212</v>
      </c>
      <c r="J129" t="str" cm="1">
        <f t="array" ref="J129">IF(SUM(COUNTIF(Text_Preprocessing__224[[#This Row],[full_text]],{"*makan siang gratis*";"*MBG*";"*makan gratis*";"*makan bergizi gratis*";"*makangratis*";"*makanan gratis*"})),"Relevan","Tidak Relevan")</f>
        <v>Relevan</v>
      </c>
    </row>
    <row r="130" spans="1:10" x14ac:dyDescent="0.35">
      <c r="A130">
        <f t="shared" si="1"/>
        <v>129</v>
      </c>
      <c r="B130">
        <v>135</v>
      </c>
      <c r="C130" t="s">
        <v>2213</v>
      </c>
      <c r="D130" t="s">
        <v>242</v>
      </c>
      <c r="E130" t="s">
        <v>2214</v>
      </c>
      <c r="F130" t="s">
        <v>2215</v>
      </c>
      <c r="G130" t="s">
        <v>2216</v>
      </c>
      <c r="H130" t="s">
        <v>2216</v>
      </c>
      <c r="I130" t="s">
        <v>2217</v>
      </c>
      <c r="J130" t="str" cm="1">
        <f t="array" ref="J130">IF(SUM(COUNTIF(Text_Preprocessing__224[[#This Row],[full_text]],{"*makan siang gratis*";"*MBG*";"*makan gratis*";"*makan bergizi gratis*";"*makangratis*";"*makanan gratis*"})),"Relevan","Tidak Relevan")</f>
        <v>Relevan</v>
      </c>
    </row>
    <row r="131" spans="1:10" x14ac:dyDescent="0.35">
      <c r="A131">
        <f t="shared" si="1"/>
        <v>130</v>
      </c>
      <c r="B131">
        <v>136</v>
      </c>
      <c r="C131" t="s">
        <v>2218</v>
      </c>
      <c r="D131" t="s">
        <v>244</v>
      </c>
      <c r="E131" t="s">
        <v>2219</v>
      </c>
      <c r="F131" t="s">
        <v>1624</v>
      </c>
      <c r="G131" t="s">
        <v>2220</v>
      </c>
      <c r="H131" t="s">
        <v>2220</v>
      </c>
      <c r="I131" t="s">
        <v>2221</v>
      </c>
      <c r="J131" t="str" cm="1">
        <f t="array" ref="J131">IF(SUM(COUNTIF(Text_Preprocessing__224[[#This Row],[full_text]],{"*makan siang gratis*";"*MBG*";"*makan gratis*";"*makan bergizi gratis*";"*makangratis*";"*makanan gratis*"})),"Relevan","Tidak Relevan")</f>
        <v>Relevan</v>
      </c>
    </row>
    <row r="132" spans="1:10" x14ac:dyDescent="0.35">
      <c r="A132">
        <f t="shared" ref="A132:A195" si="2">SUM(A131+1)</f>
        <v>131</v>
      </c>
      <c r="B132">
        <v>137</v>
      </c>
      <c r="C132" t="s">
        <v>2222</v>
      </c>
      <c r="D132" t="s">
        <v>246</v>
      </c>
      <c r="E132" t="s">
        <v>2223</v>
      </c>
      <c r="F132" t="s">
        <v>2154</v>
      </c>
      <c r="G132" t="s">
        <v>2224</v>
      </c>
      <c r="H132" t="s">
        <v>2225</v>
      </c>
      <c r="I132" t="s">
        <v>2226</v>
      </c>
      <c r="J132" t="str" cm="1">
        <f t="array" ref="J132">IF(SUM(COUNTIF(Text_Preprocessing__224[[#This Row],[full_text]],{"*makan siang gratis*";"*MBG*";"*makan gratis*";"*makan bergizi gratis*";"*makangratis*";"*makanan gratis*"})),"Relevan","Tidak Relevan")</f>
        <v>Relevan</v>
      </c>
    </row>
    <row r="133" spans="1:10" x14ac:dyDescent="0.35">
      <c r="A133">
        <f t="shared" si="2"/>
        <v>132</v>
      </c>
      <c r="B133">
        <v>138</v>
      </c>
      <c r="C133" t="s">
        <v>2227</v>
      </c>
      <c r="D133" t="s">
        <v>137</v>
      </c>
      <c r="E133" t="s">
        <v>2228</v>
      </c>
      <c r="F133" t="s">
        <v>2229</v>
      </c>
      <c r="G133" t="s">
        <v>2230</v>
      </c>
      <c r="H133" t="s">
        <v>2230</v>
      </c>
      <c r="I133" t="s">
        <v>2231</v>
      </c>
      <c r="J133" t="str" cm="1">
        <f t="array" ref="J133">IF(SUM(COUNTIF(Text_Preprocessing__224[[#This Row],[full_text]],{"*makan siang gratis*";"*MBG*";"*makan gratis*";"*makan bergizi gratis*";"*makangratis*";"*makanan gratis*"})),"Relevan","Tidak Relevan")</f>
        <v>Relevan</v>
      </c>
    </row>
    <row r="134" spans="1:10" x14ac:dyDescent="0.35">
      <c r="A134">
        <f t="shared" si="2"/>
        <v>133</v>
      </c>
      <c r="B134">
        <v>139</v>
      </c>
      <c r="C134" t="s">
        <v>2232</v>
      </c>
      <c r="D134" t="s">
        <v>249</v>
      </c>
      <c r="E134" t="s">
        <v>2233</v>
      </c>
      <c r="F134" t="s">
        <v>2234</v>
      </c>
      <c r="G134" t="s">
        <v>2235</v>
      </c>
      <c r="H134" t="s">
        <v>2235</v>
      </c>
      <c r="I134" t="s">
        <v>2236</v>
      </c>
      <c r="J134" t="str" cm="1">
        <f t="array" ref="J134">IF(SUM(COUNTIF(Text_Preprocessing__224[[#This Row],[full_text]],{"*makan siang gratis*";"*MBG*";"*makan gratis*";"*makan bergizi gratis*";"*makangratis*";"*makanan gratis*"})),"Relevan","Tidak Relevan")</f>
        <v>Relevan</v>
      </c>
    </row>
    <row r="135" spans="1:10" x14ac:dyDescent="0.35">
      <c r="A135">
        <f t="shared" si="2"/>
        <v>134</v>
      </c>
      <c r="B135">
        <v>140</v>
      </c>
      <c r="C135" t="s">
        <v>2237</v>
      </c>
      <c r="D135" t="s">
        <v>251</v>
      </c>
      <c r="E135" t="s">
        <v>2238</v>
      </c>
      <c r="F135" t="s">
        <v>2082</v>
      </c>
      <c r="G135" t="s">
        <v>2239</v>
      </c>
      <c r="H135" t="s">
        <v>2240</v>
      </c>
      <c r="I135" t="s">
        <v>2241</v>
      </c>
      <c r="J135" t="str" cm="1">
        <f t="array" ref="J135">IF(SUM(COUNTIF(Text_Preprocessing__224[[#This Row],[full_text]],{"*makan siang gratis*";"*MBG*";"*makan gratis*";"*makan bergizi gratis*";"*makangratis*";"*makanan gratis*"})),"Relevan","Tidak Relevan")</f>
        <v>Relevan</v>
      </c>
    </row>
    <row r="136" spans="1:10" x14ac:dyDescent="0.35">
      <c r="A136">
        <f t="shared" si="2"/>
        <v>135</v>
      </c>
      <c r="B136">
        <v>141</v>
      </c>
      <c r="C136" t="s">
        <v>2242</v>
      </c>
      <c r="D136" t="s">
        <v>253</v>
      </c>
      <c r="E136" t="s">
        <v>2243</v>
      </c>
      <c r="F136" t="s">
        <v>2229</v>
      </c>
      <c r="G136" t="s">
        <v>2244</v>
      </c>
      <c r="H136" t="s">
        <v>2244</v>
      </c>
      <c r="I136" t="s">
        <v>2245</v>
      </c>
      <c r="J136" t="str" cm="1">
        <f t="array" ref="J136">IF(SUM(COUNTIF(Text_Preprocessing__224[[#This Row],[full_text]],{"*makan siang gratis*";"*MBG*";"*makan gratis*";"*makan bergizi gratis*";"*makangratis*";"*makanan gratis*"})),"Relevan","Tidak Relevan")</f>
        <v>Relevan</v>
      </c>
    </row>
    <row r="137" spans="1:10" x14ac:dyDescent="0.35">
      <c r="A137">
        <f t="shared" si="2"/>
        <v>136</v>
      </c>
      <c r="B137">
        <v>142</v>
      </c>
      <c r="C137" t="s">
        <v>2246</v>
      </c>
      <c r="D137" t="s">
        <v>255</v>
      </c>
      <c r="E137" t="s">
        <v>2247</v>
      </c>
      <c r="F137" t="s">
        <v>2248</v>
      </c>
      <c r="G137" t="s">
        <v>2249</v>
      </c>
      <c r="H137" t="s">
        <v>2249</v>
      </c>
      <c r="I137" t="s">
        <v>2250</v>
      </c>
      <c r="J137" t="str" cm="1">
        <f t="array" ref="J137">IF(SUM(COUNTIF(Text_Preprocessing__224[[#This Row],[full_text]],{"*makan siang gratis*";"*MBG*";"*makan gratis*";"*makan bergizi gratis*";"*makangratis*";"*makanan gratis*"})),"Relevan","Tidak Relevan")</f>
        <v>Relevan</v>
      </c>
    </row>
    <row r="138" spans="1:10" x14ac:dyDescent="0.35">
      <c r="A138">
        <f t="shared" si="2"/>
        <v>137</v>
      </c>
      <c r="B138">
        <v>143</v>
      </c>
      <c r="C138" t="s">
        <v>2251</v>
      </c>
      <c r="D138" t="s">
        <v>213</v>
      </c>
      <c r="E138" t="s">
        <v>2252</v>
      </c>
      <c r="F138" t="s">
        <v>2253</v>
      </c>
      <c r="G138" t="s">
        <v>2254</v>
      </c>
      <c r="H138" t="s">
        <v>2254</v>
      </c>
      <c r="I138" t="s">
        <v>2255</v>
      </c>
      <c r="J138" t="str" cm="1">
        <f t="array" ref="J138">IF(SUM(COUNTIF(Text_Preprocessing__224[[#This Row],[full_text]],{"*makan siang gratis*";"*MBG*";"*makan gratis*";"*makan bergizi gratis*";"*makangratis*";"*makanan gratis*"})),"Relevan","Tidak Relevan")</f>
        <v>Relevan</v>
      </c>
    </row>
    <row r="139" spans="1:10" x14ac:dyDescent="0.35">
      <c r="A139">
        <f t="shared" si="2"/>
        <v>138</v>
      </c>
      <c r="B139">
        <v>144</v>
      </c>
      <c r="C139" t="s">
        <v>2256</v>
      </c>
      <c r="D139" t="s">
        <v>213</v>
      </c>
      <c r="E139" t="s">
        <v>2257</v>
      </c>
      <c r="F139" t="s">
        <v>2258</v>
      </c>
      <c r="G139" t="s">
        <v>2259</v>
      </c>
      <c r="H139" t="s">
        <v>2259</v>
      </c>
      <c r="I139" t="s">
        <v>2260</v>
      </c>
      <c r="J139" t="str" cm="1">
        <f t="array" ref="J139">IF(SUM(COUNTIF(Text_Preprocessing__224[[#This Row],[full_text]],{"*makan siang gratis*";"*MBG*";"*makan gratis*";"*makan bergizi gratis*";"*makangratis*";"*makanan gratis*"})),"Relevan","Tidak Relevan")</f>
        <v>Relevan</v>
      </c>
    </row>
    <row r="140" spans="1:10" x14ac:dyDescent="0.35">
      <c r="A140">
        <f t="shared" si="2"/>
        <v>139</v>
      </c>
      <c r="B140">
        <v>145</v>
      </c>
      <c r="C140" t="s">
        <v>2261</v>
      </c>
      <c r="D140" t="s">
        <v>259</v>
      </c>
      <c r="E140" t="s">
        <v>2262</v>
      </c>
      <c r="F140" t="s">
        <v>2069</v>
      </c>
      <c r="G140" t="s">
        <v>2263</v>
      </c>
      <c r="H140" t="s">
        <v>2263</v>
      </c>
      <c r="I140" t="s">
        <v>2264</v>
      </c>
      <c r="J140" t="str" cm="1">
        <f t="array" ref="J140">IF(SUM(COUNTIF(Text_Preprocessing__224[[#This Row],[full_text]],{"*makan siang gratis*";"*MBG*";"*makan gratis*";"*makan bergizi gratis*";"*makangratis*";"*makanan gratis*"})),"Relevan","Tidak Relevan")</f>
        <v>Relevan</v>
      </c>
    </row>
    <row r="141" spans="1:10" x14ac:dyDescent="0.35">
      <c r="A141">
        <f t="shared" si="2"/>
        <v>140</v>
      </c>
      <c r="B141">
        <v>146</v>
      </c>
      <c r="C141" t="s">
        <v>2265</v>
      </c>
      <c r="D141" t="s">
        <v>261</v>
      </c>
      <c r="E141" t="s">
        <v>2266</v>
      </c>
      <c r="F141" t="s">
        <v>2267</v>
      </c>
      <c r="G141" t="s">
        <v>2268</v>
      </c>
      <c r="H141" t="s">
        <v>2268</v>
      </c>
      <c r="I141" t="s">
        <v>2269</v>
      </c>
      <c r="J141" t="str" cm="1">
        <f t="array" ref="J141">IF(SUM(COUNTIF(Text_Preprocessing__224[[#This Row],[full_text]],{"*makan siang gratis*";"*MBG*";"*makan gratis*";"*makan bergizi gratis*";"*makangratis*";"*makanan gratis*"})),"Relevan","Tidak Relevan")</f>
        <v>Relevan</v>
      </c>
    </row>
    <row r="142" spans="1:10" x14ac:dyDescent="0.35">
      <c r="A142">
        <f t="shared" si="2"/>
        <v>141</v>
      </c>
      <c r="B142">
        <v>147</v>
      </c>
      <c r="C142" t="s">
        <v>2270</v>
      </c>
      <c r="D142" t="s">
        <v>263</v>
      </c>
      <c r="E142" t="s">
        <v>2271</v>
      </c>
      <c r="F142" t="s">
        <v>2272</v>
      </c>
      <c r="G142" t="s">
        <v>2273</v>
      </c>
      <c r="H142" t="s">
        <v>2273</v>
      </c>
      <c r="I142" t="s">
        <v>2274</v>
      </c>
      <c r="J142" t="str" cm="1">
        <f t="array" ref="J142">IF(SUM(COUNTIF(Text_Preprocessing__224[[#This Row],[full_text]],{"*makan siang gratis*";"*MBG*";"*makan gratis*";"*makan bergizi gratis*";"*makangratis*";"*makanan gratis*"})),"Relevan","Tidak Relevan")</f>
        <v>Relevan</v>
      </c>
    </row>
    <row r="143" spans="1:10" x14ac:dyDescent="0.35">
      <c r="A143">
        <f t="shared" si="2"/>
        <v>142</v>
      </c>
      <c r="B143">
        <v>148</v>
      </c>
      <c r="C143" t="s">
        <v>2275</v>
      </c>
      <c r="D143" t="s">
        <v>265</v>
      </c>
      <c r="E143" t="s">
        <v>2276</v>
      </c>
      <c r="F143" t="s">
        <v>1596</v>
      </c>
      <c r="G143" t="s">
        <v>2277</v>
      </c>
      <c r="H143" t="s">
        <v>2277</v>
      </c>
      <c r="I143" t="s">
        <v>2278</v>
      </c>
      <c r="J143" t="str" cm="1">
        <f t="array" ref="J143">IF(SUM(COUNTIF(Text_Preprocessing__224[[#This Row],[full_text]],{"*makan siang gratis*";"*MBG*";"*makan gratis*";"*makan bergizi gratis*";"*makangratis*";"*makanan gratis*"})),"Relevan","Tidak Relevan")</f>
        <v>Relevan</v>
      </c>
    </row>
    <row r="144" spans="1:10" x14ac:dyDescent="0.35">
      <c r="A144">
        <f t="shared" si="2"/>
        <v>143</v>
      </c>
      <c r="B144">
        <v>149</v>
      </c>
      <c r="C144" t="s">
        <v>2279</v>
      </c>
      <c r="D144" t="s">
        <v>267</v>
      </c>
      <c r="E144" t="s">
        <v>2280</v>
      </c>
      <c r="F144" t="s">
        <v>1657</v>
      </c>
      <c r="G144" t="s">
        <v>2281</v>
      </c>
      <c r="H144" t="s">
        <v>2281</v>
      </c>
      <c r="I144" t="s">
        <v>2282</v>
      </c>
      <c r="J144" t="str" cm="1">
        <f t="array" ref="J144">IF(SUM(COUNTIF(Text_Preprocessing__224[[#This Row],[full_text]],{"*makan siang gratis*";"*MBG*";"*makan gratis*";"*makan bergizi gratis*";"*makangratis*";"*makanan gratis*"})),"Relevan","Tidak Relevan")</f>
        <v>Relevan</v>
      </c>
    </row>
    <row r="145" spans="1:10" x14ac:dyDescent="0.35">
      <c r="A145">
        <f t="shared" si="2"/>
        <v>144</v>
      </c>
      <c r="B145">
        <v>150</v>
      </c>
      <c r="C145" t="s">
        <v>2283</v>
      </c>
      <c r="D145" t="s">
        <v>269</v>
      </c>
      <c r="E145" t="s">
        <v>2284</v>
      </c>
      <c r="F145" t="s">
        <v>2285</v>
      </c>
      <c r="G145" t="s">
        <v>2286</v>
      </c>
      <c r="H145" t="s">
        <v>3659</v>
      </c>
      <c r="I145" t="s">
        <v>3660</v>
      </c>
      <c r="J145" t="str" cm="1">
        <f t="array" ref="J145">IF(SUM(COUNTIF(Text_Preprocessing__224[[#This Row],[full_text]],{"*makan siang gratis*";"*MBG*";"*makan gratis*";"*makan bergizi gratis*";"*makangratis*";"*makanan gratis*"})),"Relevan","Tidak Relevan")</f>
        <v>Relevan</v>
      </c>
    </row>
    <row r="146" spans="1:10" x14ac:dyDescent="0.35">
      <c r="A146">
        <f t="shared" si="2"/>
        <v>145</v>
      </c>
      <c r="B146">
        <v>151</v>
      </c>
      <c r="C146" t="s">
        <v>2288</v>
      </c>
      <c r="D146" t="s">
        <v>249</v>
      </c>
      <c r="E146" t="s">
        <v>2289</v>
      </c>
      <c r="F146" t="s">
        <v>2290</v>
      </c>
      <c r="G146" t="s">
        <v>2291</v>
      </c>
      <c r="H146" t="s">
        <v>2291</v>
      </c>
      <c r="I146" t="s">
        <v>2292</v>
      </c>
      <c r="J146" t="str" cm="1">
        <f t="array" ref="J146">IF(SUM(COUNTIF(Text_Preprocessing__224[[#This Row],[full_text]],{"*makan siang gratis*";"*MBG*";"*makan gratis*";"*makan bergizi gratis*";"*makangratis*";"*makanan gratis*"})),"Relevan","Tidak Relevan")</f>
        <v>Relevan</v>
      </c>
    </row>
    <row r="147" spans="1:10" x14ac:dyDescent="0.35">
      <c r="A147">
        <f t="shared" si="2"/>
        <v>146</v>
      </c>
      <c r="B147">
        <v>152</v>
      </c>
      <c r="C147" t="s">
        <v>2293</v>
      </c>
      <c r="D147" t="s">
        <v>272</v>
      </c>
      <c r="E147" t="s">
        <v>2294</v>
      </c>
      <c r="F147" t="s">
        <v>1596</v>
      </c>
      <c r="G147" t="s">
        <v>2295</v>
      </c>
      <c r="H147" t="s">
        <v>2295</v>
      </c>
      <c r="I147" t="s">
        <v>2296</v>
      </c>
      <c r="J147" t="str" cm="1">
        <f t="array" ref="J147">IF(SUM(COUNTIF(Text_Preprocessing__224[[#This Row],[full_text]],{"*makan siang gratis*";"*MBG*";"*makan gratis*";"*makan bergizi gratis*";"*makangratis*";"*makanan gratis*"})),"Relevan","Tidak Relevan")</f>
        <v>Relevan</v>
      </c>
    </row>
    <row r="148" spans="1:10" x14ac:dyDescent="0.35">
      <c r="A148">
        <f t="shared" si="2"/>
        <v>147</v>
      </c>
      <c r="B148">
        <v>153</v>
      </c>
      <c r="C148" t="s">
        <v>2297</v>
      </c>
      <c r="D148" t="s">
        <v>274</v>
      </c>
      <c r="E148" t="s">
        <v>2298</v>
      </c>
      <c r="F148" t="s">
        <v>2299</v>
      </c>
      <c r="G148" t="s">
        <v>2300</v>
      </c>
      <c r="H148" t="s">
        <v>2300</v>
      </c>
      <c r="I148" t="s">
        <v>2301</v>
      </c>
      <c r="J148" t="str" cm="1">
        <f t="array" ref="J148">IF(SUM(COUNTIF(Text_Preprocessing__224[[#This Row],[full_text]],{"*makan siang gratis*";"*MBG*";"*makan gratis*";"*makan bergizi gratis*";"*makangratis*";"*makanan gratis*"})),"Relevan","Tidak Relevan")</f>
        <v>Relevan</v>
      </c>
    </row>
    <row r="149" spans="1:10" x14ac:dyDescent="0.35">
      <c r="A149">
        <f t="shared" si="2"/>
        <v>148</v>
      </c>
      <c r="B149">
        <v>154</v>
      </c>
      <c r="C149" t="s">
        <v>2302</v>
      </c>
      <c r="D149" t="s">
        <v>276</v>
      </c>
      <c r="E149" t="s">
        <v>2303</v>
      </c>
      <c r="F149" t="s">
        <v>1624</v>
      </c>
      <c r="G149" t="s">
        <v>2304</v>
      </c>
      <c r="H149" t="s">
        <v>2304</v>
      </c>
      <c r="I149" t="s">
        <v>2305</v>
      </c>
      <c r="J149" t="str" cm="1">
        <f t="array" ref="J149">IF(SUM(COUNTIF(Text_Preprocessing__224[[#This Row],[full_text]],{"*makan siang gratis*";"*MBG*";"*makan gratis*";"*makan bergizi gratis*";"*makangratis*";"*makanan gratis*"})),"Relevan","Tidak Relevan")</f>
        <v>Relevan</v>
      </c>
    </row>
    <row r="150" spans="1:10" x14ac:dyDescent="0.35">
      <c r="A150">
        <f t="shared" si="2"/>
        <v>149</v>
      </c>
      <c r="B150">
        <v>155</v>
      </c>
      <c r="C150" t="s">
        <v>2306</v>
      </c>
      <c r="D150" t="s">
        <v>143</v>
      </c>
      <c r="E150" t="s">
        <v>2307</v>
      </c>
      <c r="F150" t="s">
        <v>1735</v>
      </c>
      <c r="G150" t="s">
        <v>2308</v>
      </c>
      <c r="H150" t="s">
        <v>2308</v>
      </c>
      <c r="I150" t="s">
        <v>2309</v>
      </c>
      <c r="J150" t="str" cm="1">
        <f t="array" ref="J150">IF(SUM(COUNTIF(Text_Preprocessing__224[[#This Row],[full_text]],{"*makan siang gratis*";"*MBG*";"*makan gratis*";"*makan bergizi gratis*";"*makangratis*";"*makanan gratis*"})),"Relevan","Tidak Relevan")</f>
        <v>Relevan</v>
      </c>
    </row>
    <row r="151" spans="1:10" x14ac:dyDescent="0.35">
      <c r="A151">
        <f t="shared" si="2"/>
        <v>150</v>
      </c>
      <c r="B151">
        <v>156</v>
      </c>
      <c r="C151" t="s">
        <v>2310</v>
      </c>
      <c r="D151" t="s">
        <v>174</v>
      </c>
      <c r="E151" t="s">
        <v>2311</v>
      </c>
      <c r="F151" t="s">
        <v>2312</v>
      </c>
      <c r="G151" t="s">
        <v>2313</v>
      </c>
      <c r="H151" t="s">
        <v>2313</v>
      </c>
      <c r="I151" t="s">
        <v>2314</v>
      </c>
      <c r="J151" t="str" cm="1">
        <f t="array" ref="J151">IF(SUM(COUNTIF(Text_Preprocessing__224[[#This Row],[full_text]],{"*makan siang gratis*";"*MBG*";"*makan gratis*";"*makan bergizi gratis*";"*makangratis*";"*makanan gratis*"})),"Relevan","Tidak Relevan")</f>
        <v>Relevan</v>
      </c>
    </row>
    <row r="152" spans="1:10" x14ac:dyDescent="0.35">
      <c r="A152">
        <f t="shared" si="2"/>
        <v>151</v>
      </c>
      <c r="B152">
        <v>157</v>
      </c>
      <c r="C152" t="s">
        <v>2315</v>
      </c>
      <c r="D152" t="s">
        <v>280</v>
      </c>
      <c r="E152" t="s">
        <v>2316</v>
      </c>
      <c r="F152" t="s">
        <v>1893</v>
      </c>
      <c r="G152" t="s">
        <v>2317</v>
      </c>
      <c r="H152" t="s">
        <v>2317</v>
      </c>
      <c r="I152" t="s">
        <v>2318</v>
      </c>
      <c r="J152" t="str" cm="1">
        <f t="array" ref="J152">IF(SUM(COUNTIF(Text_Preprocessing__224[[#This Row],[full_text]],{"*makan siang gratis*";"*MBG*";"*makan gratis*";"*makan bergizi gratis*";"*makangratis*";"*makanan gratis*"})),"Relevan","Tidak Relevan")</f>
        <v>Relevan</v>
      </c>
    </row>
    <row r="153" spans="1:10" x14ac:dyDescent="0.35">
      <c r="A153">
        <f t="shared" si="2"/>
        <v>152</v>
      </c>
      <c r="B153">
        <v>158</v>
      </c>
      <c r="C153" t="s">
        <v>2319</v>
      </c>
      <c r="D153" t="s">
        <v>282</v>
      </c>
      <c r="E153" t="s">
        <v>2320</v>
      </c>
      <c r="F153" t="s">
        <v>1799</v>
      </c>
      <c r="G153" t="s">
        <v>2321</v>
      </c>
      <c r="H153" t="s">
        <v>2321</v>
      </c>
      <c r="I153" t="s">
        <v>2322</v>
      </c>
      <c r="J153" t="str" cm="1">
        <f t="array" ref="J153">IF(SUM(COUNTIF(Text_Preprocessing__224[[#This Row],[full_text]],{"*makan siang gratis*";"*MBG*";"*makan gratis*";"*makan bergizi gratis*";"*makangratis*";"*makanan gratis*"})),"Relevan","Tidak Relevan")</f>
        <v>Relevan</v>
      </c>
    </row>
    <row r="154" spans="1:10" x14ac:dyDescent="0.35">
      <c r="A154">
        <f t="shared" si="2"/>
        <v>153</v>
      </c>
      <c r="B154">
        <v>159</v>
      </c>
      <c r="C154" t="s">
        <v>2323</v>
      </c>
      <c r="D154" t="s">
        <v>143</v>
      </c>
      <c r="E154" t="s">
        <v>2324</v>
      </c>
      <c r="F154" t="s">
        <v>2325</v>
      </c>
      <c r="G154" t="s">
        <v>2326</v>
      </c>
      <c r="H154" t="s">
        <v>2326</v>
      </c>
      <c r="I154" t="s">
        <v>2327</v>
      </c>
      <c r="J154" t="str" cm="1">
        <f t="array" ref="J154">IF(SUM(COUNTIF(Text_Preprocessing__224[[#This Row],[full_text]],{"*makan siang gratis*";"*MBG*";"*makan gratis*";"*makan bergizi gratis*";"*makangratis*";"*makanan gratis*"})),"Relevan","Tidak Relevan")</f>
        <v>Relevan</v>
      </c>
    </row>
    <row r="155" spans="1:10" x14ac:dyDescent="0.35">
      <c r="A155">
        <f t="shared" si="2"/>
        <v>154</v>
      </c>
      <c r="B155">
        <v>160</v>
      </c>
      <c r="C155" t="s">
        <v>2328</v>
      </c>
      <c r="D155" t="s">
        <v>285</v>
      </c>
      <c r="E155" t="s">
        <v>2329</v>
      </c>
      <c r="F155" t="s">
        <v>1990</v>
      </c>
      <c r="G155" t="s">
        <v>2330</v>
      </c>
      <c r="H155" t="s">
        <v>2331</v>
      </c>
      <c r="I155" t="s">
        <v>2332</v>
      </c>
      <c r="J155" t="str" cm="1">
        <f t="array" ref="J155">IF(SUM(COUNTIF(Text_Preprocessing__224[[#This Row],[full_text]],{"*makan siang gratis*";"*MBG*";"*makan gratis*";"*makan bergizi gratis*";"*makangratis*";"*makanan gratis*"})),"Relevan","Tidak Relevan")</f>
        <v>Relevan</v>
      </c>
    </row>
    <row r="156" spans="1:10" x14ac:dyDescent="0.35">
      <c r="A156">
        <f t="shared" si="2"/>
        <v>155</v>
      </c>
      <c r="B156">
        <v>161</v>
      </c>
      <c r="C156" t="s">
        <v>2333</v>
      </c>
      <c r="D156" t="s">
        <v>223</v>
      </c>
      <c r="E156" t="s">
        <v>2334</v>
      </c>
      <c r="F156" t="s">
        <v>2335</v>
      </c>
      <c r="G156" t="s">
        <v>2336</v>
      </c>
      <c r="H156" t="s">
        <v>2336</v>
      </c>
      <c r="I156" t="s">
        <v>2337</v>
      </c>
      <c r="J156" t="str" cm="1">
        <f t="array" ref="J156">IF(SUM(COUNTIF(Text_Preprocessing__224[[#This Row],[full_text]],{"*makan siang gratis*";"*MBG*";"*makan gratis*";"*makan bergizi gratis*";"*makangratis*";"*makanan gratis*"})),"Relevan","Tidak Relevan")</f>
        <v>Relevan</v>
      </c>
    </row>
    <row r="157" spans="1:10" x14ac:dyDescent="0.35">
      <c r="A157">
        <f t="shared" si="2"/>
        <v>156</v>
      </c>
      <c r="B157">
        <v>162</v>
      </c>
      <c r="C157" t="s">
        <v>2338</v>
      </c>
      <c r="D157" t="s">
        <v>217</v>
      </c>
      <c r="E157" t="s">
        <v>2339</v>
      </c>
      <c r="F157" t="s">
        <v>1990</v>
      </c>
      <c r="G157" t="s">
        <v>2340</v>
      </c>
      <c r="H157" t="s">
        <v>2340</v>
      </c>
      <c r="I157" t="s">
        <v>2341</v>
      </c>
      <c r="J157" t="str" cm="1">
        <f t="array" ref="J157">IF(SUM(COUNTIF(Text_Preprocessing__224[[#This Row],[full_text]],{"*makan siang gratis*";"*MBG*";"*makan gratis*";"*makan bergizi gratis*";"*makangratis*";"*makanan gratis*"})),"Relevan","Tidak Relevan")</f>
        <v>Relevan</v>
      </c>
    </row>
    <row r="158" spans="1:10" x14ac:dyDescent="0.35">
      <c r="A158">
        <f t="shared" si="2"/>
        <v>157</v>
      </c>
      <c r="B158">
        <v>163</v>
      </c>
      <c r="C158" t="s">
        <v>2342</v>
      </c>
      <c r="D158" t="s">
        <v>289</v>
      </c>
      <c r="E158" t="s">
        <v>2343</v>
      </c>
      <c r="F158" t="s">
        <v>1893</v>
      </c>
      <c r="G158" t="s">
        <v>2344</v>
      </c>
      <c r="H158" t="s">
        <v>2344</v>
      </c>
      <c r="I158" t="s">
        <v>2345</v>
      </c>
      <c r="J158" t="str" cm="1">
        <f t="array" ref="J158">IF(SUM(COUNTIF(Text_Preprocessing__224[[#This Row],[full_text]],{"*makan siang gratis*";"*MBG*";"*makan gratis*";"*makan bergizi gratis*";"*makangratis*";"*makanan gratis*"})),"Relevan","Tidak Relevan")</f>
        <v>Relevan</v>
      </c>
    </row>
    <row r="159" spans="1:10" x14ac:dyDescent="0.35">
      <c r="A159">
        <f t="shared" si="2"/>
        <v>158</v>
      </c>
      <c r="B159">
        <v>164</v>
      </c>
      <c r="C159" t="s">
        <v>2346</v>
      </c>
      <c r="D159" t="s">
        <v>291</v>
      </c>
      <c r="E159" t="s">
        <v>2347</v>
      </c>
      <c r="F159" t="s">
        <v>2348</v>
      </c>
      <c r="G159" t="s">
        <v>2349</v>
      </c>
      <c r="H159" t="s">
        <v>2349</v>
      </c>
      <c r="I159" t="s">
        <v>2350</v>
      </c>
      <c r="J159" t="str" cm="1">
        <f t="array" ref="J159">IF(SUM(COUNTIF(Text_Preprocessing__224[[#This Row],[full_text]],{"*makan siang gratis*";"*MBG*";"*makan gratis*";"*makan bergizi gratis*";"*makangratis*";"*makanan gratis*"})),"Relevan","Tidak Relevan")</f>
        <v>Relevan</v>
      </c>
    </row>
    <row r="160" spans="1:10" x14ac:dyDescent="0.35">
      <c r="A160">
        <f t="shared" si="2"/>
        <v>159</v>
      </c>
      <c r="B160">
        <v>165</v>
      </c>
      <c r="C160" t="s">
        <v>2351</v>
      </c>
      <c r="D160" t="s">
        <v>276</v>
      </c>
      <c r="E160" t="s">
        <v>2352</v>
      </c>
      <c r="F160" t="s">
        <v>1624</v>
      </c>
      <c r="G160" t="s">
        <v>2353</v>
      </c>
      <c r="H160" t="s">
        <v>3661</v>
      </c>
      <c r="I160" t="s">
        <v>3662</v>
      </c>
      <c r="J160" t="str" cm="1">
        <f t="array" ref="J160">IF(SUM(COUNTIF(Text_Preprocessing__224[[#This Row],[full_text]],{"*makan siang gratis*";"*MBG*";"*makan gratis*";"*makan bergizi gratis*";"*makangratis*";"*makanan gratis*"})),"Relevan","Tidak Relevan")</f>
        <v>Relevan</v>
      </c>
    </row>
    <row r="161" spans="1:10" x14ac:dyDescent="0.35">
      <c r="A161">
        <f t="shared" si="2"/>
        <v>160</v>
      </c>
      <c r="B161">
        <v>166</v>
      </c>
      <c r="C161" t="s">
        <v>2355</v>
      </c>
      <c r="D161" t="s">
        <v>294</v>
      </c>
      <c r="E161" t="s">
        <v>2356</v>
      </c>
      <c r="F161" t="s">
        <v>2357</v>
      </c>
      <c r="G161" t="s">
        <v>2358</v>
      </c>
      <c r="H161" t="s">
        <v>2359</v>
      </c>
      <c r="I161" t="s">
        <v>2360</v>
      </c>
      <c r="J161" t="str" cm="1">
        <f t="array" ref="J161">IF(SUM(COUNTIF(Text_Preprocessing__224[[#This Row],[full_text]],{"*makan siang gratis*";"*MBG*";"*makan gratis*";"*makan bergizi gratis*";"*makangratis*";"*makanan gratis*"})),"Relevan","Tidak Relevan")</f>
        <v>Relevan</v>
      </c>
    </row>
    <row r="162" spans="1:10" x14ac:dyDescent="0.35">
      <c r="A162">
        <f t="shared" si="2"/>
        <v>161</v>
      </c>
      <c r="B162">
        <v>167</v>
      </c>
      <c r="C162" t="s">
        <v>2361</v>
      </c>
      <c r="D162" t="s">
        <v>296</v>
      </c>
      <c r="E162" t="s">
        <v>2362</v>
      </c>
      <c r="F162" t="s">
        <v>1730</v>
      </c>
      <c r="G162" t="s">
        <v>2363</v>
      </c>
      <c r="H162" t="s">
        <v>2363</v>
      </c>
      <c r="I162" t="s">
        <v>2364</v>
      </c>
      <c r="J162" t="str" cm="1">
        <f t="array" ref="J162">IF(SUM(COUNTIF(Text_Preprocessing__224[[#This Row],[full_text]],{"*makan siang gratis*";"*MBG*";"*makan gratis*";"*makan bergizi gratis*";"*makangratis*";"*makanan gratis*"})),"Relevan","Tidak Relevan")</f>
        <v>Relevan</v>
      </c>
    </row>
    <row r="163" spans="1:10" x14ac:dyDescent="0.35">
      <c r="A163">
        <f t="shared" si="2"/>
        <v>162</v>
      </c>
      <c r="B163">
        <v>168</v>
      </c>
      <c r="C163" t="s">
        <v>2365</v>
      </c>
      <c r="D163" t="s">
        <v>280</v>
      </c>
      <c r="E163" t="s">
        <v>2366</v>
      </c>
      <c r="F163" t="s">
        <v>1999</v>
      </c>
      <c r="G163" t="s">
        <v>2367</v>
      </c>
      <c r="H163" t="s">
        <v>2367</v>
      </c>
      <c r="I163" t="s">
        <v>2368</v>
      </c>
      <c r="J163" t="str" cm="1">
        <f t="array" ref="J163">IF(SUM(COUNTIF(Text_Preprocessing__224[[#This Row],[full_text]],{"*makan siang gratis*";"*MBG*";"*makan gratis*";"*makan bergizi gratis*";"*makangratis*";"*makanan gratis*"})),"Relevan","Tidak Relevan")</f>
        <v>Relevan</v>
      </c>
    </row>
    <row r="164" spans="1:10" x14ac:dyDescent="0.35">
      <c r="A164">
        <f t="shared" si="2"/>
        <v>163</v>
      </c>
      <c r="B164">
        <v>169</v>
      </c>
      <c r="C164" t="s">
        <v>2369</v>
      </c>
      <c r="D164" t="s">
        <v>76</v>
      </c>
      <c r="E164" t="s">
        <v>2370</v>
      </c>
      <c r="F164" t="s">
        <v>2154</v>
      </c>
      <c r="G164" t="s">
        <v>2371</v>
      </c>
      <c r="H164" t="s">
        <v>2371</v>
      </c>
      <c r="I164" t="s">
        <v>2372</v>
      </c>
      <c r="J164" t="str" cm="1">
        <f t="array" ref="J164">IF(SUM(COUNTIF(Text_Preprocessing__224[[#This Row],[full_text]],{"*makan siang gratis*";"*MBG*";"*makan gratis*";"*makan bergizi gratis*";"*makangratis*";"*makanan gratis*"})),"Relevan","Tidak Relevan")</f>
        <v>Relevan</v>
      </c>
    </row>
    <row r="165" spans="1:10" x14ac:dyDescent="0.35">
      <c r="A165">
        <f t="shared" si="2"/>
        <v>164</v>
      </c>
      <c r="B165">
        <v>170</v>
      </c>
      <c r="C165" t="s">
        <v>2373</v>
      </c>
      <c r="D165" t="s">
        <v>213</v>
      </c>
      <c r="E165" t="s">
        <v>2374</v>
      </c>
      <c r="F165" t="s">
        <v>2272</v>
      </c>
      <c r="G165" t="s">
        <v>2375</v>
      </c>
      <c r="H165" t="s">
        <v>2375</v>
      </c>
      <c r="I165" t="s">
        <v>2376</v>
      </c>
      <c r="J165" t="str" cm="1">
        <f t="array" ref="J165">IF(SUM(COUNTIF(Text_Preprocessing__224[[#This Row],[full_text]],{"*makan siang gratis*";"*MBG*";"*makan gratis*";"*makan bergizi gratis*";"*makangratis*";"*makanan gratis*"})),"Relevan","Tidak Relevan")</f>
        <v>Relevan</v>
      </c>
    </row>
    <row r="166" spans="1:10" x14ac:dyDescent="0.35">
      <c r="A166">
        <f t="shared" si="2"/>
        <v>165</v>
      </c>
      <c r="B166">
        <v>171</v>
      </c>
      <c r="C166" t="s">
        <v>2377</v>
      </c>
      <c r="D166" t="s">
        <v>213</v>
      </c>
      <c r="E166" t="s">
        <v>2378</v>
      </c>
      <c r="F166" t="s">
        <v>1624</v>
      </c>
      <c r="G166" t="s">
        <v>2379</v>
      </c>
      <c r="H166" t="s">
        <v>2379</v>
      </c>
      <c r="I166" t="s">
        <v>2380</v>
      </c>
      <c r="J166" t="str" cm="1">
        <f t="array" ref="J166">IF(SUM(COUNTIF(Text_Preprocessing__224[[#This Row],[full_text]],{"*makan siang gratis*";"*MBG*";"*makan gratis*";"*makan bergizi gratis*";"*makangratis*";"*makanan gratis*"})),"Relevan","Tidak Relevan")</f>
        <v>Relevan</v>
      </c>
    </row>
    <row r="167" spans="1:10" x14ac:dyDescent="0.35">
      <c r="A167">
        <f t="shared" si="2"/>
        <v>166</v>
      </c>
      <c r="B167">
        <v>172</v>
      </c>
      <c r="C167" t="s">
        <v>2381</v>
      </c>
      <c r="D167" t="s">
        <v>280</v>
      </c>
      <c r="E167" t="s">
        <v>2382</v>
      </c>
      <c r="F167" t="s">
        <v>1893</v>
      </c>
      <c r="G167" t="s">
        <v>2383</v>
      </c>
      <c r="H167" t="s">
        <v>2383</v>
      </c>
      <c r="I167" t="s">
        <v>2384</v>
      </c>
      <c r="J167" t="str" cm="1">
        <f t="array" ref="J167">IF(SUM(COUNTIF(Text_Preprocessing__224[[#This Row],[full_text]],{"*makan siang gratis*";"*MBG*";"*makan gratis*";"*makan bergizi gratis*";"*makangratis*";"*makanan gratis*"})),"Relevan","Tidak Relevan")</f>
        <v>Relevan</v>
      </c>
    </row>
    <row r="168" spans="1:10" x14ac:dyDescent="0.35">
      <c r="A168">
        <f t="shared" si="2"/>
        <v>167</v>
      </c>
      <c r="B168">
        <v>173</v>
      </c>
      <c r="C168" t="s">
        <v>2385</v>
      </c>
      <c r="D168" t="s">
        <v>253</v>
      </c>
      <c r="E168" t="s">
        <v>2386</v>
      </c>
      <c r="F168" t="s">
        <v>2387</v>
      </c>
      <c r="G168" t="s">
        <v>2388</v>
      </c>
      <c r="H168" t="s">
        <v>2388</v>
      </c>
      <c r="I168" t="s">
        <v>2389</v>
      </c>
      <c r="J168" t="str" cm="1">
        <f t="array" ref="J168">IF(SUM(COUNTIF(Text_Preprocessing__224[[#This Row],[full_text]],{"*makan siang gratis*";"*MBG*";"*makan gratis*";"*makan bergizi gratis*";"*makangratis*";"*makanan gratis*"})),"Relevan","Tidak Relevan")</f>
        <v>Relevan</v>
      </c>
    </row>
    <row r="169" spans="1:10" x14ac:dyDescent="0.35">
      <c r="A169">
        <f t="shared" si="2"/>
        <v>168</v>
      </c>
      <c r="B169">
        <v>174</v>
      </c>
      <c r="C169" t="s">
        <v>2390</v>
      </c>
      <c r="D169" t="s">
        <v>304</v>
      </c>
      <c r="E169" t="s">
        <v>2391</v>
      </c>
      <c r="F169" t="s">
        <v>2149</v>
      </c>
      <c r="G169" t="s">
        <v>2392</v>
      </c>
      <c r="H169" t="s">
        <v>2392</v>
      </c>
      <c r="I169" t="s">
        <v>2393</v>
      </c>
      <c r="J169" t="str" cm="1">
        <f t="array" ref="J169">IF(SUM(COUNTIF(Text_Preprocessing__224[[#This Row],[full_text]],{"*makan siang gratis*";"*MBG*";"*makan gratis*";"*makan bergizi gratis*";"*makangratis*";"*makanan gratis*"})),"Relevan","Tidak Relevan")</f>
        <v>Relevan</v>
      </c>
    </row>
    <row r="170" spans="1:10" x14ac:dyDescent="0.35">
      <c r="A170">
        <f t="shared" si="2"/>
        <v>169</v>
      </c>
      <c r="B170">
        <v>175</v>
      </c>
      <c r="C170" t="s">
        <v>2394</v>
      </c>
      <c r="D170" t="s">
        <v>304</v>
      </c>
      <c r="E170" t="s">
        <v>2395</v>
      </c>
      <c r="F170" t="s">
        <v>2164</v>
      </c>
      <c r="G170" t="s">
        <v>2396</v>
      </c>
      <c r="H170" t="s">
        <v>2396</v>
      </c>
      <c r="I170" t="s">
        <v>2397</v>
      </c>
      <c r="J170" t="str" cm="1">
        <f t="array" ref="J170">IF(SUM(COUNTIF(Text_Preprocessing__224[[#This Row],[full_text]],{"*makan siang gratis*";"*MBG*";"*makan gratis*";"*makan bergizi gratis*";"*makangratis*";"*makanan gratis*"})),"Relevan","Tidak Relevan")</f>
        <v>Relevan</v>
      </c>
    </row>
    <row r="171" spans="1:10" x14ac:dyDescent="0.35">
      <c r="A171">
        <f t="shared" si="2"/>
        <v>170</v>
      </c>
      <c r="B171">
        <v>176</v>
      </c>
      <c r="C171" t="s">
        <v>2398</v>
      </c>
      <c r="D171" t="s">
        <v>143</v>
      </c>
      <c r="E171" t="s">
        <v>2399</v>
      </c>
      <c r="F171" t="s">
        <v>1990</v>
      </c>
      <c r="G171" t="s">
        <v>2400</v>
      </c>
      <c r="H171" t="s">
        <v>2400</v>
      </c>
      <c r="I171" t="s">
        <v>2401</v>
      </c>
      <c r="J171" t="str" cm="1">
        <f t="array" ref="J171">IF(SUM(COUNTIF(Text_Preprocessing__224[[#This Row],[full_text]],{"*makan siang gratis*";"*MBG*";"*makan gratis*";"*makan bergizi gratis*";"*makangratis*";"*makanan gratis*"})),"Relevan","Tidak Relevan")</f>
        <v>Relevan</v>
      </c>
    </row>
    <row r="172" spans="1:10" x14ac:dyDescent="0.35">
      <c r="A172">
        <f t="shared" si="2"/>
        <v>171</v>
      </c>
      <c r="B172">
        <v>177</v>
      </c>
      <c r="C172" t="s">
        <v>2402</v>
      </c>
      <c r="D172" t="s">
        <v>308</v>
      </c>
      <c r="E172" t="s">
        <v>2403</v>
      </c>
      <c r="F172" t="s">
        <v>2229</v>
      </c>
      <c r="G172" t="s">
        <v>2404</v>
      </c>
      <c r="H172" t="s">
        <v>2404</v>
      </c>
      <c r="I172" t="s">
        <v>2405</v>
      </c>
      <c r="J172" t="str" cm="1">
        <f t="array" ref="J172">IF(SUM(COUNTIF(Text_Preprocessing__224[[#This Row],[full_text]],{"*makan siang gratis*";"*MBG*";"*makan gratis*";"*makan bergizi gratis*";"*makangratis*";"*makanan gratis*"})),"Relevan","Tidak Relevan")</f>
        <v>Relevan</v>
      </c>
    </row>
    <row r="173" spans="1:10" x14ac:dyDescent="0.35">
      <c r="A173">
        <f t="shared" si="2"/>
        <v>172</v>
      </c>
      <c r="B173">
        <v>178</v>
      </c>
      <c r="C173" t="s">
        <v>2406</v>
      </c>
      <c r="D173" t="s">
        <v>310</v>
      </c>
      <c r="E173" t="s">
        <v>2407</v>
      </c>
      <c r="F173" t="s">
        <v>1823</v>
      </c>
      <c r="G173" t="s">
        <v>2408</v>
      </c>
      <c r="H173" t="s">
        <v>2408</v>
      </c>
      <c r="I173" t="s">
        <v>2409</v>
      </c>
      <c r="J173" t="str" cm="1">
        <f t="array" ref="J173">IF(SUM(COUNTIF(Text_Preprocessing__224[[#This Row],[full_text]],{"*makan siang gratis*";"*MBG*";"*makan gratis*";"*makan bergizi gratis*";"*makangratis*";"*makanan gratis*"})),"Relevan","Tidak Relevan")</f>
        <v>Relevan</v>
      </c>
    </row>
    <row r="174" spans="1:10" x14ac:dyDescent="0.35">
      <c r="A174">
        <f t="shared" si="2"/>
        <v>173</v>
      </c>
      <c r="B174">
        <v>179</v>
      </c>
      <c r="C174" t="s">
        <v>2410</v>
      </c>
      <c r="D174" t="s">
        <v>312</v>
      </c>
      <c r="E174" t="s">
        <v>2411</v>
      </c>
      <c r="F174" t="s">
        <v>2205</v>
      </c>
      <c r="G174" t="s">
        <v>2412</v>
      </c>
      <c r="H174" t="s">
        <v>2412</v>
      </c>
      <c r="I174" t="s">
        <v>2413</v>
      </c>
      <c r="J174" t="str" cm="1">
        <f t="array" ref="J174">IF(SUM(COUNTIF(Text_Preprocessing__224[[#This Row],[full_text]],{"*makan siang gratis*";"*MBG*";"*makan gratis*";"*makan bergizi gratis*";"*makangratis*";"*makanan gratis*"})),"Relevan","Tidak Relevan")</f>
        <v>Relevan</v>
      </c>
    </row>
    <row r="175" spans="1:10" x14ac:dyDescent="0.35">
      <c r="A175">
        <f t="shared" si="2"/>
        <v>174</v>
      </c>
      <c r="B175">
        <v>180</v>
      </c>
      <c r="C175" t="s">
        <v>2414</v>
      </c>
      <c r="D175" t="s">
        <v>314</v>
      </c>
      <c r="E175" t="s">
        <v>2415</v>
      </c>
      <c r="F175" t="s">
        <v>1893</v>
      </c>
      <c r="G175" t="s">
        <v>2416</v>
      </c>
      <c r="H175" t="s">
        <v>2417</v>
      </c>
      <c r="I175" t="s">
        <v>2418</v>
      </c>
      <c r="J175" t="str" cm="1">
        <f t="array" ref="J175">IF(SUM(COUNTIF(Text_Preprocessing__224[[#This Row],[full_text]],{"*makan siang gratis*";"*MBG*";"*makan gratis*";"*makan bergizi gratis*";"*makangratis*";"*makanan gratis*"})),"Relevan","Tidak Relevan")</f>
        <v>Relevan</v>
      </c>
    </row>
    <row r="176" spans="1:10" x14ac:dyDescent="0.35">
      <c r="A176">
        <f t="shared" si="2"/>
        <v>175</v>
      </c>
      <c r="B176">
        <v>181</v>
      </c>
      <c r="C176" t="s">
        <v>2419</v>
      </c>
      <c r="D176" t="s">
        <v>316</v>
      </c>
      <c r="E176" t="s">
        <v>2420</v>
      </c>
      <c r="F176" t="s">
        <v>2229</v>
      </c>
      <c r="G176" t="s">
        <v>2421</v>
      </c>
      <c r="H176" t="s">
        <v>3663</v>
      </c>
      <c r="I176" t="s">
        <v>3664</v>
      </c>
      <c r="J176" t="str" cm="1">
        <f t="array" ref="J176">IF(SUM(COUNTIF(Text_Preprocessing__224[[#This Row],[full_text]],{"*makan siang gratis*";"*MBG*";"*makan gratis*";"*makan bergizi gratis*";"*makangratis*";"*makanan gratis*"})),"Relevan","Tidak Relevan")</f>
        <v>Relevan</v>
      </c>
    </row>
    <row r="177" spans="1:10" x14ac:dyDescent="0.35">
      <c r="A177">
        <f t="shared" si="2"/>
        <v>176</v>
      </c>
      <c r="B177">
        <v>182</v>
      </c>
      <c r="C177" t="s">
        <v>2424</v>
      </c>
      <c r="D177" t="s">
        <v>316</v>
      </c>
      <c r="E177" t="s">
        <v>2425</v>
      </c>
      <c r="F177" t="s">
        <v>1799</v>
      </c>
      <c r="G177" t="s">
        <v>2426</v>
      </c>
      <c r="H177" t="s">
        <v>2426</v>
      </c>
      <c r="I177" t="s">
        <v>2427</v>
      </c>
      <c r="J177" t="str" cm="1">
        <f t="array" ref="J177">IF(SUM(COUNTIF(Text_Preprocessing__224[[#This Row],[full_text]],{"*makan siang gratis*";"*MBG*";"*makan gratis*";"*makan bergizi gratis*";"*makangratis*";"*makanan gratis*"})),"Relevan","Tidak Relevan")</f>
        <v>Relevan</v>
      </c>
    </row>
    <row r="178" spans="1:10" x14ac:dyDescent="0.35">
      <c r="A178">
        <f t="shared" si="2"/>
        <v>177</v>
      </c>
      <c r="B178">
        <v>183</v>
      </c>
      <c r="C178" t="s">
        <v>2428</v>
      </c>
      <c r="D178" t="s">
        <v>76</v>
      </c>
      <c r="E178" t="s">
        <v>2429</v>
      </c>
      <c r="F178" t="s">
        <v>1799</v>
      </c>
      <c r="G178" t="s">
        <v>2430</v>
      </c>
      <c r="H178" t="s">
        <v>2430</v>
      </c>
      <c r="I178" t="s">
        <v>2431</v>
      </c>
      <c r="J178" t="str" cm="1">
        <f t="array" ref="J178">IF(SUM(COUNTIF(Text_Preprocessing__224[[#This Row],[full_text]],{"*makan siang gratis*";"*MBG*";"*makan gratis*";"*makan bergizi gratis*";"*makangratis*";"*makanan gratis*"})),"Relevan","Tidak Relevan")</f>
        <v>Relevan</v>
      </c>
    </row>
    <row r="179" spans="1:10" x14ac:dyDescent="0.35">
      <c r="A179">
        <f t="shared" si="2"/>
        <v>178</v>
      </c>
      <c r="B179">
        <v>184</v>
      </c>
      <c r="C179" t="s">
        <v>2432</v>
      </c>
      <c r="D179" t="s">
        <v>324</v>
      </c>
      <c r="E179" t="s">
        <v>2433</v>
      </c>
      <c r="F179" t="s">
        <v>1839</v>
      </c>
      <c r="G179" t="s">
        <v>2434</v>
      </c>
      <c r="H179" t="s">
        <v>2434</v>
      </c>
      <c r="I179" t="s">
        <v>2435</v>
      </c>
      <c r="J179" t="str" cm="1">
        <f t="array" ref="J179">IF(SUM(COUNTIF(Text_Preprocessing__224[[#This Row],[full_text]],{"*makan siang gratis*";"*MBG*";"*makan gratis*";"*makan bergizi gratis*";"*makangratis*";"*makanan gratis*"})),"Relevan","Tidak Relevan")</f>
        <v>Relevan</v>
      </c>
    </row>
    <row r="180" spans="1:10" x14ac:dyDescent="0.35">
      <c r="A180">
        <f t="shared" si="2"/>
        <v>179</v>
      </c>
      <c r="B180">
        <v>185</v>
      </c>
      <c r="C180" t="s">
        <v>2436</v>
      </c>
      <c r="D180" t="s">
        <v>326</v>
      </c>
      <c r="E180" t="s">
        <v>2437</v>
      </c>
      <c r="F180" t="s">
        <v>1613</v>
      </c>
      <c r="G180" t="s">
        <v>2438</v>
      </c>
      <c r="H180" t="s">
        <v>2438</v>
      </c>
      <c r="I180" t="s">
        <v>2439</v>
      </c>
      <c r="J180" t="str" cm="1">
        <f t="array" ref="J180">IF(SUM(COUNTIF(Text_Preprocessing__224[[#This Row],[full_text]],{"*makan siang gratis*";"*MBG*";"*makan gratis*";"*makan bergizi gratis*";"*makangratis*";"*makanan gratis*"})),"Relevan","Tidak Relevan")</f>
        <v>Relevan</v>
      </c>
    </row>
    <row r="181" spans="1:10" x14ac:dyDescent="0.35">
      <c r="A181">
        <f t="shared" si="2"/>
        <v>180</v>
      </c>
      <c r="B181">
        <v>186</v>
      </c>
      <c r="C181" t="s">
        <v>2440</v>
      </c>
      <c r="D181" t="s">
        <v>242</v>
      </c>
      <c r="E181" t="s">
        <v>2441</v>
      </c>
      <c r="F181" t="s">
        <v>2442</v>
      </c>
      <c r="G181" t="s">
        <v>2443</v>
      </c>
      <c r="H181" t="s">
        <v>2443</v>
      </c>
      <c r="I181" t="s">
        <v>2444</v>
      </c>
      <c r="J181" t="str" cm="1">
        <f t="array" ref="J181">IF(SUM(COUNTIF(Text_Preprocessing__224[[#This Row],[full_text]],{"*makan siang gratis*";"*MBG*";"*makan gratis*";"*makan bergizi gratis*";"*makangratis*";"*makanan gratis*"})),"Relevan","Tidak Relevan")</f>
        <v>Relevan</v>
      </c>
    </row>
    <row r="182" spans="1:10" x14ac:dyDescent="0.35">
      <c r="A182">
        <f t="shared" si="2"/>
        <v>181</v>
      </c>
      <c r="B182">
        <v>187</v>
      </c>
      <c r="C182" t="s">
        <v>2445</v>
      </c>
      <c r="D182" t="s">
        <v>213</v>
      </c>
      <c r="E182" t="s">
        <v>2446</v>
      </c>
      <c r="F182" t="s">
        <v>2253</v>
      </c>
      <c r="G182" t="s">
        <v>2447</v>
      </c>
      <c r="H182" t="s">
        <v>2447</v>
      </c>
      <c r="I182" t="s">
        <v>2448</v>
      </c>
      <c r="J182" t="str" cm="1">
        <f t="array" ref="J182">IF(SUM(COUNTIF(Text_Preprocessing__224[[#This Row],[full_text]],{"*makan siang gratis*";"*MBG*";"*makan gratis*";"*makan bergizi gratis*";"*makangratis*";"*makanan gratis*"})),"Relevan","Tidak Relevan")</f>
        <v>Relevan</v>
      </c>
    </row>
    <row r="183" spans="1:10" x14ac:dyDescent="0.35">
      <c r="A183">
        <f t="shared" si="2"/>
        <v>182</v>
      </c>
      <c r="B183">
        <v>188</v>
      </c>
      <c r="C183" t="s">
        <v>2449</v>
      </c>
      <c r="D183" t="s">
        <v>330</v>
      </c>
      <c r="E183" t="s">
        <v>2450</v>
      </c>
      <c r="F183" t="s">
        <v>2114</v>
      </c>
      <c r="G183" t="s">
        <v>2451</v>
      </c>
      <c r="H183" t="s">
        <v>2451</v>
      </c>
      <c r="I183" t="s">
        <v>2452</v>
      </c>
      <c r="J183" t="str" cm="1">
        <f t="array" ref="J183">IF(SUM(COUNTIF(Text_Preprocessing__224[[#This Row],[full_text]],{"*makan siang gratis*";"*MBG*";"*makan gratis*";"*makan bergizi gratis*";"*makangratis*";"*makanan gratis*"})),"Relevan","Tidak Relevan")</f>
        <v>Relevan</v>
      </c>
    </row>
    <row r="184" spans="1:10" x14ac:dyDescent="0.35">
      <c r="A184">
        <f t="shared" si="2"/>
        <v>183</v>
      </c>
      <c r="B184">
        <v>189</v>
      </c>
      <c r="C184" t="s">
        <v>2453</v>
      </c>
      <c r="D184" t="s">
        <v>332</v>
      </c>
      <c r="E184" t="s">
        <v>2454</v>
      </c>
      <c r="F184" t="s">
        <v>2041</v>
      </c>
      <c r="G184" t="s">
        <v>2455</v>
      </c>
      <c r="H184" t="s">
        <v>2455</v>
      </c>
      <c r="I184" t="s">
        <v>2456</v>
      </c>
      <c r="J184" t="str" cm="1">
        <f t="array" ref="J184">IF(SUM(COUNTIF(Text_Preprocessing__224[[#This Row],[full_text]],{"*makan siang gratis*";"*MBG*";"*makan gratis*";"*makan bergizi gratis*";"*makangratis*";"*makanan gratis*"})),"Relevan","Tidak Relevan")</f>
        <v>Relevan</v>
      </c>
    </row>
    <row r="185" spans="1:10" x14ac:dyDescent="0.35">
      <c r="A185">
        <f t="shared" si="2"/>
        <v>184</v>
      </c>
      <c r="B185">
        <v>190</v>
      </c>
      <c r="C185" t="s">
        <v>2457</v>
      </c>
      <c r="D185" t="s">
        <v>330</v>
      </c>
      <c r="E185" t="s">
        <v>2458</v>
      </c>
      <c r="F185" t="s">
        <v>2143</v>
      </c>
      <c r="G185" t="s">
        <v>2459</v>
      </c>
      <c r="H185" t="s">
        <v>2460</v>
      </c>
      <c r="I185" t="s">
        <v>2461</v>
      </c>
      <c r="J185" t="str" cm="1">
        <f t="array" ref="J185">IF(SUM(COUNTIF(Text_Preprocessing__224[[#This Row],[full_text]],{"*makan siang gratis*";"*MBG*";"*makan gratis*";"*makan bergizi gratis*";"*makangratis*";"*makanan gratis*"})),"Relevan","Tidak Relevan")</f>
        <v>Relevan</v>
      </c>
    </row>
    <row r="186" spans="1:10" x14ac:dyDescent="0.35">
      <c r="A186">
        <f t="shared" si="2"/>
        <v>185</v>
      </c>
      <c r="B186">
        <v>191</v>
      </c>
      <c r="C186" t="s">
        <v>2462</v>
      </c>
      <c r="D186" t="s">
        <v>335</v>
      </c>
      <c r="E186" t="s">
        <v>2463</v>
      </c>
      <c r="F186" t="s">
        <v>1839</v>
      </c>
      <c r="G186" t="s">
        <v>2464</v>
      </c>
      <c r="H186" t="s">
        <v>2464</v>
      </c>
      <c r="I186" t="s">
        <v>2465</v>
      </c>
      <c r="J186" t="str" cm="1">
        <f t="array" ref="J186">IF(SUM(COUNTIF(Text_Preprocessing__224[[#This Row],[full_text]],{"*makan siang gratis*";"*MBG*";"*makan gratis*";"*makan bergizi gratis*";"*makangratis*";"*makanan gratis*"})),"Relevan","Tidak Relevan")</f>
        <v>Relevan</v>
      </c>
    </row>
    <row r="187" spans="1:10" x14ac:dyDescent="0.35">
      <c r="A187">
        <f t="shared" si="2"/>
        <v>186</v>
      </c>
      <c r="B187">
        <v>192</v>
      </c>
      <c r="C187" t="s">
        <v>2466</v>
      </c>
      <c r="D187" t="s">
        <v>337</v>
      </c>
      <c r="E187" t="s">
        <v>2467</v>
      </c>
      <c r="F187" t="s">
        <v>1629</v>
      </c>
      <c r="G187" t="s">
        <v>2468</v>
      </c>
      <c r="H187" t="s">
        <v>3665</v>
      </c>
      <c r="I187" t="s">
        <v>3666</v>
      </c>
      <c r="J187" t="str" cm="1">
        <f t="array" ref="J187">IF(SUM(COUNTIF(Text_Preprocessing__224[[#This Row],[full_text]],{"*makan siang gratis*";"*MBG*";"*makan gratis*";"*makan bergizi gratis*";"*makangratis*";"*makanan gratis*"})),"Relevan","Tidak Relevan")</f>
        <v>Relevan</v>
      </c>
    </row>
    <row r="188" spans="1:10" x14ac:dyDescent="0.35">
      <c r="A188">
        <f t="shared" si="2"/>
        <v>187</v>
      </c>
      <c r="B188">
        <v>193</v>
      </c>
      <c r="C188" t="s">
        <v>2471</v>
      </c>
      <c r="D188" t="s">
        <v>339</v>
      </c>
      <c r="E188" t="s">
        <v>2472</v>
      </c>
      <c r="F188" t="s">
        <v>1663</v>
      </c>
      <c r="G188" t="s">
        <v>2473</v>
      </c>
      <c r="H188" t="s">
        <v>2473</v>
      </c>
      <c r="I188" t="s">
        <v>2474</v>
      </c>
      <c r="J188" t="str" cm="1">
        <f t="array" ref="J188">IF(SUM(COUNTIF(Text_Preprocessing__224[[#This Row],[full_text]],{"*makan siang gratis*";"*MBG*";"*makan gratis*";"*makan bergizi gratis*";"*makangratis*";"*makanan gratis*"})),"Relevan","Tidak Relevan")</f>
        <v>Relevan</v>
      </c>
    </row>
    <row r="189" spans="1:10" x14ac:dyDescent="0.35">
      <c r="A189">
        <f t="shared" si="2"/>
        <v>188</v>
      </c>
      <c r="B189">
        <v>194</v>
      </c>
      <c r="C189" t="s">
        <v>2475</v>
      </c>
      <c r="D189" t="s">
        <v>341</v>
      </c>
      <c r="E189" t="s">
        <v>2476</v>
      </c>
      <c r="F189" t="s">
        <v>2109</v>
      </c>
      <c r="G189" t="s">
        <v>2477</v>
      </c>
      <c r="H189" t="s">
        <v>2477</v>
      </c>
      <c r="I189" t="s">
        <v>2478</v>
      </c>
      <c r="J189" t="str" cm="1">
        <f t="array" ref="J189">IF(SUM(COUNTIF(Text_Preprocessing__224[[#This Row],[full_text]],{"*makan siang gratis*";"*MBG*";"*makan gratis*";"*makan bergizi gratis*";"*makangratis*";"*makanan gratis*"})),"Relevan","Tidak Relevan")</f>
        <v>Relevan</v>
      </c>
    </row>
    <row r="190" spans="1:10" x14ac:dyDescent="0.35">
      <c r="A190">
        <f t="shared" si="2"/>
        <v>189</v>
      </c>
      <c r="B190">
        <v>195</v>
      </c>
      <c r="C190" t="s">
        <v>2479</v>
      </c>
      <c r="D190" t="s">
        <v>343</v>
      </c>
      <c r="E190" t="s">
        <v>2480</v>
      </c>
      <c r="F190" t="s">
        <v>1990</v>
      </c>
      <c r="G190" t="s">
        <v>2481</v>
      </c>
      <c r="H190" t="s">
        <v>2481</v>
      </c>
      <c r="I190" t="s">
        <v>2482</v>
      </c>
      <c r="J190" t="str" cm="1">
        <f t="array" ref="J190">IF(SUM(COUNTIF(Text_Preprocessing__224[[#This Row],[full_text]],{"*makan siang gratis*";"*MBG*";"*makan gratis*";"*makan bergizi gratis*";"*makangratis*";"*makanan gratis*"})),"Relevan","Tidak Relevan")</f>
        <v>Relevan</v>
      </c>
    </row>
    <row r="191" spans="1:10" x14ac:dyDescent="0.35">
      <c r="A191">
        <f t="shared" si="2"/>
        <v>190</v>
      </c>
      <c r="B191">
        <v>196</v>
      </c>
      <c r="C191" t="s">
        <v>2483</v>
      </c>
      <c r="D191" t="s">
        <v>345</v>
      </c>
      <c r="E191" t="s">
        <v>2484</v>
      </c>
      <c r="F191" t="s">
        <v>1785</v>
      </c>
      <c r="G191" t="s">
        <v>2485</v>
      </c>
      <c r="H191" t="s">
        <v>2485</v>
      </c>
      <c r="I191" t="s">
        <v>2486</v>
      </c>
      <c r="J191" t="str" cm="1">
        <f t="array" ref="J191">IF(SUM(COUNTIF(Text_Preprocessing__224[[#This Row],[full_text]],{"*makan siang gratis*";"*MBG*";"*makan gratis*";"*makan bergizi gratis*";"*makangratis*";"*makanan gratis*"})),"Relevan","Tidak Relevan")</f>
        <v>Relevan</v>
      </c>
    </row>
    <row r="192" spans="1:10" x14ac:dyDescent="0.35">
      <c r="A192">
        <f t="shared" si="2"/>
        <v>191</v>
      </c>
      <c r="B192">
        <v>197</v>
      </c>
      <c r="C192" t="s">
        <v>2487</v>
      </c>
      <c r="D192" t="s">
        <v>347</v>
      </c>
      <c r="E192" t="s">
        <v>2488</v>
      </c>
      <c r="F192" t="s">
        <v>1844</v>
      </c>
      <c r="G192" t="s">
        <v>2489</v>
      </c>
      <c r="H192" t="s">
        <v>3667</v>
      </c>
      <c r="I192" t="s">
        <v>3668</v>
      </c>
      <c r="J192" t="str" cm="1">
        <f t="array" ref="J192">IF(SUM(COUNTIF(Text_Preprocessing__224[[#This Row],[full_text]],{"*makan siang gratis*";"*MBG*";"*makan gratis*";"*makan bergizi gratis*";"*makangratis*";"*makanan gratis*"})),"Relevan","Tidak Relevan")</f>
        <v>Relevan</v>
      </c>
    </row>
    <row r="193" spans="1:10" x14ac:dyDescent="0.35">
      <c r="A193">
        <f t="shared" si="2"/>
        <v>192</v>
      </c>
      <c r="B193">
        <v>198</v>
      </c>
      <c r="C193" t="s">
        <v>2491</v>
      </c>
      <c r="D193" t="s">
        <v>349</v>
      </c>
      <c r="E193" t="s">
        <v>2492</v>
      </c>
      <c r="F193" t="s">
        <v>1596</v>
      </c>
      <c r="G193" t="s">
        <v>2493</v>
      </c>
      <c r="H193" t="s">
        <v>2493</v>
      </c>
      <c r="I193" t="s">
        <v>2494</v>
      </c>
      <c r="J193" t="str" cm="1">
        <f t="array" ref="J193">IF(SUM(COUNTIF(Text_Preprocessing__224[[#This Row],[full_text]],{"*makan siang gratis*";"*MBG*";"*makan gratis*";"*makan bergizi gratis*";"*makangratis*";"*makanan gratis*"})),"Relevan","Tidak Relevan")</f>
        <v>Relevan</v>
      </c>
    </row>
    <row r="194" spans="1:10" x14ac:dyDescent="0.35">
      <c r="A194">
        <f t="shared" si="2"/>
        <v>193</v>
      </c>
      <c r="B194">
        <v>199</v>
      </c>
      <c r="C194" t="s">
        <v>2495</v>
      </c>
      <c r="D194" t="s">
        <v>76</v>
      </c>
      <c r="E194" t="s">
        <v>2496</v>
      </c>
      <c r="F194" t="s">
        <v>1794</v>
      </c>
      <c r="G194" t="s">
        <v>2497</v>
      </c>
      <c r="H194" t="s">
        <v>2497</v>
      </c>
      <c r="I194" t="s">
        <v>2498</v>
      </c>
      <c r="J194" t="str" cm="1">
        <f t="array" ref="J194">IF(SUM(COUNTIF(Text_Preprocessing__224[[#This Row],[full_text]],{"*makan siang gratis*";"*MBG*";"*makan gratis*";"*makan bergizi gratis*";"*makangratis*";"*makanan gratis*"})),"Relevan","Tidak Relevan")</f>
        <v>Relevan</v>
      </c>
    </row>
    <row r="195" spans="1:10" x14ac:dyDescent="0.35">
      <c r="A195">
        <f t="shared" si="2"/>
        <v>194</v>
      </c>
      <c r="B195">
        <v>200</v>
      </c>
      <c r="C195" t="s">
        <v>2499</v>
      </c>
      <c r="D195" t="s">
        <v>352</v>
      </c>
      <c r="E195" t="s">
        <v>2500</v>
      </c>
      <c r="F195" t="s">
        <v>2312</v>
      </c>
      <c r="G195" t="s">
        <v>2501</v>
      </c>
      <c r="H195" t="s">
        <v>2501</v>
      </c>
      <c r="I195" t="s">
        <v>2502</v>
      </c>
      <c r="J195" t="str" cm="1">
        <f t="array" ref="J195">IF(SUM(COUNTIF(Text_Preprocessing__224[[#This Row],[full_text]],{"*makan siang gratis*";"*MBG*";"*makan gratis*";"*makan bergizi gratis*";"*makangratis*";"*makanan gratis*"})),"Relevan","Tidak Relevan")</f>
        <v>Relevan</v>
      </c>
    </row>
    <row r="196" spans="1:10" x14ac:dyDescent="0.35">
      <c r="A196">
        <f t="shared" ref="A196:A259" si="3">SUM(A195+1)</f>
        <v>195</v>
      </c>
      <c r="B196">
        <v>201</v>
      </c>
      <c r="C196" t="s">
        <v>2503</v>
      </c>
      <c r="D196" t="s">
        <v>354</v>
      </c>
      <c r="E196" t="s">
        <v>2504</v>
      </c>
      <c r="F196" t="s">
        <v>2505</v>
      </c>
      <c r="G196" t="s">
        <v>2506</v>
      </c>
      <c r="H196" t="s">
        <v>2506</v>
      </c>
      <c r="I196" t="s">
        <v>2507</v>
      </c>
      <c r="J196" t="str" cm="1">
        <f t="array" ref="J196">IF(SUM(COUNTIF(Text_Preprocessing__224[[#This Row],[full_text]],{"*makan siang gratis*";"*MBG*";"*makan gratis*";"*makan bergizi gratis*";"*makangratis*";"*makanan gratis*"})),"Relevan","Tidak Relevan")</f>
        <v>Relevan</v>
      </c>
    </row>
    <row r="197" spans="1:10" x14ac:dyDescent="0.35">
      <c r="A197">
        <f t="shared" si="3"/>
        <v>196</v>
      </c>
      <c r="B197">
        <v>202</v>
      </c>
      <c r="C197" t="s">
        <v>2508</v>
      </c>
      <c r="D197" t="s">
        <v>76</v>
      </c>
      <c r="E197" t="s">
        <v>2509</v>
      </c>
      <c r="F197" t="s">
        <v>2510</v>
      </c>
      <c r="G197" t="s">
        <v>2511</v>
      </c>
      <c r="H197" t="s">
        <v>2511</v>
      </c>
      <c r="I197" t="s">
        <v>2512</v>
      </c>
      <c r="J197" t="str" cm="1">
        <f t="array" ref="J197">IF(SUM(COUNTIF(Text_Preprocessing__224[[#This Row],[full_text]],{"*makan siang gratis*";"*MBG*";"*makan gratis*";"*makan bergizi gratis*";"*makangratis*";"*makanan gratis*"})),"Relevan","Tidak Relevan")</f>
        <v>Relevan</v>
      </c>
    </row>
    <row r="198" spans="1:10" x14ac:dyDescent="0.35">
      <c r="A198">
        <f t="shared" si="3"/>
        <v>197</v>
      </c>
      <c r="B198">
        <v>203</v>
      </c>
      <c r="C198" t="s">
        <v>2513</v>
      </c>
      <c r="D198" t="s">
        <v>242</v>
      </c>
      <c r="E198" t="s">
        <v>2514</v>
      </c>
      <c r="F198" t="s">
        <v>2515</v>
      </c>
      <c r="G198" t="s">
        <v>2516</v>
      </c>
      <c r="H198" t="s">
        <v>2516</v>
      </c>
      <c r="I198" t="s">
        <v>2517</v>
      </c>
      <c r="J198" t="str" cm="1">
        <f t="array" ref="J198">IF(SUM(COUNTIF(Text_Preprocessing__224[[#This Row],[full_text]],{"*makan siang gratis*";"*MBG*";"*makan gratis*";"*makan bergizi gratis*";"*makangratis*";"*makanan gratis*"})),"Relevan","Tidak Relevan")</f>
        <v>Relevan</v>
      </c>
    </row>
    <row r="199" spans="1:10" x14ac:dyDescent="0.35">
      <c r="A199">
        <f t="shared" si="3"/>
        <v>198</v>
      </c>
      <c r="B199">
        <v>204</v>
      </c>
      <c r="C199" t="s">
        <v>2518</v>
      </c>
      <c r="D199" t="s">
        <v>242</v>
      </c>
      <c r="E199" t="s">
        <v>2519</v>
      </c>
      <c r="F199" t="s">
        <v>1680</v>
      </c>
      <c r="G199" t="s">
        <v>2520</v>
      </c>
      <c r="H199" t="s">
        <v>2520</v>
      </c>
      <c r="I199" t="s">
        <v>2521</v>
      </c>
      <c r="J199" t="str" cm="1">
        <f t="array" ref="J199">IF(SUM(COUNTIF(Text_Preprocessing__224[[#This Row],[full_text]],{"*makan siang gratis*";"*MBG*";"*makan gratis*";"*makan bergizi gratis*";"*makangratis*";"*makanan gratis*"})),"Relevan","Tidak Relevan")</f>
        <v>Relevan</v>
      </c>
    </row>
    <row r="200" spans="1:10" x14ac:dyDescent="0.35">
      <c r="A200">
        <f t="shared" si="3"/>
        <v>199</v>
      </c>
      <c r="B200">
        <v>205</v>
      </c>
      <c r="C200" t="s">
        <v>2522</v>
      </c>
      <c r="D200" t="s">
        <v>242</v>
      </c>
      <c r="E200" t="s">
        <v>2523</v>
      </c>
      <c r="F200" t="s">
        <v>2177</v>
      </c>
      <c r="G200" t="s">
        <v>2524</v>
      </c>
      <c r="H200" t="s">
        <v>2524</v>
      </c>
      <c r="I200" t="s">
        <v>2525</v>
      </c>
      <c r="J200" t="str" cm="1">
        <f t="array" ref="J200">IF(SUM(COUNTIF(Text_Preprocessing__224[[#This Row],[full_text]],{"*makan siang gratis*";"*MBG*";"*makan gratis*";"*makan bergizi gratis*";"*makangratis*";"*makanan gratis*"})),"Relevan","Tidak Relevan")</f>
        <v>Relevan</v>
      </c>
    </row>
    <row r="201" spans="1:10" x14ac:dyDescent="0.35">
      <c r="A201">
        <f t="shared" si="3"/>
        <v>200</v>
      </c>
      <c r="B201">
        <v>206</v>
      </c>
      <c r="C201" t="s">
        <v>2526</v>
      </c>
      <c r="D201" t="s">
        <v>213</v>
      </c>
      <c r="E201" t="s">
        <v>2527</v>
      </c>
      <c r="F201" t="s">
        <v>2143</v>
      </c>
      <c r="G201" t="s">
        <v>2528</v>
      </c>
      <c r="H201" t="s">
        <v>2528</v>
      </c>
      <c r="I201" t="s">
        <v>2529</v>
      </c>
      <c r="J201" t="str" cm="1">
        <f t="array" ref="J201">IF(SUM(COUNTIF(Text_Preprocessing__224[[#This Row],[full_text]],{"*makan siang gratis*";"*MBG*";"*makan gratis*";"*makan bergizi gratis*";"*makangratis*";"*makanan gratis*"})),"Relevan","Tidak Relevan")</f>
        <v>Relevan</v>
      </c>
    </row>
    <row r="202" spans="1:10" x14ac:dyDescent="0.35">
      <c r="A202">
        <f t="shared" si="3"/>
        <v>201</v>
      </c>
      <c r="B202">
        <v>207</v>
      </c>
      <c r="C202" t="s">
        <v>2530</v>
      </c>
      <c r="D202" t="s">
        <v>280</v>
      </c>
      <c r="E202" t="s">
        <v>2531</v>
      </c>
      <c r="F202" t="s">
        <v>1990</v>
      </c>
      <c r="G202" t="s">
        <v>2532</v>
      </c>
      <c r="H202" t="s">
        <v>2532</v>
      </c>
      <c r="I202" t="s">
        <v>2533</v>
      </c>
      <c r="J202" t="str" cm="1">
        <f t="array" ref="J202">IF(SUM(COUNTIF(Text_Preprocessing__224[[#This Row],[full_text]],{"*makan siang gratis*";"*MBG*";"*makan gratis*";"*makan bergizi gratis*";"*makangratis*";"*makanan gratis*"})),"Relevan","Tidak Relevan")</f>
        <v>Relevan</v>
      </c>
    </row>
    <row r="203" spans="1:10" x14ac:dyDescent="0.35">
      <c r="A203">
        <f t="shared" si="3"/>
        <v>202</v>
      </c>
      <c r="B203">
        <v>208</v>
      </c>
      <c r="C203" t="s">
        <v>2534</v>
      </c>
      <c r="D203" t="s">
        <v>304</v>
      </c>
      <c r="E203" t="s">
        <v>2535</v>
      </c>
      <c r="F203" t="s">
        <v>2387</v>
      </c>
      <c r="G203" t="s">
        <v>2536</v>
      </c>
      <c r="H203" t="s">
        <v>2536</v>
      </c>
      <c r="I203" t="s">
        <v>2537</v>
      </c>
      <c r="J203" t="str" cm="1">
        <f t="array" ref="J203">IF(SUM(COUNTIF(Text_Preprocessing__224[[#This Row],[full_text]],{"*makan siang gratis*";"*MBG*";"*makan gratis*";"*makan bergizi gratis*";"*makangratis*";"*makanan gratis*"})),"Relevan","Tidak Relevan")</f>
        <v>Relevan</v>
      </c>
    </row>
    <row r="204" spans="1:10" x14ac:dyDescent="0.35">
      <c r="A204">
        <f t="shared" si="3"/>
        <v>203</v>
      </c>
      <c r="B204">
        <v>209</v>
      </c>
      <c r="C204" t="s">
        <v>2538</v>
      </c>
      <c r="D204" t="s">
        <v>253</v>
      </c>
      <c r="E204" t="s">
        <v>2539</v>
      </c>
      <c r="F204" t="s">
        <v>2109</v>
      </c>
      <c r="G204" t="s">
        <v>2540</v>
      </c>
      <c r="H204" t="s">
        <v>2540</v>
      </c>
      <c r="I204" t="s">
        <v>2541</v>
      </c>
      <c r="J204" t="str" cm="1">
        <f t="array" ref="J204">IF(SUM(COUNTIF(Text_Preprocessing__224[[#This Row],[full_text]],{"*makan siang gratis*";"*MBG*";"*makan gratis*";"*makan bergizi gratis*";"*makangratis*";"*makanan gratis*"})),"Relevan","Tidak Relevan")</f>
        <v>Relevan</v>
      </c>
    </row>
    <row r="205" spans="1:10" x14ac:dyDescent="0.35">
      <c r="A205">
        <f t="shared" si="3"/>
        <v>204</v>
      </c>
      <c r="B205">
        <v>210</v>
      </c>
      <c r="C205" t="s">
        <v>2542</v>
      </c>
      <c r="D205" t="s">
        <v>274</v>
      </c>
      <c r="E205" t="s">
        <v>2543</v>
      </c>
      <c r="F205" t="s">
        <v>2510</v>
      </c>
      <c r="G205" t="s">
        <v>2544</v>
      </c>
      <c r="H205" t="s">
        <v>2545</v>
      </c>
      <c r="I205" t="s">
        <v>2546</v>
      </c>
      <c r="J205" t="str" cm="1">
        <f t="array" ref="J205">IF(SUM(COUNTIF(Text_Preprocessing__224[[#This Row],[full_text]],{"*makan siang gratis*";"*MBG*";"*makan gratis*";"*makan bergizi gratis*";"*makangratis*";"*makanan gratis*"})),"Relevan","Tidak Relevan")</f>
        <v>Relevan</v>
      </c>
    </row>
    <row r="206" spans="1:10" x14ac:dyDescent="0.35">
      <c r="A206">
        <f t="shared" si="3"/>
        <v>205</v>
      </c>
      <c r="B206">
        <v>211</v>
      </c>
      <c r="C206" t="s">
        <v>2547</v>
      </c>
      <c r="D206" t="s">
        <v>365</v>
      </c>
      <c r="E206" t="s">
        <v>2548</v>
      </c>
      <c r="F206" t="s">
        <v>1692</v>
      </c>
      <c r="G206" t="s">
        <v>2549</v>
      </c>
      <c r="H206" t="s">
        <v>2549</v>
      </c>
      <c r="I206" t="s">
        <v>2550</v>
      </c>
      <c r="J206" t="str" cm="1">
        <f t="array" ref="J206">IF(SUM(COUNTIF(Text_Preprocessing__224[[#This Row],[full_text]],{"*makan siang gratis*";"*MBG*";"*makan gratis*";"*makan bergizi gratis*";"*makangratis*";"*makanan gratis*"})),"Relevan","Tidak Relevan")</f>
        <v>Relevan</v>
      </c>
    </row>
    <row r="207" spans="1:10" x14ac:dyDescent="0.35">
      <c r="A207">
        <f t="shared" si="3"/>
        <v>206</v>
      </c>
      <c r="B207">
        <v>212</v>
      </c>
      <c r="C207" t="s">
        <v>2551</v>
      </c>
      <c r="D207" t="s">
        <v>367</v>
      </c>
      <c r="E207" t="s">
        <v>2552</v>
      </c>
      <c r="F207" t="s">
        <v>2553</v>
      </c>
      <c r="G207" t="s">
        <v>2554</v>
      </c>
      <c r="H207" t="s">
        <v>3669</v>
      </c>
      <c r="I207" t="s">
        <v>3670</v>
      </c>
      <c r="J207" t="str" cm="1">
        <f t="array" ref="J207">IF(SUM(COUNTIF(Text_Preprocessing__224[[#This Row],[full_text]],{"*makan siang gratis*";"*MBG*";"*makan gratis*";"*makan bergizi gratis*";"*makangratis*";"*makanan gratis*"})),"Relevan","Tidak Relevan")</f>
        <v>Relevan</v>
      </c>
    </row>
    <row r="208" spans="1:10" x14ac:dyDescent="0.35">
      <c r="A208">
        <f t="shared" si="3"/>
        <v>207</v>
      </c>
      <c r="B208">
        <v>213</v>
      </c>
      <c r="C208" t="s">
        <v>2556</v>
      </c>
      <c r="D208" t="s">
        <v>369</v>
      </c>
      <c r="E208" t="s">
        <v>2557</v>
      </c>
      <c r="F208" t="s">
        <v>2558</v>
      </c>
      <c r="G208" t="s">
        <v>2559</v>
      </c>
      <c r="H208" t="s">
        <v>2559</v>
      </c>
      <c r="I208" t="s">
        <v>2560</v>
      </c>
      <c r="J208" t="str" cm="1">
        <f t="array" ref="J208">IF(SUM(COUNTIF(Text_Preprocessing__224[[#This Row],[full_text]],{"*makan siang gratis*";"*MBG*";"*makan gratis*";"*makan bergizi gratis*";"*makangratis*";"*makanan gratis*"})),"Relevan","Tidak Relevan")</f>
        <v>Relevan</v>
      </c>
    </row>
    <row r="209" spans="1:10" x14ac:dyDescent="0.35">
      <c r="A209">
        <f t="shared" si="3"/>
        <v>208</v>
      </c>
      <c r="B209">
        <v>214</v>
      </c>
      <c r="C209" t="s">
        <v>2561</v>
      </c>
      <c r="D209" t="s">
        <v>371</v>
      </c>
      <c r="E209" t="s">
        <v>2562</v>
      </c>
      <c r="F209" t="s">
        <v>1596</v>
      </c>
      <c r="G209" t="s">
        <v>2563</v>
      </c>
      <c r="H209" t="s">
        <v>2563</v>
      </c>
      <c r="I209" t="s">
        <v>2564</v>
      </c>
      <c r="J209" t="str" cm="1">
        <f t="array" ref="J209">IF(SUM(COUNTIF(Text_Preprocessing__224[[#This Row],[full_text]],{"*makan siang gratis*";"*MBG*";"*makan gratis*";"*makan bergizi gratis*";"*makangratis*";"*makanan gratis*"})),"Relevan","Tidak Relevan")</f>
        <v>Relevan</v>
      </c>
    </row>
    <row r="210" spans="1:10" x14ac:dyDescent="0.35">
      <c r="A210">
        <f t="shared" si="3"/>
        <v>209</v>
      </c>
      <c r="B210">
        <v>215</v>
      </c>
      <c r="C210" t="s">
        <v>2565</v>
      </c>
      <c r="D210" t="s">
        <v>373</v>
      </c>
      <c r="E210" t="s">
        <v>2566</v>
      </c>
      <c r="F210" t="s">
        <v>1775</v>
      </c>
      <c r="G210" t="s">
        <v>2567</v>
      </c>
      <c r="H210" t="s">
        <v>3671</v>
      </c>
      <c r="I210" t="s">
        <v>3672</v>
      </c>
      <c r="J210" t="str" cm="1">
        <f t="array" ref="J210">IF(SUM(COUNTIF(Text_Preprocessing__224[[#This Row],[full_text]],{"*makan siang gratis*";"*MBG*";"*makan gratis*";"*makan bergizi gratis*";"*makangratis*";"*makanan gratis*"})),"Relevan","Tidak Relevan")</f>
        <v>Relevan</v>
      </c>
    </row>
    <row r="211" spans="1:10" x14ac:dyDescent="0.35">
      <c r="A211">
        <f t="shared" si="3"/>
        <v>210</v>
      </c>
      <c r="B211">
        <v>216</v>
      </c>
      <c r="C211" t="s">
        <v>2569</v>
      </c>
      <c r="D211" t="s">
        <v>375</v>
      </c>
      <c r="E211" t="s">
        <v>2570</v>
      </c>
      <c r="F211" t="s">
        <v>1663</v>
      </c>
      <c r="G211" t="s">
        <v>2571</v>
      </c>
      <c r="H211" t="s">
        <v>2571</v>
      </c>
      <c r="I211" t="s">
        <v>2572</v>
      </c>
      <c r="J211" t="str" cm="1">
        <f t="array" ref="J211">IF(SUM(COUNTIF(Text_Preprocessing__224[[#This Row],[full_text]],{"*makan siang gratis*";"*MBG*";"*makan gratis*";"*makan bergizi gratis*";"*makangratis*";"*makanan gratis*"})),"Relevan","Tidak Relevan")</f>
        <v>Relevan</v>
      </c>
    </row>
    <row r="212" spans="1:10" x14ac:dyDescent="0.35">
      <c r="A212">
        <f t="shared" si="3"/>
        <v>211</v>
      </c>
      <c r="B212">
        <v>217</v>
      </c>
      <c r="C212" t="s">
        <v>2573</v>
      </c>
      <c r="D212" t="s">
        <v>377</v>
      </c>
      <c r="E212" t="s">
        <v>2574</v>
      </c>
      <c r="F212" t="s">
        <v>1764</v>
      </c>
      <c r="G212" t="s">
        <v>2575</v>
      </c>
      <c r="H212" t="s">
        <v>2575</v>
      </c>
      <c r="I212" t="s">
        <v>2576</v>
      </c>
      <c r="J212" t="str" cm="1">
        <f t="array" ref="J212">IF(SUM(COUNTIF(Text_Preprocessing__224[[#This Row],[full_text]],{"*makan siang gratis*";"*MBG*";"*makan gratis*";"*makan bergizi gratis*";"*makangratis*";"*makanan gratis*"})),"Relevan","Tidak Relevan")</f>
        <v>Relevan</v>
      </c>
    </row>
    <row r="213" spans="1:10" x14ac:dyDescent="0.35">
      <c r="A213">
        <f t="shared" si="3"/>
        <v>212</v>
      </c>
      <c r="B213">
        <v>218</v>
      </c>
      <c r="C213" t="s">
        <v>2577</v>
      </c>
      <c r="D213" t="s">
        <v>379</v>
      </c>
      <c r="E213" t="s">
        <v>2578</v>
      </c>
      <c r="F213" t="s">
        <v>2134</v>
      </c>
      <c r="G213" t="s">
        <v>2579</v>
      </c>
      <c r="H213" t="s">
        <v>2579</v>
      </c>
      <c r="I213" t="s">
        <v>2580</v>
      </c>
      <c r="J213" t="str" cm="1">
        <f t="array" ref="J213">IF(SUM(COUNTIF(Text_Preprocessing__224[[#This Row],[full_text]],{"*makan siang gratis*";"*MBG*";"*makan gratis*";"*makan bergizi gratis*";"*makangratis*";"*makanan gratis*"})),"Relevan","Tidak Relevan")</f>
        <v>Relevan</v>
      </c>
    </row>
    <row r="214" spans="1:10" x14ac:dyDescent="0.35">
      <c r="A214">
        <f t="shared" si="3"/>
        <v>213</v>
      </c>
      <c r="B214">
        <v>219</v>
      </c>
      <c r="C214" t="s">
        <v>2581</v>
      </c>
      <c r="D214" t="s">
        <v>76</v>
      </c>
      <c r="E214" t="s">
        <v>2582</v>
      </c>
      <c r="F214" t="s">
        <v>2114</v>
      </c>
      <c r="G214" t="s">
        <v>2583</v>
      </c>
      <c r="H214" t="s">
        <v>2583</v>
      </c>
      <c r="I214" t="s">
        <v>2584</v>
      </c>
      <c r="J214" t="str" cm="1">
        <f t="array" ref="J214">IF(SUM(COUNTIF(Text_Preprocessing__224[[#This Row],[full_text]],{"*makan siang gratis*";"*MBG*";"*makan gratis*";"*makan bergizi gratis*";"*makangratis*";"*makanan gratis*"})),"Relevan","Tidak Relevan")</f>
        <v>Relevan</v>
      </c>
    </row>
    <row r="215" spans="1:10" x14ac:dyDescent="0.35">
      <c r="A215">
        <f t="shared" si="3"/>
        <v>214</v>
      </c>
      <c r="B215">
        <v>220</v>
      </c>
      <c r="C215" t="s">
        <v>2585</v>
      </c>
      <c r="D215" t="s">
        <v>382</v>
      </c>
      <c r="E215" t="s">
        <v>2586</v>
      </c>
      <c r="F215" t="s">
        <v>2114</v>
      </c>
      <c r="G215" t="s">
        <v>2587</v>
      </c>
      <c r="H215" t="s">
        <v>2587</v>
      </c>
      <c r="I215" t="s">
        <v>2588</v>
      </c>
      <c r="J215" t="str" cm="1">
        <f t="array" ref="J215">IF(SUM(COUNTIF(Text_Preprocessing__224[[#This Row],[full_text]],{"*makan siang gratis*";"*MBG*";"*makan gratis*";"*makan bergizi gratis*";"*makangratis*";"*makanan gratis*"})),"Relevan","Tidak Relevan")</f>
        <v>Relevan</v>
      </c>
    </row>
    <row r="216" spans="1:10" x14ac:dyDescent="0.35">
      <c r="A216">
        <f t="shared" si="3"/>
        <v>215</v>
      </c>
      <c r="B216">
        <v>221</v>
      </c>
      <c r="C216" t="s">
        <v>2589</v>
      </c>
      <c r="D216" t="s">
        <v>326</v>
      </c>
      <c r="E216" t="s">
        <v>2590</v>
      </c>
      <c r="F216" t="s">
        <v>1999</v>
      </c>
      <c r="G216" t="s">
        <v>2591</v>
      </c>
      <c r="H216" t="s">
        <v>2591</v>
      </c>
      <c r="I216" t="s">
        <v>2592</v>
      </c>
      <c r="J216" t="str" cm="1">
        <f t="array" ref="J216">IF(SUM(COUNTIF(Text_Preprocessing__224[[#This Row],[full_text]],{"*makan siang gratis*";"*MBG*";"*makan gratis*";"*makan bergizi gratis*";"*makangratis*";"*makanan gratis*"})),"Relevan","Tidak Relevan")</f>
        <v>Relevan</v>
      </c>
    </row>
    <row r="217" spans="1:10" x14ac:dyDescent="0.35">
      <c r="A217">
        <f t="shared" si="3"/>
        <v>216</v>
      </c>
      <c r="B217">
        <v>222</v>
      </c>
      <c r="C217" t="s">
        <v>2593</v>
      </c>
      <c r="D217" t="s">
        <v>4</v>
      </c>
      <c r="E217" t="s">
        <v>2594</v>
      </c>
      <c r="F217" t="s">
        <v>1601</v>
      </c>
      <c r="G217" t="s">
        <v>2595</v>
      </c>
      <c r="H217" t="s">
        <v>2595</v>
      </c>
      <c r="I217" t="s">
        <v>2596</v>
      </c>
      <c r="J217" t="str" cm="1">
        <f t="array" ref="J217">IF(SUM(COUNTIF(Text_Preprocessing__224[[#This Row],[full_text]],{"*makan siang gratis*";"*MBG*";"*makan gratis*";"*makan bergizi gratis*";"*makangratis*";"*makanan gratis*"})),"Relevan","Tidak Relevan")</f>
        <v>Relevan</v>
      </c>
    </row>
    <row r="218" spans="1:10" x14ac:dyDescent="0.35">
      <c r="A218">
        <f t="shared" si="3"/>
        <v>217</v>
      </c>
      <c r="B218">
        <v>226</v>
      </c>
      <c r="C218" t="s">
        <v>2597</v>
      </c>
      <c r="D218" t="s">
        <v>242</v>
      </c>
      <c r="E218" t="s">
        <v>2598</v>
      </c>
      <c r="F218" t="s">
        <v>2599</v>
      </c>
      <c r="G218" t="s">
        <v>2600</v>
      </c>
      <c r="H218" t="s">
        <v>2600</v>
      </c>
      <c r="I218" t="s">
        <v>2601</v>
      </c>
      <c r="J218" t="str" cm="1">
        <f t="array" ref="J218">IF(SUM(COUNTIF(Text_Preprocessing__224[[#This Row],[full_text]],{"*makan siang gratis*";"*MBG*";"*makan gratis*";"*makan bergizi gratis*";"*makangratis*";"*makanan gratis*"})),"Relevan","Tidak Relevan")</f>
        <v>Relevan</v>
      </c>
    </row>
    <row r="219" spans="1:10" x14ac:dyDescent="0.35">
      <c r="A219">
        <f t="shared" si="3"/>
        <v>218</v>
      </c>
      <c r="B219">
        <v>227</v>
      </c>
      <c r="C219" t="s">
        <v>2602</v>
      </c>
      <c r="D219" t="s">
        <v>280</v>
      </c>
      <c r="E219" t="s">
        <v>2603</v>
      </c>
      <c r="F219" t="s">
        <v>2604</v>
      </c>
      <c r="G219" t="s">
        <v>2605</v>
      </c>
      <c r="H219" t="s">
        <v>2605</v>
      </c>
      <c r="I219" t="s">
        <v>2606</v>
      </c>
      <c r="J219" t="str" cm="1">
        <f t="array" ref="J219">IF(SUM(COUNTIF(Text_Preprocessing__224[[#This Row],[full_text]],{"*makan siang gratis*";"*MBG*";"*makan gratis*";"*makan bergizi gratis*";"*makangratis*";"*makanan gratis*"})),"Relevan","Tidak Relevan")</f>
        <v>Relevan</v>
      </c>
    </row>
    <row r="220" spans="1:10" x14ac:dyDescent="0.35">
      <c r="A220">
        <f t="shared" si="3"/>
        <v>219</v>
      </c>
      <c r="B220">
        <v>228</v>
      </c>
      <c r="C220" t="s">
        <v>2607</v>
      </c>
      <c r="D220" t="s">
        <v>391</v>
      </c>
      <c r="E220" t="s">
        <v>2608</v>
      </c>
      <c r="F220" t="s">
        <v>2609</v>
      </c>
      <c r="G220" t="s">
        <v>2610</v>
      </c>
      <c r="H220" t="s">
        <v>3673</v>
      </c>
      <c r="I220" t="s">
        <v>3674</v>
      </c>
      <c r="J220" t="str" cm="1">
        <f t="array" ref="J220">IF(SUM(COUNTIF(Text_Preprocessing__224[[#This Row],[full_text]],{"*makan siang gratis*";"*MBG*";"*makan gratis*";"*makan bergizi gratis*";"*makangratis*";"*makanan gratis*"})),"Relevan","Tidak Relevan")</f>
        <v>Relevan</v>
      </c>
    </row>
    <row r="221" spans="1:10" x14ac:dyDescent="0.35">
      <c r="A221">
        <f t="shared" si="3"/>
        <v>220</v>
      </c>
      <c r="B221">
        <v>229</v>
      </c>
      <c r="C221" t="s">
        <v>2612</v>
      </c>
      <c r="D221" t="s">
        <v>393</v>
      </c>
      <c r="E221" t="s">
        <v>2613</v>
      </c>
      <c r="F221" t="s">
        <v>2272</v>
      </c>
      <c r="G221" t="s">
        <v>2614</v>
      </c>
      <c r="H221" t="s">
        <v>3675</v>
      </c>
      <c r="I221" t="s">
        <v>3676</v>
      </c>
      <c r="J221" t="str" cm="1">
        <f t="array" ref="J221">IF(SUM(COUNTIF(Text_Preprocessing__224[[#This Row],[full_text]],{"*makan siang gratis*";"*MBG*";"*makan gratis*";"*makan bergizi gratis*";"*makangratis*";"*makanan gratis*"})),"Relevan","Tidak Relevan")</f>
        <v>Relevan</v>
      </c>
    </row>
    <row r="222" spans="1:10" x14ac:dyDescent="0.35">
      <c r="A222">
        <f t="shared" si="3"/>
        <v>221</v>
      </c>
      <c r="B222">
        <v>230</v>
      </c>
      <c r="C222" t="s">
        <v>2616</v>
      </c>
      <c r="D222" t="s">
        <v>263</v>
      </c>
      <c r="E222" t="s">
        <v>2617</v>
      </c>
      <c r="F222" t="s">
        <v>2618</v>
      </c>
      <c r="G222" t="s">
        <v>2619</v>
      </c>
      <c r="H222" t="s">
        <v>3677</v>
      </c>
      <c r="I222" t="s">
        <v>3678</v>
      </c>
      <c r="J222" t="str" cm="1">
        <f t="array" ref="J222">IF(SUM(COUNTIF(Text_Preprocessing__224[[#This Row],[full_text]],{"*makan siang gratis*";"*MBG*";"*makan gratis*";"*makan bergizi gratis*";"*makangratis*";"*makanan gratis*"})),"Relevan","Tidak Relevan")</f>
        <v>Relevan</v>
      </c>
    </row>
    <row r="223" spans="1:10" x14ac:dyDescent="0.35">
      <c r="A223">
        <f t="shared" si="3"/>
        <v>222</v>
      </c>
      <c r="B223">
        <v>231</v>
      </c>
      <c r="C223" t="s">
        <v>2621</v>
      </c>
      <c r="D223" t="s">
        <v>396</v>
      </c>
      <c r="E223" t="s">
        <v>2622</v>
      </c>
      <c r="F223" t="s">
        <v>2008</v>
      </c>
      <c r="G223" t="s">
        <v>2623</v>
      </c>
      <c r="H223" t="s">
        <v>3679</v>
      </c>
      <c r="I223" t="s">
        <v>3680</v>
      </c>
      <c r="J223" t="str" cm="1">
        <f t="array" ref="J223">IF(SUM(COUNTIF(Text_Preprocessing__224[[#This Row],[full_text]],{"*makan siang gratis*";"*MBG*";"*makan gratis*";"*makan bergizi gratis*";"*makangratis*";"*makanan gratis*"})),"Relevan","Tidak Relevan")</f>
        <v>Relevan</v>
      </c>
    </row>
    <row r="224" spans="1:10" x14ac:dyDescent="0.35">
      <c r="A224">
        <f t="shared" si="3"/>
        <v>223</v>
      </c>
      <c r="B224">
        <v>232</v>
      </c>
      <c r="C224" t="s">
        <v>2625</v>
      </c>
      <c r="D224" t="s">
        <v>304</v>
      </c>
      <c r="E224" t="s">
        <v>2626</v>
      </c>
      <c r="F224" t="s">
        <v>2627</v>
      </c>
      <c r="G224" t="s">
        <v>2628</v>
      </c>
      <c r="H224" t="s">
        <v>2628</v>
      </c>
      <c r="I224" t="s">
        <v>2629</v>
      </c>
      <c r="J224" t="str" cm="1">
        <f t="array" ref="J224">IF(SUM(COUNTIF(Text_Preprocessing__224[[#This Row],[full_text]],{"*makan siang gratis*";"*MBG*";"*makan gratis*";"*makan bergizi gratis*";"*makangratis*";"*makanan gratis*"})),"Relevan","Tidak Relevan")</f>
        <v>Relevan</v>
      </c>
    </row>
    <row r="225" spans="1:10" x14ac:dyDescent="0.35">
      <c r="A225">
        <f t="shared" si="3"/>
        <v>224</v>
      </c>
      <c r="B225">
        <v>233</v>
      </c>
      <c r="C225" t="s">
        <v>2630</v>
      </c>
      <c r="D225" t="s">
        <v>213</v>
      </c>
      <c r="E225" t="s">
        <v>2631</v>
      </c>
      <c r="F225" t="s">
        <v>1785</v>
      </c>
      <c r="G225" t="s">
        <v>2632</v>
      </c>
      <c r="H225" t="s">
        <v>3681</v>
      </c>
      <c r="I225" t="s">
        <v>3682</v>
      </c>
      <c r="J225" t="str" cm="1">
        <f t="array" ref="J225">IF(SUM(COUNTIF(Text_Preprocessing__224[[#This Row],[full_text]],{"*makan siang gratis*";"*MBG*";"*makan gratis*";"*makan bergizi gratis*";"*makangratis*";"*makanan gratis*"})),"Relevan","Tidak Relevan")</f>
        <v>Relevan</v>
      </c>
    </row>
    <row r="226" spans="1:10" x14ac:dyDescent="0.35">
      <c r="A226">
        <f t="shared" si="3"/>
        <v>225</v>
      </c>
      <c r="B226">
        <v>234</v>
      </c>
      <c r="C226" t="s">
        <v>2634</v>
      </c>
      <c r="D226" t="s">
        <v>259</v>
      </c>
      <c r="E226" t="s">
        <v>2635</v>
      </c>
      <c r="F226" t="s">
        <v>2186</v>
      </c>
      <c r="G226" t="s">
        <v>2636</v>
      </c>
      <c r="H226" t="s">
        <v>3683</v>
      </c>
      <c r="I226" t="s">
        <v>3684</v>
      </c>
      <c r="J226" t="str" cm="1">
        <f t="array" ref="J226">IF(SUM(COUNTIF(Text_Preprocessing__224[[#This Row],[full_text]],{"*makan siang gratis*";"*MBG*";"*makan gratis*";"*makan bergizi gratis*";"*makangratis*";"*makanan gratis*"})),"Relevan","Tidak Relevan")</f>
        <v>Relevan</v>
      </c>
    </row>
    <row r="227" spans="1:10" x14ac:dyDescent="0.35">
      <c r="A227">
        <f t="shared" si="3"/>
        <v>226</v>
      </c>
      <c r="B227">
        <v>235</v>
      </c>
      <c r="C227" t="s">
        <v>2638</v>
      </c>
      <c r="D227" t="s">
        <v>401</v>
      </c>
      <c r="E227" t="s">
        <v>2639</v>
      </c>
      <c r="F227" t="s">
        <v>2640</v>
      </c>
      <c r="G227" t="s">
        <v>2641</v>
      </c>
      <c r="H227" t="s">
        <v>2642</v>
      </c>
      <c r="I227" t="s">
        <v>2643</v>
      </c>
      <c r="J227" t="str" cm="1">
        <f t="array" ref="J227">IF(SUM(COUNTIF(Text_Preprocessing__224[[#This Row],[full_text]],{"*makan siang gratis*";"*MBG*";"*makan gratis*";"*makan bergizi gratis*";"*makangratis*";"*makanan gratis*"})),"Relevan","Tidak Relevan")</f>
        <v>Relevan</v>
      </c>
    </row>
    <row r="228" spans="1:10" x14ac:dyDescent="0.35">
      <c r="A228">
        <f t="shared" si="3"/>
        <v>227</v>
      </c>
      <c r="B228">
        <v>236</v>
      </c>
      <c r="C228" t="s">
        <v>2644</v>
      </c>
      <c r="D228" t="s">
        <v>403</v>
      </c>
      <c r="E228" t="s">
        <v>2645</v>
      </c>
      <c r="F228" t="s">
        <v>2092</v>
      </c>
      <c r="G228" t="s">
        <v>2646</v>
      </c>
      <c r="H228" t="s">
        <v>2646</v>
      </c>
      <c r="I228" t="s">
        <v>2647</v>
      </c>
      <c r="J228" t="str" cm="1">
        <f t="array" ref="J228">IF(SUM(COUNTIF(Text_Preprocessing__224[[#This Row],[full_text]],{"*makan siang gratis*";"*MBG*";"*makan gratis*";"*makan bergizi gratis*";"*makangratis*";"*makanan gratis*"})),"Relevan","Tidak Relevan")</f>
        <v>Relevan</v>
      </c>
    </row>
    <row r="229" spans="1:10" x14ac:dyDescent="0.35">
      <c r="A229">
        <f t="shared" si="3"/>
        <v>228</v>
      </c>
      <c r="B229">
        <v>237</v>
      </c>
      <c r="C229" t="s">
        <v>2648</v>
      </c>
      <c r="D229" t="s">
        <v>405</v>
      </c>
      <c r="E229" t="s">
        <v>2649</v>
      </c>
      <c r="F229" t="s">
        <v>2558</v>
      </c>
      <c r="G229" t="s">
        <v>2650</v>
      </c>
      <c r="H229" t="s">
        <v>2650</v>
      </c>
      <c r="I229" t="s">
        <v>2651</v>
      </c>
      <c r="J229" t="str" cm="1">
        <f t="array" ref="J229">IF(SUM(COUNTIF(Text_Preprocessing__224[[#This Row],[full_text]],{"*makan siang gratis*";"*MBG*";"*makan gratis*";"*makan bergizi gratis*";"*makangratis*";"*makanan gratis*"})),"Relevan","Tidak Relevan")</f>
        <v>Relevan</v>
      </c>
    </row>
    <row r="230" spans="1:10" x14ac:dyDescent="0.35">
      <c r="A230">
        <f t="shared" si="3"/>
        <v>229</v>
      </c>
      <c r="B230">
        <v>238</v>
      </c>
      <c r="C230" t="s">
        <v>2652</v>
      </c>
      <c r="D230" t="s">
        <v>407</v>
      </c>
      <c r="E230" t="s">
        <v>2653</v>
      </c>
      <c r="F230" t="s">
        <v>1686</v>
      </c>
      <c r="G230" t="s">
        <v>2654</v>
      </c>
      <c r="H230" t="s">
        <v>2654</v>
      </c>
      <c r="I230" t="s">
        <v>2655</v>
      </c>
      <c r="J230" t="str" cm="1">
        <f t="array" ref="J230">IF(SUM(COUNTIF(Text_Preprocessing__224[[#This Row],[full_text]],{"*makan siang gratis*";"*MBG*";"*makan gratis*";"*makan bergizi gratis*";"*makangratis*";"*makanan gratis*"})),"Relevan","Tidak Relevan")</f>
        <v>Relevan</v>
      </c>
    </row>
    <row r="231" spans="1:10" x14ac:dyDescent="0.35">
      <c r="A231">
        <f t="shared" si="3"/>
        <v>230</v>
      </c>
      <c r="B231">
        <v>239</v>
      </c>
      <c r="C231" t="s">
        <v>2656</v>
      </c>
      <c r="D231" t="s">
        <v>409</v>
      </c>
      <c r="E231" t="s">
        <v>2657</v>
      </c>
      <c r="F231" t="s">
        <v>2627</v>
      </c>
      <c r="G231" t="s">
        <v>2658</v>
      </c>
      <c r="H231" t="s">
        <v>2658</v>
      </c>
      <c r="I231" t="s">
        <v>2659</v>
      </c>
      <c r="J231" t="str" cm="1">
        <f t="array" ref="J231">IF(SUM(COUNTIF(Text_Preprocessing__224[[#This Row],[full_text]],{"*makan siang gratis*";"*MBG*";"*makan gratis*";"*makan bergizi gratis*";"*makangratis*";"*makanan gratis*"})),"Relevan","Tidak Relevan")</f>
        <v>Relevan</v>
      </c>
    </row>
    <row r="232" spans="1:10" x14ac:dyDescent="0.35">
      <c r="A232">
        <f t="shared" si="3"/>
        <v>231</v>
      </c>
      <c r="B232">
        <v>240</v>
      </c>
      <c r="C232" t="s">
        <v>2660</v>
      </c>
      <c r="D232" t="s">
        <v>411</v>
      </c>
      <c r="E232" t="s">
        <v>2661</v>
      </c>
      <c r="F232" t="s">
        <v>1799</v>
      </c>
      <c r="G232" t="s">
        <v>2662</v>
      </c>
      <c r="H232" t="s">
        <v>2663</v>
      </c>
      <c r="I232" t="s">
        <v>2664</v>
      </c>
      <c r="J232" t="str" cm="1">
        <f t="array" ref="J232">IF(SUM(COUNTIF(Text_Preprocessing__224[[#This Row],[full_text]],{"*makan siang gratis*";"*MBG*";"*makan gratis*";"*makan bergizi gratis*";"*makangratis*";"*makanan gratis*"})),"Relevan","Tidak Relevan")</f>
        <v>Relevan</v>
      </c>
    </row>
    <row r="233" spans="1:10" x14ac:dyDescent="0.35">
      <c r="A233">
        <f t="shared" si="3"/>
        <v>232</v>
      </c>
      <c r="B233">
        <v>241</v>
      </c>
      <c r="C233" t="s">
        <v>2665</v>
      </c>
      <c r="D233" t="s">
        <v>413</v>
      </c>
      <c r="E233" t="s">
        <v>2666</v>
      </c>
      <c r="F233" t="s">
        <v>1730</v>
      </c>
      <c r="G233" t="s">
        <v>2667</v>
      </c>
      <c r="H233" t="s">
        <v>2667</v>
      </c>
      <c r="I233" t="s">
        <v>2668</v>
      </c>
      <c r="J233" t="str" cm="1">
        <f t="array" ref="J233">IF(SUM(COUNTIF(Text_Preprocessing__224[[#This Row],[full_text]],{"*makan siang gratis*";"*MBG*";"*makan gratis*";"*makan bergizi gratis*";"*makangratis*";"*makanan gratis*"})),"Relevan","Tidak Relevan")</f>
        <v>Relevan</v>
      </c>
    </row>
    <row r="234" spans="1:10" x14ac:dyDescent="0.35">
      <c r="A234">
        <f t="shared" si="3"/>
        <v>233</v>
      </c>
      <c r="B234">
        <v>242</v>
      </c>
      <c r="C234" t="s">
        <v>2669</v>
      </c>
      <c r="D234" t="s">
        <v>133</v>
      </c>
      <c r="E234" t="s">
        <v>2670</v>
      </c>
      <c r="F234" t="s">
        <v>2092</v>
      </c>
      <c r="G234" t="s">
        <v>2671</v>
      </c>
      <c r="H234" t="s">
        <v>2671</v>
      </c>
      <c r="I234" t="s">
        <v>2672</v>
      </c>
      <c r="J234" t="str" cm="1">
        <f t="array" ref="J234">IF(SUM(COUNTIF(Text_Preprocessing__224[[#This Row],[full_text]],{"*makan siang gratis*";"*MBG*";"*makan gratis*";"*makan bergizi gratis*";"*makangratis*";"*makanan gratis*"})),"Relevan","Tidak Relevan")</f>
        <v>Relevan</v>
      </c>
    </row>
    <row r="235" spans="1:10" x14ac:dyDescent="0.35">
      <c r="A235">
        <f t="shared" si="3"/>
        <v>234</v>
      </c>
      <c r="B235">
        <v>243</v>
      </c>
      <c r="C235" t="s">
        <v>2673</v>
      </c>
      <c r="D235" t="s">
        <v>382</v>
      </c>
      <c r="E235" t="s">
        <v>2674</v>
      </c>
      <c r="F235" t="s">
        <v>1607</v>
      </c>
      <c r="G235" t="s">
        <v>2675</v>
      </c>
      <c r="H235" t="s">
        <v>2675</v>
      </c>
      <c r="I235" t="s">
        <v>2676</v>
      </c>
      <c r="J235" t="str" cm="1">
        <f t="array" ref="J235">IF(SUM(COUNTIF(Text_Preprocessing__224[[#This Row],[full_text]],{"*makan siang gratis*";"*MBG*";"*makan gratis*";"*makan bergizi gratis*";"*makangratis*";"*makanan gratis*"})),"Relevan","Tidak Relevan")</f>
        <v>Relevan</v>
      </c>
    </row>
    <row r="236" spans="1:10" x14ac:dyDescent="0.35">
      <c r="A236">
        <f t="shared" si="3"/>
        <v>235</v>
      </c>
      <c r="B236">
        <v>244</v>
      </c>
      <c r="C236" t="s">
        <v>2677</v>
      </c>
      <c r="D236" t="s">
        <v>417</v>
      </c>
      <c r="E236" t="s">
        <v>2678</v>
      </c>
      <c r="F236" t="s">
        <v>2679</v>
      </c>
      <c r="G236" t="s">
        <v>2680</v>
      </c>
      <c r="H236" t="s">
        <v>2680</v>
      </c>
      <c r="I236" t="s">
        <v>2681</v>
      </c>
      <c r="J236" t="str" cm="1">
        <f t="array" ref="J236">IF(SUM(COUNTIF(Text_Preprocessing__224[[#This Row],[full_text]],{"*makan siang gratis*";"*MBG*";"*makan gratis*";"*makan bergizi gratis*";"*makangratis*";"*makanan gratis*"})),"Relevan","Tidak Relevan")</f>
        <v>Relevan</v>
      </c>
    </row>
    <row r="237" spans="1:10" x14ac:dyDescent="0.35">
      <c r="A237">
        <f t="shared" si="3"/>
        <v>236</v>
      </c>
      <c r="B237">
        <v>245</v>
      </c>
      <c r="C237" t="s">
        <v>2682</v>
      </c>
      <c r="D237" t="s">
        <v>419</v>
      </c>
      <c r="E237" t="s">
        <v>2683</v>
      </c>
      <c r="F237" t="s">
        <v>2684</v>
      </c>
      <c r="G237" t="s">
        <v>2685</v>
      </c>
      <c r="H237" t="s">
        <v>2686</v>
      </c>
      <c r="I237" t="s">
        <v>2687</v>
      </c>
      <c r="J237" t="str" cm="1">
        <f t="array" ref="J237">IF(SUM(COUNTIF(Text_Preprocessing__224[[#This Row],[full_text]],{"*makan siang gratis*";"*MBG*";"*makan gratis*";"*makan bergizi gratis*";"*makangratis*";"*makanan gratis*"})),"Relevan","Tidak Relevan")</f>
        <v>Relevan</v>
      </c>
    </row>
    <row r="238" spans="1:10" x14ac:dyDescent="0.35">
      <c r="A238">
        <f t="shared" si="3"/>
        <v>237</v>
      </c>
      <c r="B238">
        <v>246</v>
      </c>
      <c r="C238" t="s">
        <v>2688</v>
      </c>
      <c r="D238" t="s">
        <v>421</v>
      </c>
      <c r="E238" t="s">
        <v>2689</v>
      </c>
      <c r="F238" t="s">
        <v>2690</v>
      </c>
      <c r="G238" t="s">
        <v>2691</v>
      </c>
      <c r="H238" t="s">
        <v>2691</v>
      </c>
      <c r="I238" t="s">
        <v>2692</v>
      </c>
      <c r="J238" t="str" cm="1">
        <f t="array" ref="J238">IF(SUM(COUNTIF(Text_Preprocessing__224[[#This Row],[full_text]],{"*makan siang gratis*";"*MBG*";"*makan gratis*";"*makan bergizi gratis*";"*makangratis*";"*makanan gratis*"})),"Relevan","Tidak Relevan")</f>
        <v>Relevan</v>
      </c>
    </row>
    <row r="239" spans="1:10" x14ac:dyDescent="0.35">
      <c r="A239">
        <f t="shared" si="3"/>
        <v>238</v>
      </c>
      <c r="B239">
        <v>247</v>
      </c>
      <c r="C239" t="s">
        <v>2693</v>
      </c>
      <c r="D239" t="s">
        <v>379</v>
      </c>
      <c r="E239" t="s">
        <v>2694</v>
      </c>
      <c r="F239" t="s">
        <v>2082</v>
      </c>
      <c r="G239" t="s">
        <v>2695</v>
      </c>
      <c r="H239" t="s">
        <v>2695</v>
      </c>
      <c r="I239" t="s">
        <v>2696</v>
      </c>
      <c r="J239" t="str" cm="1">
        <f t="array" ref="J239">IF(SUM(COUNTIF(Text_Preprocessing__224[[#This Row],[full_text]],{"*makan siang gratis*";"*MBG*";"*makan gratis*";"*makan bergizi gratis*";"*makangratis*";"*makanan gratis*"})),"Relevan","Tidak Relevan")</f>
        <v>Relevan</v>
      </c>
    </row>
    <row r="240" spans="1:10" x14ac:dyDescent="0.35">
      <c r="A240">
        <f t="shared" si="3"/>
        <v>239</v>
      </c>
      <c r="B240">
        <v>248</v>
      </c>
      <c r="C240" t="s">
        <v>2697</v>
      </c>
      <c r="D240" t="s">
        <v>411</v>
      </c>
      <c r="E240" t="s">
        <v>2698</v>
      </c>
      <c r="F240" t="s">
        <v>1613</v>
      </c>
      <c r="G240" t="s">
        <v>2699</v>
      </c>
      <c r="H240" t="s">
        <v>2700</v>
      </c>
      <c r="I240" t="s">
        <v>2701</v>
      </c>
      <c r="J240" t="str" cm="1">
        <f t="array" ref="J240">IF(SUM(COUNTIF(Text_Preprocessing__224[[#This Row],[full_text]],{"*makan siang gratis*";"*MBG*";"*makan gratis*";"*makan bergizi gratis*";"*makangratis*";"*makanan gratis*"})),"Relevan","Tidak Relevan")</f>
        <v>Relevan</v>
      </c>
    </row>
    <row r="241" spans="1:10" x14ac:dyDescent="0.35">
      <c r="A241">
        <f t="shared" si="3"/>
        <v>240</v>
      </c>
      <c r="B241">
        <v>249</v>
      </c>
      <c r="C241" t="s">
        <v>2702</v>
      </c>
      <c r="D241" t="s">
        <v>133</v>
      </c>
      <c r="E241" t="s">
        <v>2703</v>
      </c>
      <c r="F241" t="s">
        <v>2335</v>
      </c>
      <c r="G241" t="s">
        <v>2704</v>
      </c>
      <c r="H241" t="s">
        <v>2704</v>
      </c>
      <c r="I241" t="s">
        <v>2705</v>
      </c>
      <c r="J241" t="str" cm="1">
        <f t="array" ref="J241">IF(SUM(COUNTIF(Text_Preprocessing__224[[#This Row],[full_text]],{"*makan siang gratis*";"*MBG*";"*makan gratis*";"*makan bergizi gratis*";"*makangratis*";"*makanan gratis*"})),"Relevan","Tidak Relevan")</f>
        <v>Relevan</v>
      </c>
    </row>
    <row r="242" spans="1:10" x14ac:dyDescent="0.35">
      <c r="A242">
        <f t="shared" si="3"/>
        <v>241</v>
      </c>
      <c r="B242">
        <v>250</v>
      </c>
      <c r="C242" t="s">
        <v>2706</v>
      </c>
      <c r="D242" t="s">
        <v>426</v>
      </c>
      <c r="E242" t="s">
        <v>2707</v>
      </c>
      <c r="F242" t="s">
        <v>1809</v>
      </c>
      <c r="G242" t="s">
        <v>2707</v>
      </c>
      <c r="H242" t="s">
        <v>2707</v>
      </c>
      <c r="I242" t="s">
        <v>2708</v>
      </c>
      <c r="J242" t="str" cm="1">
        <f t="array" ref="J242">IF(SUM(COUNTIF(Text_Preprocessing__224[[#This Row],[full_text]],{"*makan siang gratis*";"*MBG*";"*makan gratis*";"*makan bergizi gratis*";"*makangratis*";"*makanan gratis*"})),"Relevan","Tidak Relevan")</f>
        <v>Relevan</v>
      </c>
    </row>
    <row r="243" spans="1:10" x14ac:dyDescent="0.35">
      <c r="A243">
        <f t="shared" si="3"/>
        <v>242</v>
      </c>
      <c r="B243">
        <v>251</v>
      </c>
      <c r="C243" t="s">
        <v>2709</v>
      </c>
      <c r="D243" t="s">
        <v>428</v>
      </c>
      <c r="E243" t="s">
        <v>2710</v>
      </c>
      <c r="F243" t="s">
        <v>2092</v>
      </c>
      <c r="G243" t="s">
        <v>2711</v>
      </c>
      <c r="H243" t="s">
        <v>2711</v>
      </c>
      <c r="I243" t="s">
        <v>2712</v>
      </c>
      <c r="J243" t="str" cm="1">
        <f t="array" ref="J243">IF(SUM(COUNTIF(Text_Preprocessing__224[[#This Row],[full_text]],{"*makan siang gratis*";"*MBG*";"*makan gratis*";"*makan bergizi gratis*";"*makangratis*";"*makanan gratis*"})),"Relevan","Tidak Relevan")</f>
        <v>Relevan</v>
      </c>
    </row>
    <row r="244" spans="1:10" x14ac:dyDescent="0.35">
      <c r="A244">
        <f t="shared" si="3"/>
        <v>243</v>
      </c>
      <c r="B244">
        <v>252</v>
      </c>
      <c r="C244" t="s">
        <v>2713</v>
      </c>
      <c r="D244" t="s">
        <v>137</v>
      </c>
      <c r="E244" t="s">
        <v>2714</v>
      </c>
      <c r="F244" t="s">
        <v>1999</v>
      </c>
      <c r="G244" t="s">
        <v>2715</v>
      </c>
      <c r="H244" t="s">
        <v>2715</v>
      </c>
      <c r="I244" t="s">
        <v>2716</v>
      </c>
      <c r="J244" t="str" cm="1">
        <f t="array" ref="J244">IF(SUM(COUNTIF(Text_Preprocessing__224[[#This Row],[full_text]],{"*makan siang gratis*";"*MBG*";"*makan gratis*";"*makan bergizi gratis*";"*makangratis*";"*makanan gratis*"})),"Relevan","Tidak Relevan")</f>
        <v>Relevan</v>
      </c>
    </row>
    <row r="245" spans="1:10" x14ac:dyDescent="0.35">
      <c r="A245">
        <f t="shared" si="3"/>
        <v>244</v>
      </c>
      <c r="B245">
        <v>253</v>
      </c>
      <c r="C245" t="s">
        <v>2717</v>
      </c>
      <c r="D245" t="s">
        <v>431</v>
      </c>
      <c r="E245" t="s">
        <v>2718</v>
      </c>
      <c r="F245" t="s">
        <v>1799</v>
      </c>
      <c r="G245" t="s">
        <v>2719</v>
      </c>
      <c r="H245" t="s">
        <v>2719</v>
      </c>
      <c r="I245" t="s">
        <v>2720</v>
      </c>
      <c r="J245" t="str" cm="1">
        <f t="array" ref="J245">IF(SUM(COUNTIF(Text_Preprocessing__224[[#This Row],[full_text]],{"*makan siang gratis*";"*MBG*";"*makan gratis*";"*makan bergizi gratis*";"*makangratis*";"*makanan gratis*"})),"Relevan","Tidak Relevan")</f>
        <v>Relevan</v>
      </c>
    </row>
    <row r="246" spans="1:10" x14ac:dyDescent="0.35">
      <c r="A246">
        <f t="shared" si="3"/>
        <v>245</v>
      </c>
      <c r="B246">
        <v>254</v>
      </c>
      <c r="C246" t="s">
        <v>2721</v>
      </c>
      <c r="D246" t="s">
        <v>433</v>
      </c>
      <c r="E246" t="s">
        <v>2722</v>
      </c>
      <c r="F246" t="s">
        <v>2177</v>
      </c>
      <c r="G246" t="s">
        <v>2723</v>
      </c>
      <c r="H246" t="s">
        <v>2723</v>
      </c>
      <c r="I246" t="s">
        <v>2724</v>
      </c>
      <c r="J246" t="str" cm="1">
        <f t="array" ref="J246">IF(SUM(COUNTIF(Text_Preprocessing__224[[#This Row],[full_text]],{"*makan siang gratis*";"*MBG*";"*makan gratis*";"*makan bergizi gratis*";"*makangratis*";"*makanan gratis*"})),"Relevan","Tidak Relevan")</f>
        <v>Relevan</v>
      </c>
    </row>
    <row r="247" spans="1:10" x14ac:dyDescent="0.35">
      <c r="A247">
        <f t="shared" si="3"/>
        <v>246</v>
      </c>
      <c r="B247">
        <v>255</v>
      </c>
      <c r="C247" t="s">
        <v>2725</v>
      </c>
      <c r="D247" t="s">
        <v>435</v>
      </c>
      <c r="E247" t="s">
        <v>2726</v>
      </c>
      <c r="F247" t="s">
        <v>1758</v>
      </c>
      <c r="G247" t="s">
        <v>2727</v>
      </c>
      <c r="H247" t="s">
        <v>2727</v>
      </c>
      <c r="I247" t="s">
        <v>2728</v>
      </c>
      <c r="J247" t="str" cm="1">
        <f t="array" ref="J247">IF(SUM(COUNTIF(Text_Preprocessing__224[[#This Row],[full_text]],{"*makan siang gratis*";"*MBG*";"*makan gratis*";"*makan bergizi gratis*";"*makangratis*";"*makanan gratis*"})),"Relevan","Tidak Relevan")</f>
        <v>Relevan</v>
      </c>
    </row>
    <row r="248" spans="1:10" x14ac:dyDescent="0.35">
      <c r="A248">
        <f t="shared" si="3"/>
        <v>247</v>
      </c>
      <c r="B248">
        <v>256</v>
      </c>
      <c r="C248" t="s">
        <v>2729</v>
      </c>
      <c r="D248" t="s">
        <v>437</v>
      </c>
      <c r="E248" t="s">
        <v>2730</v>
      </c>
      <c r="F248" t="s">
        <v>1629</v>
      </c>
      <c r="G248" t="s">
        <v>2731</v>
      </c>
      <c r="H248" t="s">
        <v>2731</v>
      </c>
      <c r="I248" t="s">
        <v>2732</v>
      </c>
      <c r="J248" t="str" cm="1">
        <f t="array" ref="J248">IF(SUM(COUNTIF(Text_Preprocessing__224[[#This Row],[full_text]],{"*makan siang gratis*";"*MBG*";"*makan gratis*";"*makan bergizi gratis*";"*makangratis*";"*makanan gratis*"})),"Relevan","Tidak Relevan")</f>
        <v>Relevan</v>
      </c>
    </row>
    <row r="249" spans="1:10" x14ac:dyDescent="0.35">
      <c r="A249">
        <f t="shared" si="3"/>
        <v>248</v>
      </c>
      <c r="B249">
        <v>257</v>
      </c>
      <c r="C249" t="s">
        <v>2733</v>
      </c>
      <c r="D249" t="s">
        <v>91</v>
      </c>
      <c r="E249" t="s">
        <v>2734</v>
      </c>
      <c r="F249" t="s">
        <v>2335</v>
      </c>
      <c r="G249" t="s">
        <v>2735</v>
      </c>
      <c r="H249" t="s">
        <v>2735</v>
      </c>
      <c r="I249" t="s">
        <v>2736</v>
      </c>
      <c r="J249" t="str" cm="1">
        <f t="array" ref="J249">IF(SUM(COUNTIF(Text_Preprocessing__224[[#This Row],[full_text]],{"*makan siang gratis*";"*MBG*";"*makan gratis*";"*makan bergizi gratis*";"*makangratis*";"*makanan gratis*"})),"Relevan","Tidak Relevan")</f>
        <v>Relevan</v>
      </c>
    </row>
    <row r="250" spans="1:10" x14ac:dyDescent="0.35">
      <c r="A250">
        <f t="shared" si="3"/>
        <v>249</v>
      </c>
      <c r="B250">
        <v>258</v>
      </c>
      <c r="C250" t="s">
        <v>2737</v>
      </c>
      <c r="D250" t="s">
        <v>440</v>
      </c>
      <c r="E250" t="s">
        <v>2738</v>
      </c>
      <c r="F250" t="s">
        <v>1674</v>
      </c>
      <c r="G250" t="s">
        <v>2739</v>
      </c>
      <c r="H250" t="s">
        <v>2739</v>
      </c>
      <c r="I250" t="s">
        <v>2740</v>
      </c>
      <c r="J250" t="str" cm="1">
        <f t="array" ref="J250">IF(SUM(COUNTIF(Text_Preprocessing__224[[#This Row],[full_text]],{"*makan siang gratis*";"*MBG*";"*makan gratis*";"*makan bergizi gratis*";"*makangratis*";"*makanan gratis*"})),"Relevan","Tidak Relevan")</f>
        <v>Relevan</v>
      </c>
    </row>
    <row r="251" spans="1:10" x14ac:dyDescent="0.35">
      <c r="A251">
        <f t="shared" si="3"/>
        <v>250</v>
      </c>
      <c r="B251">
        <v>259</v>
      </c>
      <c r="C251" t="s">
        <v>2741</v>
      </c>
      <c r="D251" t="s">
        <v>442</v>
      </c>
      <c r="E251" t="s">
        <v>2742</v>
      </c>
      <c r="F251" t="s">
        <v>2743</v>
      </c>
      <c r="G251" t="s">
        <v>2744</v>
      </c>
      <c r="H251" t="s">
        <v>2744</v>
      </c>
      <c r="I251" t="s">
        <v>2745</v>
      </c>
      <c r="J251" t="str" cm="1">
        <f t="array" ref="J251">IF(SUM(COUNTIF(Text_Preprocessing__224[[#This Row],[full_text]],{"*makan siang gratis*";"*MBG*";"*makan gratis*";"*makan bergizi gratis*";"*makangratis*";"*makanan gratis*"})),"Relevan","Tidak Relevan")</f>
        <v>Relevan</v>
      </c>
    </row>
    <row r="252" spans="1:10" x14ac:dyDescent="0.35">
      <c r="A252">
        <f t="shared" si="3"/>
        <v>251</v>
      </c>
      <c r="B252">
        <v>260</v>
      </c>
      <c r="C252" t="s">
        <v>2746</v>
      </c>
      <c r="D252" t="s">
        <v>442</v>
      </c>
      <c r="E252" t="s">
        <v>2747</v>
      </c>
      <c r="F252" t="s">
        <v>2748</v>
      </c>
      <c r="G252" t="s">
        <v>2749</v>
      </c>
      <c r="H252" t="s">
        <v>2749</v>
      </c>
      <c r="I252" t="s">
        <v>2750</v>
      </c>
      <c r="J252" t="str" cm="1">
        <f t="array" ref="J252">IF(SUM(COUNTIF(Text_Preprocessing__224[[#This Row],[full_text]],{"*makan siang gratis*";"*MBG*";"*makan gratis*";"*makan bergizi gratis*";"*makangratis*";"*makanan gratis*"})),"Relevan","Tidak Relevan")</f>
        <v>Relevan</v>
      </c>
    </row>
    <row r="253" spans="1:10" x14ac:dyDescent="0.35">
      <c r="A253">
        <f t="shared" si="3"/>
        <v>252</v>
      </c>
      <c r="B253">
        <v>261</v>
      </c>
      <c r="C253" t="s">
        <v>2751</v>
      </c>
      <c r="D253" t="s">
        <v>445</v>
      </c>
      <c r="E253" t="s">
        <v>2752</v>
      </c>
      <c r="F253" t="s">
        <v>1680</v>
      </c>
      <c r="G253" t="s">
        <v>2753</v>
      </c>
      <c r="H253" t="s">
        <v>2754</v>
      </c>
      <c r="I253" t="s">
        <v>2755</v>
      </c>
      <c r="J253" t="str" cm="1">
        <f t="array" ref="J253">IF(SUM(COUNTIF(Text_Preprocessing__224[[#This Row],[full_text]],{"*makan siang gratis*";"*MBG*";"*makan gratis*";"*makan bergizi gratis*";"*makangratis*";"*makanan gratis*"})),"Relevan","Tidak Relevan")</f>
        <v>Relevan</v>
      </c>
    </row>
    <row r="254" spans="1:10" x14ac:dyDescent="0.35">
      <c r="A254">
        <f t="shared" si="3"/>
        <v>253</v>
      </c>
      <c r="B254">
        <v>262</v>
      </c>
      <c r="C254" t="s">
        <v>2756</v>
      </c>
      <c r="D254" t="s">
        <v>447</v>
      </c>
      <c r="E254" t="s">
        <v>2757</v>
      </c>
      <c r="F254" t="s">
        <v>2609</v>
      </c>
      <c r="G254" t="s">
        <v>2758</v>
      </c>
      <c r="H254" t="s">
        <v>2758</v>
      </c>
      <c r="I254" t="s">
        <v>2759</v>
      </c>
      <c r="J254" t="str" cm="1">
        <f t="array" ref="J254">IF(SUM(COUNTIF(Text_Preprocessing__224[[#This Row],[full_text]],{"*makan siang gratis*";"*MBG*";"*makan gratis*";"*makan bergizi gratis*";"*makangratis*";"*makanan gratis*"})),"Relevan","Tidak Relevan")</f>
        <v>Relevan</v>
      </c>
    </row>
    <row r="255" spans="1:10" x14ac:dyDescent="0.35">
      <c r="A255">
        <f t="shared" si="3"/>
        <v>254</v>
      </c>
      <c r="B255">
        <v>263</v>
      </c>
      <c r="C255" t="s">
        <v>2760</v>
      </c>
      <c r="D255" t="s">
        <v>449</v>
      </c>
      <c r="E255" t="s">
        <v>2761</v>
      </c>
      <c r="F255" t="s">
        <v>2553</v>
      </c>
      <c r="G255" t="s">
        <v>2762</v>
      </c>
      <c r="H255" t="s">
        <v>2762</v>
      </c>
      <c r="I255" t="s">
        <v>2763</v>
      </c>
      <c r="J255" t="str" cm="1">
        <f t="array" ref="J255">IF(SUM(COUNTIF(Text_Preprocessing__224[[#This Row],[full_text]],{"*makan siang gratis*";"*MBG*";"*makan gratis*";"*makan bergizi gratis*";"*makangratis*";"*makanan gratis*"})),"Relevan","Tidak Relevan")</f>
        <v>Relevan</v>
      </c>
    </row>
    <row r="256" spans="1:10" x14ac:dyDescent="0.35">
      <c r="A256">
        <f t="shared" si="3"/>
        <v>255</v>
      </c>
      <c r="B256">
        <v>264</v>
      </c>
      <c r="C256" t="s">
        <v>2764</v>
      </c>
      <c r="D256" t="s">
        <v>451</v>
      </c>
      <c r="E256" t="s">
        <v>2765</v>
      </c>
      <c r="F256" t="s">
        <v>2069</v>
      </c>
      <c r="G256" t="s">
        <v>2766</v>
      </c>
      <c r="H256" t="s">
        <v>2766</v>
      </c>
      <c r="I256" t="s">
        <v>2767</v>
      </c>
      <c r="J256" t="str" cm="1">
        <f t="array" ref="J256">IF(SUM(COUNTIF(Text_Preprocessing__224[[#This Row],[full_text]],{"*makan siang gratis*";"*MBG*";"*makan gratis*";"*makan bergizi gratis*";"*makangratis*";"*makanan gratis*"})),"Relevan","Tidak Relevan")</f>
        <v>Relevan</v>
      </c>
    </row>
    <row r="257" spans="1:11" x14ac:dyDescent="0.35">
      <c r="A257">
        <f t="shared" si="3"/>
        <v>256</v>
      </c>
      <c r="B257">
        <v>265</v>
      </c>
      <c r="C257" t="s">
        <v>2768</v>
      </c>
      <c r="D257" t="s">
        <v>102</v>
      </c>
      <c r="E257" t="s">
        <v>2769</v>
      </c>
      <c r="F257" t="s">
        <v>2558</v>
      </c>
      <c r="G257" t="s">
        <v>2770</v>
      </c>
      <c r="H257" t="s">
        <v>3685</v>
      </c>
      <c r="I257" t="s">
        <v>3686</v>
      </c>
      <c r="J257" t="str" cm="1">
        <f t="array" ref="J257">IF(SUM(COUNTIF(Text_Preprocessing__224[[#This Row],[full_text]],{"*makan siang gratis*";"*MBG*";"*makan gratis*";"*makan bergizi gratis*";"*makangratis*";"*makanan gratis*"})),"Relevan","Tidak Relevan")</f>
        <v>Relevan</v>
      </c>
    </row>
    <row r="258" spans="1:11" x14ac:dyDescent="0.35">
      <c r="A258">
        <f t="shared" si="3"/>
        <v>257</v>
      </c>
      <c r="B258">
        <v>266</v>
      </c>
      <c r="C258" t="s">
        <v>2772</v>
      </c>
      <c r="D258" t="s">
        <v>454</v>
      </c>
      <c r="E258" t="s">
        <v>2773</v>
      </c>
      <c r="F258" t="s">
        <v>2558</v>
      </c>
      <c r="G258" t="s">
        <v>2774</v>
      </c>
      <c r="H258" t="s">
        <v>2774</v>
      </c>
      <c r="I258" t="s">
        <v>2775</v>
      </c>
      <c r="J258" t="str" cm="1">
        <f t="array" ref="J258">IF(SUM(COUNTIF(Text_Preprocessing__224[[#This Row],[full_text]],{"*makan siang gratis*";"*MBG*";"*makan gratis*";"*makan bergizi gratis*";"*makangratis*";"*makanan gratis*"})),"Relevan","Tidak Relevan")</f>
        <v>Relevan</v>
      </c>
    </row>
    <row r="259" spans="1:11" x14ac:dyDescent="0.35">
      <c r="A259">
        <f t="shared" si="3"/>
        <v>258</v>
      </c>
      <c r="B259">
        <v>267</v>
      </c>
      <c r="C259" t="s">
        <v>2776</v>
      </c>
      <c r="D259" t="s">
        <v>456</v>
      </c>
      <c r="E259" t="s">
        <v>2777</v>
      </c>
      <c r="F259" t="s">
        <v>2074</v>
      </c>
      <c r="G259" t="s">
        <v>2778</v>
      </c>
      <c r="H259" t="s">
        <v>2778</v>
      </c>
      <c r="I259" t="s">
        <v>2779</v>
      </c>
      <c r="J259" t="str" cm="1">
        <f t="array" ref="J259">IF(SUM(COUNTIF(Text_Preprocessing__224[[#This Row],[full_text]],{"*makan siang gratis*";"*MBG*";"*makan gratis*";"*makan bergizi gratis*";"*makangratis*";"*makanan gratis*"})),"Relevan","Tidak Relevan")</f>
        <v>Relevan</v>
      </c>
    </row>
    <row r="260" spans="1:11" x14ac:dyDescent="0.35">
      <c r="A260">
        <f t="shared" ref="A260:A323" si="4">SUM(A259+1)</f>
        <v>259</v>
      </c>
      <c r="B260">
        <v>268</v>
      </c>
      <c r="C260" t="s">
        <v>2780</v>
      </c>
      <c r="D260" t="s">
        <v>458</v>
      </c>
      <c r="E260" t="s">
        <v>2781</v>
      </c>
      <c r="F260" t="s">
        <v>2782</v>
      </c>
      <c r="G260" t="s">
        <v>2783</v>
      </c>
      <c r="H260" t="s">
        <v>2784</v>
      </c>
      <c r="I260" t="s">
        <v>2785</v>
      </c>
      <c r="J260" t="str" cm="1">
        <f t="array" ref="J260">IF(SUM(COUNTIF(Text_Preprocessing__224[[#This Row],[full_text]],{"*makan siang gratis*";"*MBG*";"*makan gratis*";"*makan bergizi gratis*";"*makangratis*";"*makanan gratis*"})),"Relevan","Tidak Relevan")</f>
        <v>Relevan</v>
      </c>
    </row>
    <row r="261" spans="1:11" x14ac:dyDescent="0.35">
      <c r="A261">
        <f t="shared" si="4"/>
        <v>260</v>
      </c>
      <c r="B261">
        <v>269</v>
      </c>
      <c r="C261" t="s">
        <v>2786</v>
      </c>
      <c r="D261" t="s">
        <v>460</v>
      </c>
      <c r="E261" t="s">
        <v>2787</v>
      </c>
      <c r="F261" t="s">
        <v>1692</v>
      </c>
      <c r="G261" t="s">
        <v>2788</v>
      </c>
      <c r="H261" t="s">
        <v>2788</v>
      </c>
      <c r="I261" t="s">
        <v>2789</v>
      </c>
      <c r="J261" t="str" cm="1">
        <f t="array" ref="J261">IF(SUM(COUNTIF(Text_Preprocessing__224[[#This Row],[full_text]],{"*makan siang gratis*";"*MBG*";"*makan gratis*";"*makan bergizi gratis*";"*makangratis*";"*makanan gratis*"})),"Relevan","Tidak Relevan")</f>
        <v>Relevan</v>
      </c>
    </row>
    <row r="262" spans="1:11" x14ac:dyDescent="0.35">
      <c r="A262">
        <f t="shared" si="4"/>
        <v>261</v>
      </c>
      <c r="B262">
        <v>270</v>
      </c>
      <c r="C262" t="s">
        <v>2790</v>
      </c>
      <c r="D262" t="s">
        <v>442</v>
      </c>
      <c r="E262" t="s">
        <v>2791</v>
      </c>
      <c r="F262" t="s">
        <v>2782</v>
      </c>
      <c r="G262" t="s">
        <v>2792</v>
      </c>
      <c r="H262" t="s">
        <v>2792</v>
      </c>
      <c r="I262" t="s">
        <v>2793</v>
      </c>
      <c r="J262" t="str" cm="1">
        <f t="array" ref="J262">IF(SUM(COUNTIF(Text_Preprocessing__224[[#This Row],[full_text]],{"*makan siang gratis*";"*MBG*";"*makan gratis*";"*makan bergizi gratis*";"*makangratis*";"*makanan gratis*"})),"Relevan","Tidak Relevan")</f>
        <v>Relevan</v>
      </c>
    </row>
    <row r="263" spans="1:11" x14ac:dyDescent="0.35">
      <c r="A263">
        <f t="shared" si="4"/>
        <v>262</v>
      </c>
      <c r="B263">
        <v>271</v>
      </c>
      <c r="C263" t="s">
        <v>2794</v>
      </c>
      <c r="D263" t="s">
        <v>463</v>
      </c>
      <c r="E263" t="s">
        <v>2795</v>
      </c>
      <c r="F263" t="s">
        <v>2796</v>
      </c>
      <c r="G263" t="s">
        <v>2797</v>
      </c>
      <c r="H263" t="s">
        <v>2797</v>
      </c>
      <c r="I263" t="s">
        <v>2798</v>
      </c>
      <c r="J263" t="str" cm="1">
        <f t="array" ref="J263">IF(SUM(COUNTIF(Text_Preprocessing__224[[#This Row],[full_text]],{"*makan siang gratis*";"*MBG*";"*makan gratis*";"*makan bergizi gratis*";"*makangratis*";"*makanan gratis*"})),"Relevan","Tidak Relevan")</f>
        <v>Relevan</v>
      </c>
    </row>
    <row r="264" spans="1:11" x14ac:dyDescent="0.35">
      <c r="A264">
        <f t="shared" si="4"/>
        <v>263</v>
      </c>
      <c r="B264">
        <v>272</v>
      </c>
      <c r="C264" t="s">
        <v>2799</v>
      </c>
      <c r="D264" t="s">
        <v>463</v>
      </c>
      <c r="E264" t="s">
        <v>2800</v>
      </c>
      <c r="F264" t="s">
        <v>2558</v>
      </c>
      <c r="G264" t="s">
        <v>2801</v>
      </c>
      <c r="H264" t="s">
        <v>2802</v>
      </c>
      <c r="I264" t="s">
        <v>2803</v>
      </c>
      <c r="J264" t="str" cm="1">
        <f t="array" ref="J264">IF(SUM(COUNTIF(Text_Preprocessing__224[[#This Row],[full_text]],{"*makan siang gratis*";"*MBG*";"*makan gratis*";"*makan bergizi gratis*";"*makangratis*";"*makanan gratis*"})),"Relevan","Tidak Relevan")</f>
        <v>Relevan</v>
      </c>
    </row>
    <row r="265" spans="1:11" x14ac:dyDescent="0.35">
      <c r="A265">
        <f t="shared" si="4"/>
        <v>264</v>
      </c>
      <c r="B265">
        <v>273</v>
      </c>
      <c r="C265" t="s">
        <v>2804</v>
      </c>
      <c r="D265" t="s">
        <v>379</v>
      </c>
      <c r="E265" t="s">
        <v>2805</v>
      </c>
      <c r="F265" t="s">
        <v>2806</v>
      </c>
      <c r="G265" t="s">
        <v>2807</v>
      </c>
      <c r="H265" t="s">
        <v>2807</v>
      </c>
      <c r="I265" t="s">
        <v>2808</v>
      </c>
      <c r="J265" t="str" cm="1">
        <f t="array" ref="J265">IF(SUM(COUNTIF(Text_Preprocessing__224[[#This Row],[full_text]],{"*makan siang gratis*";"*MBG*";"*makan gratis*";"*makan bergizi gratis*";"*makangratis*";"*makanan gratis*"})),"Relevan","Tidak Relevan")</f>
        <v>Relevan</v>
      </c>
    </row>
    <row r="266" spans="1:11" x14ac:dyDescent="0.35">
      <c r="A266">
        <f t="shared" si="4"/>
        <v>265</v>
      </c>
      <c r="B266">
        <v>274</v>
      </c>
      <c r="C266" t="s">
        <v>2809</v>
      </c>
      <c r="D266" t="s">
        <v>467</v>
      </c>
      <c r="E266" t="s">
        <v>2810</v>
      </c>
      <c r="F266" t="s">
        <v>1893</v>
      </c>
      <c r="G266" t="s">
        <v>2811</v>
      </c>
      <c r="H266" t="s">
        <v>2812</v>
      </c>
      <c r="I266" t="s">
        <v>2813</v>
      </c>
      <c r="J266" t="str" cm="1">
        <f t="array" ref="J266">IF(SUM(COUNTIF(Text_Preprocessing__224[[#This Row],[full_text]],{"*makan siang gratis*";"*MBG*";"*makan gratis*";"*makan bergizi gratis*";"*makangratis*";"*makanan gratis*"})),"Relevan","Tidak Relevan")</f>
        <v>Relevan</v>
      </c>
    </row>
    <row r="267" spans="1:11" x14ac:dyDescent="0.35">
      <c r="A267">
        <f t="shared" si="4"/>
        <v>266</v>
      </c>
      <c r="B267">
        <v>275</v>
      </c>
      <c r="C267" t="s">
        <v>2814</v>
      </c>
      <c r="D267" t="s">
        <v>467</v>
      </c>
      <c r="E267" t="s">
        <v>2815</v>
      </c>
      <c r="F267" t="s">
        <v>1884</v>
      </c>
      <c r="G267" t="s">
        <v>2816</v>
      </c>
      <c r="H267" t="s">
        <v>2817</v>
      </c>
      <c r="I267" t="s">
        <v>2818</v>
      </c>
      <c r="J267" t="str" cm="1">
        <f t="array" ref="J267">IF(SUM(COUNTIF(Text_Preprocessing__224[[#This Row],[full_text]],{"*makan siang gratis*";"*MBG*";"*makan gratis*";"*makan bergizi gratis*";"*makangratis*";"*makanan gratis*"})),"Relevan","Tidak Relevan")</f>
        <v>Relevan</v>
      </c>
      <c r="K267" s="4" t="s">
        <v>3623</v>
      </c>
    </row>
    <row r="268" spans="1:11" x14ac:dyDescent="0.35">
      <c r="A268">
        <f t="shared" si="4"/>
        <v>267</v>
      </c>
      <c r="B268">
        <v>276</v>
      </c>
      <c r="C268" t="s">
        <v>2819</v>
      </c>
      <c r="D268" t="s">
        <v>470</v>
      </c>
      <c r="E268" t="s">
        <v>2820</v>
      </c>
      <c r="F268" t="s">
        <v>2609</v>
      </c>
      <c r="G268" t="s">
        <v>2821</v>
      </c>
      <c r="H268" t="s">
        <v>3687</v>
      </c>
      <c r="I268" t="s">
        <v>3688</v>
      </c>
      <c r="J268" t="str" cm="1">
        <f t="array" ref="J268">IF(SUM(COUNTIF(Text_Preprocessing__224[[#This Row],[full_text]],{"*makan siang gratis*";"*MBG*";"*makan gratis*";"*makan bergizi gratis*";"*makangratis*";"*makanan gratis*"})),"Relevan","Tidak Relevan")</f>
        <v>Relevan</v>
      </c>
    </row>
    <row r="269" spans="1:11" x14ac:dyDescent="0.35">
      <c r="A269">
        <f t="shared" si="4"/>
        <v>268</v>
      </c>
      <c r="B269">
        <v>277</v>
      </c>
      <c r="C269" t="s">
        <v>2824</v>
      </c>
      <c r="D269" t="s">
        <v>472</v>
      </c>
      <c r="E269" t="s">
        <v>2825</v>
      </c>
      <c r="F269" t="s">
        <v>2253</v>
      </c>
      <c r="G269" t="s">
        <v>2826</v>
      </c>
      <c r="H269" t="s">
        <v>2826</v>
      </c>
      <c r="I269" t="s">
        <v>2827</v>
      </c>
      <c r="J269" t="str" cm="1">
        <f t="array" ref="J269">IF(SUM(COUNTIF(Text_Preprocessing__224[[#This Row],[full_text]],{"*makan siang gratis*";"*MBG*";"*makan gratis*";"*makan bergizi gratis*";"*makangratis*";"*makanan gratis*"})),"Relevan","Tidak Relevan")</f>
        <v>Relevan</v>
      </c>
    </row>
    <row r="270" spans="1:11" x14ac:dyDescent="0.35">
      <c r="A270">
        <f t="shared" si="4"/>
        <v>269</v>
      </c>
      <c r="B270">
        <v>278</v>
      </c>
      <c r="C270" t="s">
        <v>2828</v>
      </c>
      <c r="D270" t="s">
        <v>442</v>
      </c>
      <c r="E270" t="s">
        <v>2829</v>
      </c>
      <c r="F270" t="s">
        <v>2599</v>
      </c>
      <c r="G270" t="s">
        <v>2830</v>
      </c>
      <c r="H270" t="s">
        <v>2830</v>
      </c>
      <c r="I270" t="s">
        <v>2831</v>
      </c>
      <c r="J270" t="str" cm="1">
        <f t="array" ref="J270">IF(SUM(COUNTIF(Text_Preprocessing__224[[#This Row],[full_text]],{"*makan siang gratis*";"*MBG*";"*makan gratis*";"*makan bergizi gratis*";"*makangratis*";"*makanan gratis*"})),"Relevan","Tidak Relevan")</f>
        <v>Tidak Relevan</v>
      </c>
      <c r="K270" t="s">
        <v>3622</v>
      </c>
    </row>
    <row r="271" spans="1:11" x14ac:dyDescent="0.35">
      <c r="A271">
        <f t="shared" si="4"/>
        <v>270</v>
      </c>
      <c r="B271">
        <v>279</v>
      </c>
      <c r="C271" t="s">
        <v>2832</v>
      </c>
      <c r="D271" t="s">
        <v>475</v>
      </c>
      <c r="E271" t="s">
        <v>2833</v>
      </c>
      <c r="F271" t="s">
        <v>2229</v>
      </c>
      <c r="G271" t="s">
        <v>2834</v>
      </c>
      <c r="H271" t="s">
        <v>2834</v>
      </c>
      <c r="I271" t="s">
        <v>2835</v>
      </c>
      <c r="J271" t="str" cm="1">
        <f t="array" ref="J271">IF(SUM(COUNTIF(Text_Preprocessing__224[[#This Row],[full_text]],{"*makan siang gratis*";"*MBG*";"*makan gratis*";"*makan bergizi gratis*";"*makangratis*";"*makanan gratis*"})),"Relevan","Tidak Relevan")</f>
        <v>Relevan</v>
      </c>
    </row>
    <row r="272" spans="1:11" x14ac:dyDescent="0.35">
      <c r="A272">
        <f t="shared" si="4"/>
        <v>271</v>
      </c>
      <c r="B272">
        <v>280</v>
      </c>
      <c r="C272" t="s">
        <v>2836</v>
      </c>
      <c r="D272" t="s">
        <v>477</v>
      </c>
      <c r="E272" t="s">
        <v>2837</v>
      </c>
      <c r="F272" t="s">
        <v>2164</v>
      </c>
      <c r="G272" t="s">
        <v>2838</v>
      </c>
      <c r="H272" t="s">
        <v>2838</v>
      </c>
      <c r="I272" t="s">
        <v>2839</v>
      </c>
      <c r="J272" t="str" cm="1">
        <f t="array" ref="J272">IF(SUM(COUNTIF(Text_Preprocessing__224[[#This Row],[full_text]],{"*makan siang gratis*";"*MBG*";"*makan gratis*";"*makan bergizi gratis*";"*makangratis*";"*makanan gratis*"})),"Relevan","Tidak Relevan")</f>
        <v>Relevan</v>
      </c>
    </row>
    <row r="273" spans="1:11" x14ac:dyDescent="0.35">
      <c r="A273">
        <f t="shared" si="4"/>
        <v>272</v>
      </c>
      <c r="B273">
        <v>281</v>
      </c>
      <c r="C273" t="s">
        <v>2840</v>
      </c>
      <c r="D273" t="s">
        <v>445</v>
      </c>
      <c r="E273" t="s">
        <v>2841</v>
      </c>
      <c r="F273" t="s">
        <v>2052</v>
      </c>
      <c r="G273" t="s">
        <v>2842</v>
      </c>
      <c r="H273" t="s">
        <v>2842</v>
      </c>
      <c r="I273" t="s">
        <v>2843</v>
      </c>
      <c r="J273" t="str" cm="1">
        <f t="array" ref="J273">IF(SUM(COUNTIF(Text_Preprocessing__224[[#This Row],[full_text]],{"*makan siang gratis*";"*MBG*";"*makan gratis*";"*makan bergizi gratis*";"*makangratis*";"*makanan gratis*"})),"Relevan","Tidak Relevan")</f>
        <v>Relevan</v>
      </c>
    </row>
    <row r="274" spans="1:11" x14ac:dyDescent="0.35">
      <c r="A274">
        <f t="shared" si="4"/>
        <v>273</v>
      </c>
      <c r="B274">
        <v>282</v>
      </c>
      <c r="C274" t="s">
        <v>2844</v>
      </c>
      <c r="D274" t="s">
        <v>480</v>
      </c>
      <c r="E274" t="s">
        <v>2845</v>
      </c>
      <c r="F274" t="s">
        <v>1596</v>
      </c>
      <c r="G274" t="s">
        <v>2845</v>
      </c>
      <c r="H274" t="s">
        <v>2845</v>
      </c>
      <c r="I274" t="s">
        <v>2846</v>
      </c>
      <c r="J274" t="str" cm="1">
        <f t="array" ref="J274">IF(SUM(COUNTIF(Text_Preprocessing__224[[#This Row],[full_text]],{"*makan siang gratis*";"*MBG*";"*makan gratis*";"*makan bergizi gratis*";"*makangratis*";"*makanan gratis*"})),"Relevan","Tidak Relevan")</f>
        <v>Relevan</v>
      </c>
    </row>
    <row r="275" spans="1:11" x14ac:dyDescent="0.35">
      <c r="A275">
        <f t="shared" si="4"/>
        <v>274</v>
      </c>
      <c r="B275">
        <v>283</v>
      </c>
      <c r="C275" t="s">
        <v>2847</v>
      </c>
      <c r="D275" t="s">
        <v>482</v>
      </c>
      <c r="E275" t="s">
        <v>2848</v>
      </c>
      <c r="F275" t="s">
        <v>2599</v>
      </c>
      <c r="G275" t="s">
        <v>2849</v>
      </c>
      <c r="H275" t="s">
        <v>2850</v>
      </c>
      <c r="I275" t="s">
        <v>2851</v>
      </c>
      <c r="J275" t="str" cm="1">
        <f t="array" ref="J275">IF(SUM(COUNTIF(Text_Preprocessing__224[[#This Row],[full_text]],{"*makan siang gratis*";"*MBG*";"*makan gratis*";"*makan bergizi gratis*";"*makangratis*";"*makanan gratis*"})),"Relevan","Tidak Relevan")</f>
        <v>Relevan</v>
      </c>
    </row>
    <row r="276" spans="1:11" x14ac:dyDescent="0.35">
      <c r="A276">
        <f t="shared" si="4"/>
        <v>275</v>
      </c>
      <c r="B276">
        <v>284</v>
      </c>
      <c r="C276" t="s">
        <v>2852</v>
      </c>
      <c r="D276" t="s">
        <v>484</v>
      </c>
      <c r="E276" t="s">
        <v>2853</v>
      </c>
      <c r="F276" t="s">
        <v>2348</v>
      </c>
      <c r="G276" t="s">
        <v>2854</v>
      </c>
      <c r="H276" t="s">
        <v>2854</v>
      </c>
      <c r="I276" t="s">
        <v>2855</v>
      </c>
      <c r="J276" t="str" cm="1">
        <f t="array" ref="J276">IF(SUM(COUNTIF(Text_Preprocessing__224[[#This Row],[full_text]],{"*makan siang gratis*";"*MBG*";"*makan gratis*";"*makan bergizi gratis*";"*makangratis*";"*makanan gratis*"})),"Relevan","Tidak Relevan")</f>
        <v>Relevan</v>
      </c>
    </row>
    <row r="277" spans="1:11" x14ac:dyDescent="0.35">
      <c r="A277">
        <f t="shared" si="4"/>
        <v>276</v>
      </c>
      <c r="B277">
        <v>285</v>
      </c>
      <c r="C277" t="s">
        <v>2856</v>
      </c>
      <c r="D277" t="s">
        <v>486</v>
      </c>
      <c r="E277" t="s">
        <v>2857</v>
      </c>
      <c r="F277" t="s">
        <v>1888</v>
      </c>
      <c r="G277" t="s">
        <v>2858</v>
      </c>
      <c r="H277" t="s">
        <v>2858</v>
      </c>
      <c r="I277" t="s">
        <v>2859</v>
      </c>
      <c r="J277" t="str" cm="1">
        <f t="array" ref="J277">IF(SUM(COUNTIF(Text_Preprocessing__224[[#This Row],[full_text]],{"*makan siang gratis*";"*MBG*";"*makan gratis*";"*makan bergizi gratis*";"*makangratis*";"*makanan gratis*"})),"Relevan","Tidak Relevan")</f>
        <v>Relevan</v>
      </c>
    </row>
    <row r="278" spans="1:11" x14ac:dyDescent="0.35">
      <c r="A278">
        <f t="shared" si="4"/>
        <v>277</v>
      </c>
      <c r="B278">
        <v>286</v>
      </c>
      <c r="C278" t="s">
        <v>2860</v>
      </c>
      <c r="D278" t="s">
        <v>488</v>
      </c>
      <c r="E278" t="s">
        <v>2861</v>
      </c>
      <c r="F278" t="s">
        <v>2862</v>
      </c>
      <c r="G278" t="s">
        <v>2863</v>
      </c>
      <c r="H278" t="s">
        <v>2863</v>
      </c>
      <c r="I278" t="s">
        <v>2864</v>
      </c>
      <c r="J278" t="str" cm="1">
        <f t="array" ref="J278">IF(SUM(COUNTIF(Text_Preprocessing__224[[#This Row],[full_text]],{"*makan siang gratis*";"*MBG*";"*makan gratis*";"*makan bergizi gratis*";"*makangratis*";"*makanan gratis*"})),"Relevan","Tidak Relevan")</f>
        <v>Relevan</v>
      </c>
    </row>
    <row r="279" spans="1:11" x14ac:dyDescent="0.35">
      <c r="A279">
        <f t="shared" si="4"/>
        <v>278</v>
      </c>
      <c r="B279">
        <v>287</v>
      </c>
      <c r="C279" t="s">
        <v>2865</v>
      </c>
      <c r="D279" t="s">
        <v>490</v>
      </c>
      <c r="E279" t="s">
        <v>2866</v>
      </c>
      <c r="F279" t="s">
        <v>2867</v>
      </c>
      <c r="G279" t="s">
        <v>2868</v>
      </c>
      <c r="H279" t="s">
        <v>3689</v>
      </c>
      <c r="I279" t="s">
        <v>3690</v>
      </c>
      <c r="J279" t="str" cm="1">
        <f t="array" ref="J279">IF(SUM(COUNTIF(Text_Preprocessing__224[[#This Row],[full_text]],{"*makan siang gratis*";"*MBG*";"*makan gratis*";"*makan bergizi gratis*";"*makangratis*";"*makanan gratis*"})),"Relevan","Tidak Relevan")</f>
        <v>Relevan</v>
      </c>
    </row>
    <row r="280" spans="1:11" x14ac:dyDescent="0.35">
      <c r="A280">
        <f t="shared" si="4"/>
        <v>279</v>
      </c>
      <c r="B280">
        <v>288</v>
      </c>
      <c r="C280" t="s">
        <v>2871</v>
      </c>
      <c r="D280" t="s">
        <v>492</v>
      </c>
      <c r="E280" t="s">
        <v>2872</v>
      </c>
      <c r="F280" t="s">
        <v>1669</v>
      </c>
      <c r="G280" t="s">
        <v>2873</v>
      </c>
      <c r="H280" t="s">
        <v>2874</v>
      </c>
      <c r="I280" t="s">
        <v>2875</v>
      </c>
      <c r="J280" t="str" cm="1">
        <f t="array" ref="J280">IF(SUM(COUNTIF(Text_Preprocessing__224[[#This Row],[full_text]],{"*makan siang gratis*";"*MBG*";"*makan gratis*";"*makan bergizi gratis*";"*makangratis*";"*makanan gratis*"})),"Relevan","Tidak Relevan")</f>
        <v>Relevan</v>
      </c>
    </row>
    <row r="281" spans="1:11" x14ac:dyDescent="0.35">
      <c r="A281">
        <f t="shared" si="4"/>
        <v>280</v>
      </c>
      <c r="B281">
        <v>289</v>
      </c>
      <c r="C281" t="s">
        <v>2876</v>
      </c>
      <c r="D281" t="s">
        <v>494</v>
      </c>
      <c r="E281" t="s">
        <v>2877</v>
      </c>
      <c r="F281" t="s">
        <v>2878</v>
      </c>
      <c r="G281" t="s">
        <v>2879</v>
      </c>
      <c r="H281" t="s">
        <v>2880</v>
      </c>
      <c r="I281" t="s">
        <v>2881</v>
      </c>
      <c r="J281" t="str" cm="1">
        <f t="array" ref="J281">IF(SUM(COUNTIF(Text_Preprocessing__224[[#This Row],[full_text]],{"*makan siang gratis*";"*MBG*";"*makan gratis*";"*makan bergizi gratis*";"*makangratis*";"*makanan gratis*"})),"Relevan","Tidak Relevan")</f>
        <v>Relevan</v>
      </c>
    </row>
    <row r="282" spans="1:11" x14ac:dyDescent="0.35">
      <c r="A282">
        <f t="shared" si="4"/>
        <v>281</v>
      </c>
      <c r="B282">
        <v>290</v>
      </c>
      <c r="C282" t="s">
        <v>2882</v>
      </c>
      <c r="D282" t="s">
        <v>496</v>
      </c>
      <c r="E282" t="s">
        <v>2883</v>
      </c>
      <c r="F282" t="s">
        <v>1799</v>
      </c>
      <c r="G282" t="s">
        <v>2884</v>
      </c>
      <c r="H282" t="s">
        <v>2884</v>
      </c>
      <c r="I282" t="s">
        <v>2885</v>
      </c>
      <c r="J282" t="str" cm="1">
        <f t="array" ref="J282">IF(SUM(COUNTIF(Text_Preprocessing__224[[#This Row],[full_text]],{"*makan siang gratis*";"*MBG*";"*makan gratis*";"*makan bergizi gratis*";"*makangratis*";"*makanan gratis*"})),"Relevan","Tidak Relevan")</f>
        <v>Relevan</v>
      </c>
    </row>
    <row r="283" spans="1:11" x14ac:dyDescent="0.35">
      <c r="A283">
        <f t="shared" si="4"/>
        <v>282</v>
      </c>
      <c r="B283">
        <v>291</v>
      </c>
      <c r="C283" t="s">
        <v>2886</v>
      </c>
      <c r="D283" t="s">
        <v>498</v>
      </c>
      <c r="E283" t="s">
        <v>2887</v>
      </c>
      <c r="F283" t="s">
        <v>1596</v>
      </c>
      <c r="G283" t="s">
        <v>2888</v>
      </c>
      <c r="H283" t="s">
        <v>2888</v>
      </c>
      <c r="I283" t="s">
        <v>2888</v>
      </c>
      <c r="J283" t="str" cm="1">
        <f t="array" ref="J283">IF(SUM(COUNTIF(Text_Preprocessing__224[[#This Row],[full_text]],{"*makan siang gratis*";"*MBG*";"*makan gratis*";"*makan bergizi gratis*";"*makangratis*";"*makanan gratis*"})),"Relevan","Tidak Relevan")</f>
        <v>Relevan</v>
      </c>
    </row>
    <row r="284" spans="1:11" x14ac:dyDescent="0.35">
      <c r="A284">
        <f t="shared" si="4"/>
        <v>283</v>
      </c>
      <c r="B284">
        <v>292</v>
      </c>
      <c r="C284" t="s">
        <v>2889</v>
      </c>
      <c r="D284" t="s">
        <v>442</v>
      </c>
      <c r="E284" t="s">
        <v>2890</v>
      </c>
      <c r="F284" t="s">
        <v>2609</v>
      </c>
      <c r="G284" t="s">
        <v>2891</v>
      </c>
      <c r="H284" t="s">
        <v>2891</v>
      </c>
      <c r="I284" t="s">
        <v>2892</v>
      </c>
      <c r="J284" t="str" cm="1">
        <f t="array" ref="J284">IF(SUM(COUNTIF(Text_Preprocessing__224[[#This Row],[full_text]],{"*makan siang gratis*";"*MBG*";"*makan gratis*";"*makan bergizi gratis*";"*makangratis*";"*makanan gratis*"})),"Relevan","Tidak Relevan")</f>
        <v>Relevan</v>
      </c>
    </row>
    <row r="285" spans="1:11" x14ac:dyDescent="0.35">
      <c r="A285">
        <f t="shared" si="4"/>
        <v>284</v>
      </c>
      <c r="B285">
        <v>293</v>
      </c>
      <c r="C285" t="s">
        <v>2893</v>
      </c>
      <c r="D285" t="s">
        <v>501</v>
      </c>
      <c r="E285" t="s">
        <v>2894</v>
      </c>
      <c r="F285" t="s">
        <v>2878</v>
      </c>
      <c r="G285" t="s">
        <v>2895</v>
      </c>
      <c r="H285" t="s">
        <v>2895</v>
      </c>
      <c r="I285" t="s">
        <v>2896</v>
      </c>
      <c r="J285" t="str" cm="1">
        <f t="array" ref="J285">IF(SUM(COUNTIF(Text_Preprocessing__224[[#This Row],[full_text]],{"*makan siang gratis*";"*MBG*";"*makan gratis*";"*makan bergizi gratis*";"*makangratis*";"*makanan gratis*"})),"Relevan","Tidak Relevan")</f>
        <v>Tidak Relevan</v>
      </c>
      <c r="K285" t="s">
        <v>3622</v>
      </c>
    </row>
    <row r="286" spans="1:11" x14ac:dyDescent="0.35">
      <c r="A286">
        <f t="shared" si="4"/>
        <v>285</v>
      </c>
      <c r="B286">
        <v>294</v>
      </c>
      <c r="C286" t="s">
        <v>2897</v>
      </c>
      <c r="D286" t="s">
        <v>503</v>
      </c>
      <c r="E286" t="s">
        <v>2898</v>
      </c>
      <c r="F286" t="s">
        <v>2899</v>
      </c>
      <c r="G286" t="s">
        <v>2900</v>
      </c>
      <c r="H286" t="s">
        <v>2900</v>
      </c>
      <c r="I286" t="s">
        <v>2901</v>
      </c>
      <c r="J286" t="str" cm="1">
        <f t="array" ref="J286">IF(SUM(COUNTIF(Text_Preprocessing__224[[#This Row],[full_text]],{"*makan siang gratis*";"*MBG*";"*makan gratis*";"*makan bergizi gratis*";"*makangratis*";"*makanan gratis*"})),"Relevan","Tidak Relevan")</f>
        <v>Relevan</v>
      </c>
    </row>
    <row r="287" spans="1:11" x14ac:dyDescent="0.35">
      <c r="A287">
        <f t="shared" si="4"/>
        <v>286</v>
      </c>
      <c r="B287">
        <v>295</v>
      </c>
      <c r="C287" t="s">
        <v>2902</v>
      </c>
      <c r="D287" t="s">
        <v>76</v>
      </c>
      <c r="E287" t="s">
        <v>2903</v>
      </c>
      <c r="F287" t="s">
        <v>2904</v>
      </c>
      <c r="G287" t="s">
        <v>2905</v>
      </c>
      <c r="H287" t="s">
        <v>2905</v>
      </c>
      <c r="I287" t="s">
        <v>2906</v>
      </c>
      <c r="J287" t="str" cm="1">
        <f t="array" ref="J287">IF(SUM(COUNTIF(Text_Preprocessing__224[[#This Row],[full_text]],{"*makan siang gratis*";"*MBG*";"*makan gratis*";"*makan bergizi gratis*";"*makangratis*";"*makanan gratis*"})),"Relevan","Tidak Relevan")</f>
        <v>Relevan</v>
      </c>
    </row>
    <row r="288" spans="1:11" x14ac:dyDescent="0.35">
      <c r="A288">
        <f t="shared" si="4"/>
        <v>287</v>
      </c>
      <c r="B288">
        <v>296</v>
      </c>
      <c r="C288" t="s">
        <v>2907</v>
      </c>
      <c r="D288" t="s">
        <v>506</v>
      </c>
      <c r="E288" t="s">
        <v>2908</v>
      </c>
      <c r="F288" t="s">
        <v>1730</v>
      </c>
      <c r="G288" t="s">
        <v>2909</v>
      </c>
      <c r="H288" t="s">
        <v>2909</v>
      </c>
      <c r="I288" t="s">
        <v>2910</v>
      </c>
      <c r="J288" t="str" cm="1">
        <f t="array" ref="J288">IF(SUM(COUNTIF(Text_Preprocessing__224[[#This Row],[full_text]],{"*makan siang gratis*";"*MBG*";"*makan gratis*";"*makan bergizi gratis*";"*makangratis*";"*makanan gratis*"})),"Relevan","Tidak Relevan")</f>
        <v>Relevan</v>
      </c>
    </row>
    <row r="289" spans="1:11" x14ac:dyDescent="0.35">
      <c r="A289">
        <f t="shared" si="4"/>
        <v>288</v>
      </c>
      <c r="B289">
        <v>297</v>
      </c>
      <c r="C289" t="s">
        <v>2911</v>
      </c>
      <c r="D289" t="s">
        <v>508</v>
      </c>
      <c r="E289" t="s">
        <v>2912</v>
      </c>
      <c r="F289" t="s">
        <v>1669</v>
      </c>
      <c r="G289" t="s">
        <v>2913</v>
      </c>
      <c r="H289" t="s">
        <v>2913</v>
      </c>
      <c r="I289" t="s">
        <v>2914</v>
      </c>
      <c r="J289" t="str" cm="1">
        <f t="array" ref="J289">IF(SUM(COUNTIF(Text_Preprocessing__224[[#This Row],[full_text]],{"*makan siang gratis*";"*MBG*";"*makan gratis*";"*makan bergizi gratis*";"*makangratis*";"*makanan gratis*"})),"Relevan","Tidak Relevan")</f>
        <v>Relevan</v>
      </c>
    </row>
    <row r="290" spans="1:11" x14ac:dyDescent="0.35">
      <c r="A290">
        <f t="shared" si="4"/>
        <v>289</v>
      </c>
      <c r="B290">
        <v>298</v>
      </c>
      <c r="C290" t="s">
        <v>2915</v>
      </c>
      <c r="D290" t="s">
        <v>510</v>
      </c>
      <c r="E290" t="s">
        <v>2916</v>
      </c>
      <c r="F290" t="s">
        <v>1906</v>
      </c>
      <c r="G290" t="s">
        <v>2917</v>
      </c>
      <c r="H290" t="s">
        <v>2917</v>
      </c>
      <c r="I290" t="s">
        <v>2918</v>
      </c>
      <c r="J290" t="str" cm="1">
        <f t="array" ref="J290">IF(SUM(COUNTIF(Text_Preprocessing__224[[#This Row],[full_text]],{"*makan siang gratis*";"*MBG*";"*makan gratis*";"*makan bergizi gratis*";"*makangratis*";"*makanan gratis*"})),"Relevan","Tidak Relevan")</f>
        <v>Relevan</v>
      </c>
    </row>
    <row r="291" spans="1:11" x14ac:dyDescent="0.35">
      <c r="A291">
        <f t="shared" si="4"/>
        <v>290</v>
      </c>
      <c r="B291">
        <v>299</v>
      </c>
      <c r="C291" t="s">
        <v>2919</v>
      </c>
      <c r="D291" t="s">
        <v>512</v>
      </c>
      <c r="E291" t="s">
        <v>2920</v>
      </c>
      <c r="F291" t="s">
        <v>2921</v>
      </c>
      <c r="G291" t="s">
        <v>2922</v>
      </c>
      <c r="H291" t="s">
        <v>2922</v>
      </c>
      <c r="I291" t="s">
        <v>2923</v>
      </c>
      <c r="J291" t="str" cm="1">
        <f t="array" ref="J291">IF(SUM(COUNTIF(Text_Preprocessing__224[[#This Row],[full_text]],{"*makan siang gratis*";"*MBG*";"*makan gratis*";"*makan bergizi gratis*";"*makangratis*";"*makanan gratis*"})),"Relevan","Tidak Relevan")</f>
        <v>Relevan</v>
      </c>
    </row>
    <row r="292" spans="1:11" x14ac:dyDescent="0.35">
      <c r="A292">
        <f t="shared" si="4"/>
        <v>291</v>
      </c>
      <c r="B292">
        <v>300</v>
      </c>
      <c r="C292" t="s">
        <v>2924</v>
      </c>
      <c r="D292" t="s">
        <v>447</v>
      </c>
      <c r="E292" t="s">
        <v>2925</v>
      </c>
      <c r="F292" t="s">
        <v>2599</v>
      </c>
      <c r="G292" t="s">
        <v>2926</v>
      </c>
      <c r="H292" t="s">
        <v>2926</v>
      </c>
      <c r="I292" t="s">
        <v>2927</v>
      </c>
      <c r="J292" t="str" cm="1">
        <f t="array" ref="J292">IF(SUM(COUNTIF(Text_Preprocessing__224[[#This Row],[full_text]],{"*makan siang gratis*";"*MBG*";"*makan gratis*";"*makan bergizi gratis*";"*makangratis*";"*makanan gratis*"})),"Relevan","Tidak Relevan")</f>
        <v>Relevan</v>
      </c>
    </row>
    <row r="293" spans="1:11" x14ac:dyDescent="0.35">
      <c r="A293">
        <f t="shared" si="4"/>
        <v>292</v>
      </c>
      <c r="B293">
        <v>301</v>
      </c>
      <c r="C293" t="s">
        <v>2928</v>
      </c>
      <c r="D293" t="s">
        <v>515</v>
      </c>
      <c r="E293" t="s">
        <v>2929</v>
      </c>
      <c r="F293" t="s">
        <v>1735</v>
      </c>
      <c r="G293" t="s">
        <v>2930</v>
      </c>
      <c r="H293" t="s">
        <v>2930</v>
      </c>
      <c r="I293" t="s">
        <v>2931</v>
      </c>
      <c r="J293" t="str" cm="1">
        <f t="array" ref="J293">IF(SUM(COUNTIF(Text_Preprocessing__224[[#This Row],[full_text]],{"*makan siang gratis*";"*MBG*";"*makan gratis*";"*makan bergizi gratis*";"*makangratis*";"*makanan gratis*"})),"Relevan","Tidak Relevan")</f>
        <v>Relevan</v>
      </c>
    </row>
    <row r="294" spans="1:11" x14ac:dyDescent="0.35">
      <c r="A294">
        <f t="shared" si="4"/>
        <v>293</v>
      </c>
      <c r="B294">
        <v>302</v>
      </c>
      <c r="C294" t="s">
        <v>2932</v>
      </c>
      <c r="D294" t="s">
        <v>517</v>
      </c>
      <c r="E294" t="s">
        <v>2933</v>
      </c>
      <c r="F294" t="s">
        <v>2934</v>
      </c>
      <c r="G294" t="s">
        <v>2935</v>
      </c>
      <c r="H294" t="s">
        <v>2935</v>
      </c>
      <c r="I294" t="s">
        <v>2936</v>
      </c>
      <c r="J294" t="str" cm="1">
        <f t="array" ref="J294">IF(SUM(COUNTIF(Text_Preprocessing__224[[#This Row],[full_text]],{"*makan siang gratis*";"*MBG*";"*makan gratis*";"*makan bergizi gratis*";"*makangratis*";"*makanan gratis*"})),"Relevan","Tidak Relevan")</f>
        <v>Relevan</v>
      </c>
    </row>
    <row r="295" spans="1:11" x14ac:dyDescent="0.35">
      <c r="A295">
        <f t="shared" si="4"/>
        <v>294</v>
      </c>
      <c r="B295">
        <v>303</v>
      </c>
      <c r="C295" t="s">
        <v>2937</v>
      </c>
      <c r="D295" t="s">
        <v>519</v>
      </c>
      <c r="E295" t="s">
        <v>2938</v>
      </c>
      <c r="F295" t="s">
        <v>1692</v>
      </c>
      <c r="G295" t="s">
        <v>2939</v>
      </c>
      <c r="H295" t="s">
        <v>2939</v>
      </c>
      <c r="I295" t="s">
        <v>2940</v>
      </c>
      <c r="J295" t="str" cm="1">
        <f t="array" ref="J295">IF(SUM(COUNTIF(Text_Preprocessing__224[[#This Row],[full_text]],{"*makan siang gratis*";"*MBG*";"*makan gratis*";"*makan bergizi gratis*";"*makangratis*";"*makanan gratis*"})),"Relevan","Tidak Relevan")</f>
        <v>Relevan</v>
      </c>
    </row>
    <row r="296" spans="1:11" x14ac:dyDescent="0.35">
      <c r="A296">
        <f t="shared" si="4"/>
        <v>295</v>
      </c>
      <c r="B296">
        <v>304</v>
      </c>
      <c r="C296" t="s">
        <v>2941</v>
      </c>
      <c r="D296" t="s">
        <v>519</v>
      </c>
      <c r="E296" t="s">
        <v>2942</v>
      </c>
      <c r="F296" t="s">
        <v>1735</v>
      </c>
      <c r="G296" t="s">
        <v>2943</v>
      </c>
      <c r="H296" t="s">
        <v>2943</v>
      </c>
      <c r="I296" t="s">
        <v>2944</v>
      </c>
      <c r="J296" t="str" cm="1">
        <f t="array" ref="J296">IF(SUM(COUNTIF(Text_Preprocessing__224[[#This Row],[full_text]],{"*makan siang gratis*";"*MBG*";"*makan gratis*";"*makan bergizi gratis*";"*makangratis*";"*makanan gratis*"})),"Relevan","Tidak Relevan")</f>
        <v>Relevan</v>
      </c>
    </row>
    <row r="297" spans="1:11" x14ac:dyDescent="0.35">
      <c r="A297">
        <f t="shared" si="4"/>
        <v>296</v>
      </c>
      <c r="B297">
        <v>305</v>
      </c>
      <c r="C297" t="s">
        <v>2945</v>
      </c>
      <c r="D297" t="s">
        <v>522</v>
      </c>
      <c r="E297" t="s">
        <v>2946</v>
      </c>
      <c r="F297" t="s">
        <v>2008</v>
      </c>
      <c r="G297" t="s">
        <v>2947</v>
      </c>
      <c r="H297" t="s">
        <v>2948</v>
      </c>
      <c r="I297" t="s">
        <v>2949</v>
      </c>
      <c r="J297" t="str" cm="1">
        <f t="array" ref="J297">IF(SUM(COUNTIF(Text_Preprocessing__224[[#This Row],[full_text]],{"*makan siang gratis*";"*MBG*";"*makan gratis*";"*makan bergizi gratis*";"*makangratis*";"*makanan gratis*"})),"Relevan","Tidak Relevan")</f>
        <v>Relevan</v>
      </c>
    </row>
    <row r="298" spans="1:11" x14ac:dyDescent="0.35">
      <c r="A298">
        <f t="shared" si="4"/>
        <v>297</v>
      </c>
      <c r="B298">
        <v>306</v>
      </c>
      <c r="C298" t="s">
        <v>2950</v>
      </c>
      <c r="D298" t="s">
        <v>447</v>
      </c>
      <c r="E298" t="s">
        <v>2951</v>
      </c>
      <c r="F298" t="s">
        <v>1775</v>
      </c>
      <c r="G298" t="s">
        <v>2952</v>
      </c>
      <c r="H298" t="s">
        <v>2952</v>
      </c>
      <c r="I298" t="s">
        <v>2953</v>
      </c>
      <c r="J298" t="str" cm="1">
        <f t="array" ref="J298">IF(SUM(COUNTIF(Text_Preprocessing__224[[#This Row],[full_text]],{"*makan siang gratis*";"*MBG*";"*makan gratis*";"*makan bergizi gratis*";"*makangratis*";"*makanan gratis*"})),"Relevan","Tidak Relevan")</f>
        <v>Relevan</v>
      </c>
    </row>
    <row r="299" spans="1:11" x14ac:dyDescent="0.35">
      <c r="A299">
        <f t="shared" si="4"/>
        <v>298</v>
      </c>
      <c r="B299">
        <v>307</v>
      </c>
      <c r="C299" t="s">
        <v>2954</v>
      </c>
      <c r="D299" t="s">
        <v>525</v>
      </c>
      <c r="E299" t="s">
        <v>2955</v>
      </c>
      <c r="F299" t="s">
        <v>1764</v>
      </c>
      <c r="G299" t="s">
        <v>2956</v>
      </c>
      <c r="H299" t="s">
        <v>2956</v>
      </c>
      <c r="I299" t="s">
        <v>2957</v>
      </c>
      <c r="J299" t="str" cm="1">
        <f t="array" ref="J299">IF(SUM(COUNTIF(Text_Preprocessing__224[[#This Row],[full_text]],{"*makan siang gratis*";"*MBG*";"*makan gratis*";"*makan bergizi gratis*";"*makangratis*";"*makanan gratis*"})),"Relevan","Tidak Relevan")</f>
        <v>Relevan</v>
      </c>
    </row>
    <row r="300" spans="1:11" x14ac:dyDescent="0.35">
      <c r="A300">
        <f t="shared" si="4"/>
        <v>299</v>
      </c>
      <c r="B300">
        <v>308</v>
      </c>
      <c r="C300" t="s">
        <v>2958</v>
      </c>
      <c r="D300" t="s">
        <v>447</v>
      </c>
      <c r="E300" t="s">
        <v>2959</v>
      </c>
      <c r="F300" t="s">
        <v>2442</v>
      </c>
      <c r="G300" t="s">
        <v>2960</v>
      </c>
      <c r="H300" t="s">
        <v>2960</v>
      </c>
      <c r="I300" t="s">
        <v>2961</v>
      </c>
      <c r="J300" t="str" cm="1">
        <f t="array" ref="J300">IF(SUM(COUNTIF(Text_Preprocessing__224[[#This Row],[full_text]],{"*makan siang gratis*";"*MBG*";"*makan gratis*";"*makan bergizi gratis*";"*makangratis*";"*makanan gratis*"})),"Relevan","Tidak Relevan")</f>
        <v>Relevan</v>
      </c>
    </row>
    <row r="301" spans="1:11" x14ac:dyDescent="0.35">
      <c r="A301">
        <f t="shared" si="4"/>
        <v>300</v>
      </c>
      <c r="B301">
        <v>309</v>
      </c>
      <c r="C301" t="s">
        <v>2962</v>
      </c>
      <c r="D301" t="s">
        <v>528</v>
      </c>
      <c r="E301" t="s">
        <v>2963</v>
      </c>
      <c r="F301" t="s">
        <v>1596</v>
      </c>
      <c r="G301" t="s">
        <v>2964</v>
      </c>
      <c r="H301" t="s">
        <v>2965</v>
      </c>
      <c r="I301" t="s">
        <v>2966</v>
      </c>
      <c r="J301" t="str" cm="1">
        <f t="array" ref="J301">IF(SUM(COUNTIF(Text_Preprocessing__224[[#This Row],[full_text]],{"*makan siang gratis*";"*MBG*";"*makan gratis*";"*makan bergizi gratis*";"*makangratis*";"*makanan gratis*"})),"Relevan","Tidak Relevan")</f>
        <v>Relevan</v>
      </c>
    </row>
    <row r="302" spans="1:11" x14ac:dyDescent="0.35">
      <c r="A302">
        <f t="shared" si="4"/>
        <v>301</v>
      </c>
      <c r="B302">
        <v>310</v>
      </c>
      <c r="C302" t="s">
        <v>2967</v>
      </c>
      <c r="D302" t="s">
        <v>442</v>
      </c>
      <c r="E302" t="s">
        <v>2968</v>
      </c>
      <c r="F302" t="s">
        <v>2609</v>
      </c>
      <c r="G302" t="s">
        <v>2969</v>
      </c>
      <c r="H302" t="s">
        <v>2969</v>
      </c>
      <c r="I302" t="s">
        <v>2970</v>
      </c>
      <c r="J302" t="str" cm="1">
        <f t="array" ref="J302">IF(SUM(COUNTIF(Text_Preprocessing__224[[#This Row],[full_text]],{"*makan siang gratis*";"*MBG*";"*makan gratis*";"*makan bergizi gratis*";"*makangratis*";"*makanan gratis*"})),"Relevan","Tidak Relevan")</f>
        <v>Relevan</v>
      </c>
    </row>
    <row r="303" spans="1:11" x14ac:dyDescent="0.35">
      <c r="A303">
        <f t="shared" si="4"/>
        <v>302</v>
      </c>
      <c r="B303">
        <v>311</v>
      </c>
      <c r="C303" t="s">
        <v>2971</v>
      </c>
      <c r="D303" t="s">
        <v>531</v>
      </c>
      <c r="E303" t="s">
        <v>2972</v>
      </c>
      <c r="F303" t="s">
        <v>2782</v>
      </c>
      <c r="G303" t="s">
        <v>2973</v>
      </c>
      <c r="H303" t="s">
        <v>2973</v>
      </c>
      <c r="I303" t="s">
        <v>2974</v>
      </c>
      <c r="J303" t="str" cm="1">
        <f t="array" ref="J303">IF(SUM(COUNTIF(Text_Preprocessing__224[[#This Row],[full_text]],{"*makan siang gratis*";"*MBG*";"*makan gratis*";"*makan bergizi gratis*";"*makangratis*";"*makanan gratis*"})),"Relevan","Tidak Relevan")</f>
        <v>Relevan</v>
      </c>
    </row>
    <row r="304" spans="1:11" x14ac:dyDescent="0.35">
      <c r="A304">
        <f t="shared" si="4"/>
        <v>303</v>
      </c>
      <c r="B304">
        <v>312</v>
      </c>
      <c r="C304" t="s">
        <v>2975</v>
      </c>
      <c r="D304" t="s">
        <v>533</v>
      </c>
      <c r="E304" t="s">
        <v>2976</v>
      </c>
      <c r="F304" t="s">
        <v>2977</v>
      </c>
      <c r="G304" t="s">
        <v>2978</v>
      </c>
      <c r="H304" t="s">
        <v>2979</v>
      </c>
      <c r="I304" t="s">
        <v>2980</v>
      </c>
      <c r="J304" t="str" cm="1">
        <f t="array" ref="J304">IF(SUM(COUNTIF(Text_Preprocessing__224[[#This Row],[full_text]],{"*makan siang gratis*";"*MBG*";"*makan gratis*";"*makan bergizi gratis*";"*makangratis*";"*makanan gratis*"})),"Relevan","Tidak Relevan")</f>
        <v>Tidak Relevan</v>
      </c>
      <c r="K304" t="s">
        <v>3622</v>
      </c>
    </row>
    <row r="305" spans="1:11" x14ac:dyDescent="0.35">
      <c r="A305">
        <f t="shared" si="4"/>
        <v>304</v>
      </c>
      <c r="B305">
        <v>313</v>
      </c>
      <c r="C305" t="s">
        <v>2981</v>
      </c>
      <c r="D305" t="s">
        <v>535</v>
      </c>
      <c r="E305" t="s">
        <v>2982</v>
      </c>
      <c r="F305" t="s">
        <v>2977</v>
      </c>
      <c r="G305" t="s">
        <v>2983</v>
      </c>
      <c r="H305" t="s">
        <v>3691</v>
      </c>
      <c r="I305" t="s">
        <v>3692</v>
      </c>
      <c r="J305" t="str" cm="1">
        <f t="array" ref="J305">IF(SUM(COUNTIF(Text_Preprocessing__224[[#This Row],[full_text]],{"*makan siang gratis*";"*MBG*";"*makan gratis*";"*makan bergizi gratis*";"*makangratis*";"*makanan gratis*"})),"Relevan","Tidak Relevan")</f>
        <v>Relevan</v>
      </c>
    </row>
    <row r="306" spans="1:11" x14ac:dyDescent="0.35">
      <c r="A306">
        <f t="shared" si="4"/>
        <v>305</v>
      </c>
      <c r="B306">
        <v>314</v>
      </c>
      <c r="C306" t="s">
        <v>2986</v>
      </c>
      <c r="D306" t="s">
        <v>537</v>
      </c>
      <c r="E306" t="s">
        <v>2987</v>
      </c>
      <c r="F306" t="s">
        <v>2258</v>
      </c>
      <c r="G306" t="s">
        <v>2988</v>
      </c>
      <c r="H306" t="s">
        <v>2988</v>
      </c>
      <c r="I306" t="s">
        <v>2989</v>
      </c>
      <c r="J306" t="str" cm="1">
        <f t="array" ref="J306">IF(SUM(COUNTIF(Text_Preprocessing__224[[#This Row],[full_text]],{"*makan siang gratis*";"*MBG*";"*makan gratis*";"*makan bergizi gratis*";"*makangratis*";"*makanan gratis*"})),"Relevan","Tidak Relevan")</f>
        <v>Relevan</v>
      </c>
    </row>
    <row r="307" spans="1:11" x14ac:dyDescent="0.35">
      <c r="A307">
        <f t="shared" si="4"/>
        <v>306</v>
      </c>
      <c r="B307">
        <v>315</v>
      </c>
      <c r="C307" t="s">
        <v>2990</v>
      </c>
      <c r="D307" t="s">
        <v>539</v>
      </c>
      <c r="E307" t="s">
        <v>2991</v>
      </c>
      <c r="F307" t="s">
        <v>2164</v>
      </c>
      <c r="G307" t="s">
        <v>2992</v>
      </c>
      <c r="H307" t="s">
        <v>2993</v>
      </c>
      <c r="I307" t="s">
        <v>2994</v>
      </c>
      <c r="J307" t="str" cm="1">
        <f t="array" ref="J307">IF(SUM(COUNTIF(Text_Preprocessing__224[[#This Row],[full_text]],{"*makan siang gratis*";"*MBG*";"*makan gratis*";"*makan bergizi gratis*";"*makangratis*";"*makanan gratis*"})),"Relevan","Tidak Relevan")</f>
        <v>Tidak Relevan</v>
      </c>
      <c r="K307" t="s">
        <v>3622</v>
      </c>
    </row>
    <row r="308" spans="1:11" x14ac:dyDescent="0.35">
      <c r="A308">
        <f t="shared" si="4"/>
        <v>307</v>
      </c>
      <c r="B308">
        <v>316</v>
      </c>
      <c r="C308" t="s">
        <v>2995</v>
      </c>
      <c r="D308" t="s">
        <v>541</v>
      </c>
      <c r="E308" t="s">
        <v>2996</v>
      </c>
      <c r="F308" t="s">
        <v>1804</v>
      </c>
      <c r="G308" t="s">
        <v>2996</v>
      </c>
      <c r="H308" t="s">
        <v>2996</v>
      </c>
      <c r="I308" t="s">
        <v>2997</v>
      </c>
      <c r="J308" t="str" cm="1">
        <f t="array" ref="J308">IF(SUM(COUNTIF(Text_Preprocessing__224[[#This Row],[full_text]],{"*makan siang gratis*";"*MBG*";"*makan gratis*";"*makan bergizi gratis*";"*makangratis*";"*makanan gratis*"})),"Relevan","Tidak Relevan")</f>
        <v>Relevan</v>
      </c>
    </row>
    <row r="309" spans="1:11" x14ac:dyDescent="0.35">
      <c r="A309">
        <f t="shared" si="4"/>
        <v>308</v>
      </c>
      <c r="B309">
        <v>317</v>
      </c>
      <c r="C309" t="s">
        <v>2998</v>
      </c>
      <c r="D309" t="s">
        <v>543</v>
      </c>
      <c r="E309" t="s">
        <v>2999</v>
      </c>
      <c r="F309" t="s">
        <v>2609</v>
      </c>
      <c r="G309" t="s">
        <v>3000</v>
      </c>
      <c r="H309" t="s">
        <v>3000</v>
      </c>
      <c r="I309" t="s">
        <v>3001</v>
      </c>
      <c r="J309" t="str" cm="1">
        <f t="array" ref="J309">IF(SUM(COUNTIF(Text_Preprocessing__224[[#This Row],[full_text]],{"*makan siang gratis*";"*MBG*";"*makan gratis*";"*makan bergizi gratis*";"*makangratis*";"*makanan gratis*"})),"Relevan","Tidak Relevan")</f>
        <v>Relevan</v>
      </c>
    </row>
    <row r="310" spans="1:11" x14ac:dyDescent="0.35">
      <c r="A310">
        <f t="shared" si="4"/>
        <v>309</v>
      </c>
      <c r="B310">
        <v>318</v>
      </c>
      <c r="C310" t="s">
        <v>3002</v>
      </c>
      <c r="D310" t="s">
        <v>545</v>
      </c>
      <c r="E310" t="s">
        <v>3003</v>
      </c>
      <c r="F310" t="s">
        <v>2082</v>
      </c>
      <c r="G310" t="s">
        <v>3004</v>
      </c>
      <c r="H310" t="s">
        <v>3004</v>
      </c>
      <c r="I310" t="s">
        <v>3005</v>
      </c>
      <c r="J310" t="str" cm="1">
        <f t="array" ref="J310">IF(SUM(COUNTIF(Text_Preprocessing__224[[#This Row],[full_text]],{"*makan siang gratis*";"*MBG*";"*makan gratis*";"*makan bergizi gratis*";"*makangratis*";"*makanan gratis*"})),"Relevan","Tidak Relevan")</f>
        <v>Tidak Relevan</v>
      </c>
      <c r="K310" t="s">
        <v>3622</v>
      </c>
    </row>
    <row r="311" spans="1:11" x14ac:dyDescent="0.35">
      <c r="A311">
        <f t="shared" si="4"/>
        <v>310</v>
      </c>
      <c r="B311">
        <v>319</v>
      </c>
      <c r="C311" t="s">
        <v>3006</v>
      </c>
      <c r="D311" t="s">
        <v>547</v>
      </c>
      <c r="E311" t="s">
        <v>3007</v>
      </c>
      <c r="F311" t="s">
        <v>1719</v>
      </c>
      <c r="G311" t="s">
        <v>3008</v>
      </c>
      <c r="H311" t="s">
        <v>3008</v>
      </c>
      <c r="I311" t="s">
        <v>3009</v>
      </c>
      <c r="J311" t="str" cm="1">
        <f t="array" ref="J311">IF(SUM(COUNTIF(Text_Preprocessing__224[[#This Row],[full_text]],{"*makan siang gratis*";"*MBG*";"*makan gratis*";"*makan bergizi gratis*";"*makangratis*";"*makanan gratis*"})),"Relevan","Tidak Relevan")</f>
        <v>Relevan</v>
      </c>
    </row>
    <row r="312" spans="1:11" x14ac:dyDescent="0.35">
      <c r="A312">
        <f t="shared" si="4"/>
        <v>311</v>
      </c>
      <c r="B312">
        <v>320</v>
      </c>
      <c r="C312" t="s">
        <v>3010</v>
      </c>
      <c r="D312" t="s">
        <v>549</v>
      </c>
      <c r="E312" t="s">
        <v>3011</v>
      </c>
      <c r="F312" t="s">
        <v>3012</v>
      </c>
      <c r="G312" t="s">
        <v>3013</v>
      </c>
      <c r="H312" t="s">
        <v>3013</v>
      </c>
      <c r="I312" t="s">
        <v>3014</v>
      </c>
      <c r="J312" t="str" cm="1">
        <f t="array" ref="J312">IF(SUM(COUNTIF(Text_Preprocessing__224[[#This Row],[full_text]],{"*makan siang gratis*";"*MBG*";"*makan gratis*";"*makan bergizi gratis*";"*makangratis*";"*makanan gratis*"})),"Relevan","Tidak Relevan")</f>
        <v>Relevan</v>
      </c>
    </row>
    <row r="313" spans="1:11" x14ac:dyDescent="0.35">
      <c r="A313">
        <f t="shared" si="4"/>
        <v>312</v>
      </c>
      <c r="B313">
        <v>321</v>
      </c>
      <c r="C313" t="s">
        <v>3015</v>
      </c>
      <c r="D313" t="s">
        <v>551</v>
      </c>
      <c r="E313" t="s">
        <v>3016</v>
      </c>
      <c r="F313" t="s">
        <v>1844</v>
      </c>
      <c r="G313" t="s">
        <v>3017</v>
      </c>
      <c r="H313" t="s">
        <v>3017</v>
      </c>
      <c r="I313" t="s">
        <v>3018</v>
      </c>
      <c r="J313" t="str" cm="1">
        <f t="array" ref="J313">IF(SUM(COUNTIF(Text_Preprocessing__224[[#This Row],[full_text]],{"*makan siang gratis*";"*MBG*";"*makan gratis*";"*makan bergizi gratis*";"*makangratis*";"*makanan gratis*"})),"Relevan","Tidak Relevan")</f>
        <v>Relevan</v>
      </c>
    </row>
    <row r="314" spans="1:11" x14ac:dyDescent="0.35">
      <c r="A314">
        <f t="shared" si="4"/>
        <v>313</v>
      </c>
      <c r="B314">
        <v>322</v>
      </c>
      <c r="C314" t="s">
        <v>3019</v>
      </c>
      <c r="D314" t="s">
        <v>555</v>
      </c>
      <c r="E314" t="s">
        <v>3020</v>
      </c>
      <c r="F314" t="s">
        <v>3021</v>
      </c>
      <c r="G314" t="s">
        <v>3022</v>
      </c>
      <c r="H314" t="s">
        <v>3023</v>
      </c>
      <c r="I314" t="s">
        <v>3024</v>
      </c>
      <c r="J314" t="str" cm="1">
        <f t="array" ref="J314">IF(SUM(COUNTIF(Text_Preprocessing__224[[#This Row],[full_text]],{"*makan siang gratis*";"*MBG*";"*makan gratis*";"*makan bergizi gratis*";"*makangratis*";"*makanan gratis*"})),"Relevan","Tidak Relevan")</f>
        <v>Relevan</v>
      </c>
    </row>
    <row r="315" spans="1:11" x14ac:dyDescent="0.35">
      <c r="A315">
        <f t="shared" si="4"/>
        <v>314</v>
      </c>
      <c r="B315">
        <v>323</v>
      </c>
      <c r="C315" t="s">
        <v>3025</v>
      </c>
      <c r="D315" t="s">
        <v>557</v>
      </c>
      <c r="E315" t="s">
        <v>3026</v>
      </c>
      <c r="F315" t="s">
        <v>2092</v>
      </c>
      <c r="G315" t="s">
        <v>3027</v>
      </c>
      <c r="H315" t="s">
        <v>3028</v>
      </c>
      <c r="I315" t="s">
        <v>3029</v>
      </c>
      <c r="J315" t="str" cm="1">
        <f t="array" ref="J315">IF(SUM(COUNTIF(Text_Preprocessing__224[[#This Row],[full_text]],{"*makan siang gratis*";"*MBG*";"*makan gratis*";"*makan bergizi gratis*";"*makangratis*";"*makanan gratis*"})),"Relevan","Tidak Relevan")</f>
        <v>Relevan</v>
      </c>
    </row>
    <row r="316" spans="1:11" x14ac:dyDescent="0.35">
      <c r="A316">
        <f t="shared" si="4"/>
        <v>315</v>
      </c>
      <c r="B316">
        <v>324</v>
      </c>
      <c r="C316" t="s">
        <v>3030</v>
      </c>
      <c r="D316" t="s">
        <v>559</v>
      </c>
      <c r="E316" t="s">
        <v>3031</v>
      </c>
      <c r="F316" t="s">
        <v>2348</v>
      </c>
      <c r="G316" t="s">
        <v>3032</v>
      </c>
      <c r="H316" t="s">
        <v>3032</v>
      </c>
      <c r="I316" t="s">
        <v>3033</v>
      </c>
      <c r="J316" t="str" cm="1">
        <f t="array" ref="J316">IF(SUM(COUNTIF(Text_Preprocessing__224[[#This Row],[full_text]],{"*makan siang gratis*";"*MBG*";"*makan gratis*";"*makan bergizi gratis*";"*makangratis*";"*makanan gratis*"})),"Relevan","Tidak Relevan")</f>
        <v>Relevan</v>
      </c>
    </row>
    <row r="317" spans="1:11" x14ac:dyDescent="0.35">
      <c r="A317">
        <f t="shared" si="4"/>
        <v>316</v>
      </c>
      <c r="B317">
        <v>325</v>
      </c>
      <c r="C317" t="s">
        <v>3034</v>
      </c>
      <c r="D317" t="s">
        <v>561</v>
      </c>
      <c r="E317" t="s">
        <v>3035</v>
      </c>
      <c r="F317" t="s">
        <v>3036</v>
      </c>
      <c r="G317" t="s">
        <v>3037</v>
      </c>
      <c r="H317" t="s">
        <v>3037</v>
      </c>
      <c r="I317" t="s">
        <v>3038</v>
      </c>
      <c r="J317" t="str" cm="1">
        <f t="array" ref="J317">IF(SUM(COUNTIF(Text_Preprocessing__224[[#This Row],[full_text]],{"*makan siang gratis*";"*MBG*";"*makan gratis*";"*makan bergizi gratis*";"*makangratis*";"*makanan gratis*"})),"Relevan","Tidak Relevan")</f>
        <v>Relevan</v>
      </c>
    </row>
    <row r="318" spans="1:11" x14ac:dyDescent="0.35">
      <c r="A318">
        <f t="shared" si="4"/>
        <v>317</v>
      </c>
      <c r="B318">
        <v>326</v>
      </c>
      <c r="C318" t="s">
        <v>3039</v>
      </c>
      <c r="D318" t="s">
        <v>563</v>
      </c>
      <c r="E318" t="s">
        <v>3040</v>
      </c>
      <c r="F318" t="s">
        <v>3041</v>
      </c>
      <c r="G318" t="s">
        <v>3042</v>
      </c>
      <c r="H318" t="s">
        <v>3042</v>
      </c>
      <c r="I318" t="s">
        <v>3043</v>
      </c>
      <c r="J318" t="str" cm="1">
        <f t="array" ref="J318">IF(SUM(COUNTIF(Text_Preprocessing__224[[#This Row],[full_text]],{"*makan siang gratis*";"*MBG*";"*makan gratis*";"*makan bergizi gratis*";"*makangratis*";"*makanan gratis*"})),"Relevan","Tidak Relevan")</f>
        <v>Tidak Relevan</v>
      </c>
      <c r="K318" t="s">
        <v>3622</v>
      </c>
    </row>
    <row r="319" spans="1:11" x14ac:dyDescent="0.35">
      <c r="A319">
        <f t="shared" si="4"/>
        <v>318</v>
      </c>
      <c r="B319">
        <v>327</v>
      </c>
      <c r="C319" t="s">
        <v>3044</v>
      </c>
      <c r="D319" t="s">
        <v>565</v>
      </c>
      <c r="E319" t="s">
        <v>3045</v>
      </c>
      <c r="F319" t="s">
        <v>2159</v>
      </c>
      <c r="G319" t="s">
        <v>3046</v>
      </c>
      <c r="H319" t="s">
        <v>3046</v>
      </c>
      <c r="I319" t="s">
        <v>3047</v>
      </c>
      <c r="J319" t="str" cm="1">
        <f t="array" ref="J319">IF(SUM(COUNTIF(Text_Preprocessing__224[[#This Row],[full_text]],{"*makan siang gratis*";"*MBG*";"*makan gratis*";"*makan bergizi gratis*";"*makangratis*";"*makanan gratis*"})),"Relevan","Tidak Relevan")</f>
        <v>Relevan</v>
      </c>
    </row>
    <row r="320" spans="1:11" x14ac:dyDescent="0.35">
      <c r="A320">
        <f t="shared" si="4"/>
        <v>319</v>
      </c>
      <c r="B320">
        <v>328</v>
      </c>
      <c r="C320" t="s">
        <v>3048</v>
      </c>
      <c r="D320" t="s">
        <v>567</v>
      </c>
      <c r="E320" t="s">
        <v>3049</v>
      </c>
      <c r="F320" t="s">
        <v>2312</v>
      </c>
      <c r="G320" t="s">
        <v>3050</v>
      </c>
      <c r="H320" t="s">
        <v>3050</v>
      </c>
      <c r="I320" t="s">
        <v>3051</v>
      </c>
      <c r="J320" t="str" cm="1">
        <f t="array" ref="J320">IF(SUM(COUNTIF(Text_Preprocessing__224[[#This Row],[full_text]],{"*makan siang gratis*";"*MBG*";"*makan gratis*";"*makan bergizi gratis*";"*makangratis*";"*makanan gratis*"})),"Relevan","Tidak Relevan")</f>
        <v>Relevan</v>
      </c>
    </row>
    <row r="321" spans="1:11" x14ac:dyDescent="0.35">
      <c r="A321">
        <f t="shared" si="4"/>
        <v>320</v>
      </c>
      <c r="B321">
        <v>329</v>
      </c>
      <c r="C321" t="s">
        <v>3052</v>
      </c>
      <c r="D321" t="s">
        <v>569</v>
      </c>
      <c r="E321" t="s">
        <v>3053</v>
      </c>
      <c r="F321" t="s">
        <v>1629</v>
      </c>
      <c r="G321" t="s">
        <v>3054</v>
      </c>
      <c r="H321" t="s">
        <v>3054</v>
      </c>
      <c r="I321" t="s">
        <v>3055</v>
      </c>
      <c r="J321" t="str" cm="1">
        <f t="array" ref="J321">IF(SUM(COUNTIF(Text_Preprocessing__224[[#This Row],[full_text]],{"*makan siang gratis*";"*MBG*";"*makan gratis*";"*makan bergizi gratis*";"*makangratis*";"*makanan gratis*"})),"Relevan","Tidak Relevan")</f>
        <v>Relevan</v>
      </c>
    </row>
    <row r="322" spans="1:11" x14ac:dyDescent="0.35">
      <c r="A322">
        <f t="shared" si="4"/>
        <v>321</v>
      </c>
      <c r="B322">
        <v>330</v>
      </c>
      <c r="C322" t="s">
        <v>3056</v>
      </c>
      <c r="D322" t="s">
        <v>571</v>
      </c>
      <c r="E322" t="s">
        <v>3057</v>
      </c>
      <c r="F322" t="s">
        <v>1990</v>
      </c>
      <c r="G322" t="s">
        <v>3058</v>
      </c>
      <c r="H322" t="s">
        <v>3058</v>
      </c>
      <c r="I322" t="s">
        <v>3059</v>
      </c>
      <c r="J322" t="str" cm="1">
        <f t="array" ref="J322">IF(SUM(COUNTIF(Text_Preprocessing__224[[#This Row],[full_text]],{"*makan siang gratis*";"*MBG*";"*makan gratis*";"*makan bergizi gratis*";"*makangratis*";"*makanan gratis*"})),"Relevan","Tidak Relevan")</f>
        <v>Relevan</v>
      </c>
    </row>
    <row r="323" spans="1:11" x14ac:dyDescent="0.35">
      <c r="A323">
        <f t="shared" si="4"/>
        <v>322</v>
      </c>
      <c r="B323">
        <v>331</v>
      </c>
      <c r="C323" t="s">
        <v>3060</v>
      </c>
      <c r="D323" t="s">
        <v>484</v>
      </c>
      <c r="E323" t="s">
        <v>3061</v>
      </c>
      <c r="F323" t="s">
        <v>2348</v>
      </c>
      <c r="G323" t="s">
        <v>3062</v>
      </c>
      <c r="H323" t="s">
        <v>3062</v>
      </c>
      <c r="I323" t="s">
        <v>3063</v>
      </c>
      <c r="J323" t="str" cm="1">
        <f t="array" ref="J323">IF(SUM(COUNTIF(Text_Preprocessing__224[[#This Row],[full_text]],{"*makan siang gratis*";"*MBG*";"*makan gratis*";"*makan bergizi gratis*";"*makangratis*";"*makanan gratis*"})),"Relevan","Tidak Relevan")</f>
        <v>Relevan</v>
      </c>
    </row>
    <row r="324" spans="1:11" x14ac:dyDescent="0.35">
      <c r="A324">
        <f t="shared" ref="A324:A387" si="5">SUM(A323+1)</f>
        <v>323</v>
      </c>
      <c r="B324">
        <v>332</v>
      </c>
      <c r="C324" t="s">
        <v>3064</v>
      </c>
      <c r="D324" t="s">
        <v>575</v>
      </c>
      <c r="E324" t="s">
        <v>3065</v>
      </c>
      <c r="F324" t="s">
        <v>2312</v>
      </c>
      <c r="G324" t="s">
        <v>3066</v>
      </c>
      <c r="H324" t="s">
        <v>3066</v>
      </c>
      <c r="I324" t="s">
        <v>3067</v>
      </c>
      <c r="J324" t="str" cm="1">
        <f t="array" ref="J324">IF(SUM(COUNTIF(Text_Preprocessing__224[[#This Row],[full_text]],{"*makan siang gratis*";"*MBG*";"*makan gratis*";"*makan bergizi gratis*";"*makangratis*";"*makanan gratis*"})),"Relevan","Tidak Relevan")</f>
        <v>Relevan</v>
      </c>
    </row>
    <row r="325" spans="1:11" x14ac:dyDescent="0.35">
      <c r="A325">
        <f t="shared" si="5"/>
        <v>324</v>
      </c>
      <c r="B325">
        <v>333</v>
      </c>
      <c r="C325" t="s">
        <v>3068</v>
      </c>
      <c r="D325" t="s">
        <v>577</v>
      </c>
      <c r="E325" t="s">
        <v>3069</v>
      </c>
      <c r="F325" t="s">
        <v>3070</v>
      </c>
      <c r="G325" t="s">
        <v>3071</v>
      </c>
      <c r="H325" t="s">
        <v>3071</v>
      </c>
      <c r="I325" t="s">
        <v>3072</v>
      </c>
      <c r="J325" t="str" cm="1">
        <f t="array" ref="J325">IF(SUM(COUNTIF(Text_Preprocessing__224[[#This Row],[full_text]],{"*makan siang gratis*";"*MBG*";"*makan gratis*";"*makan bergizi gratis*";"*makangratis*";"*makanan gratis*"})),"Relevan","Tidak Relevan")</f>
        <v>Relevan</v>
      </c>
    </row>
    <row r="326" spans="1:11" x14ac:dyDescent="0.35">
      <c r="A326">
        <f t="shared" si="5"/>
        <v>325</v>
      </c>
      <c r="B326">
        <v>334</v>
      </c>
      <c r="C326" t="s">
        <v>3073</v>
      </c>
      <c r="D326" t="s">
        <v>577</v>
      </c>
      <c r="E326" t="s">
        <v>3074</v>
      </c>
      <c r="F326" t="s">
        <v>1764</v>
      </c>
      <c r="G326" t="s">
        <v>3075</v>
      </c>
      <c r="H326" t="s">
        <v>3075</v>
      </c>
      <c r="I326" t="s">
        <v>3076</v>
      </c>
      <c r="J326" t="str" cm="1">
        <f t="array" ref="J326">IF(SUM(COUNTIF(Text_Preprocessing__224[[#This Row],[full_text]],{"*makan siang gratis*";"*MBG*";"*makan gratis*";"*makan bergizi gratis*";"*makangratis*";"*makanan gratis*"})),"Relevan","Tidak Relevan")</f>
        <v>Relevan</v>
      </c>
    </row>
    <row r="327" spans="1:11" x14ac:dyDescent="0.35">
      <c r="A327">
        <f t="shared" si="5"/>
        <v>326</v>
      </c>
      <c r="B327">
        <v>335</v>
      </c>
      <c r="C327" t="s">
        <v>3077</v>
      </c>
      <c r="D327" t="s">
        <v>435</v>
      </c>
      <c r="E327" t="s">
        <v>3078</v>
      </c>
      <c r="F327" t="s">
        <v>3079</v>
      </c>
      <c r="G327" t="s">
        <v>3080</v>
      </c>
      <c r="H327" t="s">
        <v>3080</v>
      </c>
      <c r="I327" t="s">
        <v>3081</v>
      </c>
      <c r="J327" t="str" cm="1">
        <f t="array" ref="J327">IF(SUM(COUNTIF(Text_Preprocessing__224[[#This Row],[full_text]],{"*makan siang gratis*";"*MBG*";"*makan gratis*";"*makan bergizi gratis*";"*makangratis*";"*makanan gratis*"})),"Relevan","Tidak Relevan")</f>
        <v>Relevan</v>
      </c>
    </row>
    <row r="328" spans="1:11" x14ac:dyDescent="0.35">
      <c r="A328">
        <f t="shared" si="5"/>
        <v>327</v>
      </c>
      <c r="B328">
        <v>336</v>
      </c>
      <c r="C328" t="s">
        <v>3082</v>
      </c>
      <c r="D328" t="s">
        <v>76</v>
      </c>
      <c r="E328" t="s">
        <v>3083</v>
      </c>
      <c r="F328" t="s">
        <v>2796</v>
      </c>
      <c r="G328" t="s">
        <v>3084</v>
      </c>
      <c r="H328" t="s">
        <v>3084</v>
      </c>
      <c r="I328" t="s">
        <v>3085</v>
      </c>
      <c r="J328" t="str" cm="1">
        <f t="array" ref="J328">IF(SUM(COUNTIF(Text_Preprocessing__224[[#This Row],[full_text]],{"*makan siang gratis*";"*MBG*";"*makan gratis*";"*makan bergizi gratis*";"*makangratis*";"*makanan gratis*"})),"Relevan","Tidak Relevan")</f>
        <v>Relevan</v>
      </c>
    </row>
    <row r="329" spans="1:11" x14ac:dyDescent="0.35">
      <c r="A329">
        <f t="shared" si="5"/>
        <v>328</v>
      </c>
      <c r="B329">
        <v>337</v>
      </c>
      <c r="C329" t="s">
        <v>3086</v>
      </c>
      <c r="D329" t="s">
        <v>582</v>
      </c>
      <c r="E329" t="s">
        <v>3087</v>
      </c>
      <c r="F329" t="s">
        <v>1613</v>
      </c>
      <c r="G329" t="s">
        <v>3088</v>
      </c>
      <c r="H329" t="s">
        <v>3693</v>
      </c>
      <c r="I329" t="s">
        <v>3694</v>
      </c>
      <c r="J329" t="str" cm="1">
        <f t="array" ref="J329">IF(SUM(COUNTIF(Text_Preprocessing__224[[#This Row],[full_text]],{"*makan siang gratis*";"*MBG*";"*makan gratis*";"*makan bergizi gratis*";"*makangratis*";"*makanan gratis*"})),"Relevan","Tidak Relevan")</f>
        <v>Relevan</v>
      </c>
    </row>
    <row r="330" spans="1:11" x14ac:dyDescent="0.35">
      <c r="A330">
        <f t="shared" si="5"/>
        <v>329</v>
      </c>
      <c r="B330">
        <v>338</v>
      </c>
      <c r="C330" t="s">
        <v>3091</v>
      </c>
      <c r="D330" t="s">
        <v>584</v>
      </c>
      <c r="E330" t="s">
        <v>3092</v>
      </c>
      <c r="F330" t="s">
        <v>3079</v>
      </c>
      <c r="G330" t="s">
        <v>3093</v>
      </c>
      <c r="H330" t="s">
        <v>3093</v>
      </c>
      <c r="I330" t="s">
        <v>3094</v>
      </c>
      <c r="J330" t="str" cm="1">
        <f t="array" ref="J330">IF(SUM(COUNTIF(Text_Preprocessing__224[[#This Row],[full_text]],{"*makan siang gratis*";"*MBG*";"*makan gratis*";"*makan bergizi gratis*";"*makangratis*";"*makanan gratis*"})),"Relevan","Tidak Relevan")</f>
        <v>Relevan</v>
      </c>
    </row>
    <row r="331" spans="1:11" x14ac:dyDescent="0.35">
      <c r="A331">
        <f t="shared" si="5"/>
        <v>330</v>
      </c>
      <c r="B331">
        <v>339</v>
      </c>
      <c r="C331" t="s">
        <v>3095</v>
      </c>
      <c r="D331" t="s">
        <v>586</v>
      </c>
      <c r="E331" t="s">
        <v>3096</v>
      </c>
      <c r="F331" t="s">
        <v>1663</v>
      </c>
      <c r="G331" t="s">
        <v>3097</v>
      </c>
      <c r="H331" t="s">
        <v>3098</v>
      </c>
      <c r="I331" t="s">
        <v>3099</v>
      </c>
      <c r="J331" t="str" cm="1">
        <f t="array" ref="J331">IF(SUM(COUNTIF(Text_Preprocessing__224[[#This Row],[full_text]],{"*makan siang gratis*";"*MBG*";"*makan gratis*";"*makan bergizi gratis*";"*makangratis*";"*makanan gratis*"})),"Relevan","Tidak Relevan")</f>
        <v>Relevan</v>
      </c>
    </row>
    <row r="332" spans="1:11" x14ac:dyDescent="0.35">
      <c r="A332">
        <f t="shared" si="5"/>
        <v>331</v>
      </c>
      <c r="B332">
        <v>340</v>
      </c>
      <c r="C332" t="s">
        <v>3100</v>
      </c>
      <c r="D332" t="s">
        <v>588</v>
      </c>
      <c r="E332" t="s">
        <v>3101</v>
      </c>
      <c r="F332" t="s">
        <v>2558</v>
      </c>
      <c r="G332" t="s">
        <v>3102</v>
      </c>
      <c r="H332" t="s">
        <v>3103</v>
      </c>
      <c r="I332" t="s">
        <v>3104</v>
      </c>
      <c r="J332" t="str" cm="1">
        <f t="array" ref="J332">IF(SUM(COUNTIF(Text_Preprocessing__224[[#This Row],[full_text]],{"*makan siang gratis*";"*MBG*";"*makan gratis*";"*makan bergizi gratis*";"*makangratis*";"*makanan gratis*"})),"Relevan","Tidak Relevan")</f>
        <v>Relevan</v>
      </c>
    </row>
    <row r="333" spans="1:11" x14ac:dyDescent="0.35">
      <c r="A333">
        <f t="shared" si="5"/>
        <v>332</v>
      </c>
      <c r="B333">
        <v>341</v>
      </c>
      <c r="C333" t="s">
        <v>3105</v>
      </c>
      <c r="D333" t="s">
        <v>590</v>
      </c>
      <c r="E333" t="s">
        <v>3106</v>
      </c>
      <c r="F333" t="s">
        <v>3107</v>
      </c>
      <c r="G333" t="s">
        <v>3108</v>
      </c>
      <c r="H333" t="s">
        <v>3695</v>
      </c>
      <c r="I333" t="s">
        <v>3696</v>
      </c>
      <c r="J333" t="str" cm="1">
        <f t="array" ref="J333">IF(SUM(COUNTIF(Text_Preprocessing__224[[#This Row],[full_text]],{"*makan siang gratis*";"*MBG*";"*makan gratis*";"*makan bergizi gratis*";"*makangratis*";"*makanan gratis*"})),"Relevan","Tidak Relevan")</f>
        <v>Tidak Relevan</v>
      </c>
      <c r="K333" t="s">
        <v>3622</v>
      </c>
    </row>
    <row r="334" spans="1:11" x14ac:dyDescent="0.35">
      <c r="A334">
        <f t="shared" si="5"/>
        <v>333</v>
      </c>
      <c r="B334">
        <v>342</v>
      </c>
      <c r="C334" t="s">
        <v>3111</v>
      </c>
      <c r="D334" t="s">
        <v>592</v>
      </c>
      <c r="E334" t="s">
        <v>3112</v>
      </c>
      <c r="F334" t="s">
        <v>3113</v>
      </c>
      <c r="G334" t="s">
        <v>3114</v>
      </c>
      <c r="H334" t="s">
        <v>3114</v>
      </c>
      <c r="I334" t="s">
        <v>3115</v>
      </c>
      <c r="J334" t="str" cm="1">
        <f t="array" ref="J334">IF(SUM(COUNTIF(Text_Preprocessing__224[[#This Row],[full_text]],{"*makan siang gratis*";"*MBG*";"*makan gratis*";"*makan bergizi gratis*";"*makangratis*";"*makanan gratis*"})),"Relevan","Tidak Relevan")</f>
        <v>Tidak Relevan</v>
      </c>
      <c r="K334" t="s">
        <v>3622</v>
      </c>
    </row>
    <row r="335" spans="1:11" x14ac:dyDescent="0.35">
      <c r="A335">
        <f t="shared" si="5"/>
        <v>334</v>
      </c>
      <c r="B335">
        <v>343</v>
      </c>
      <c r="C335" t="s">
        <v>3116</v>
      </c>
      <c r="D335" t="s">
        <v>594</v>
      </c>
      <c r="E335" t="s">
        <v>3117</v>
      </c>
      <c r="F335" t="s">
        <v>3118</v>
      </c>
      <c r="G335" t="s">
        <v>3119</v>
      </c>
      <c r="H335" t="s">
        <v>3119</v>
      </c>
      <c r="I335" t="s">
        <v>3120</v>
      </c>
      <c r="J335" t="str" cm="1">
        <f t="array" ref="J335">IF(SUM(COUNTIF(Text_Preprocessing__224[[#This Row],[full_text]],{"*makan siang gratis*";"*MBG*";"*makan gratis*";"*makan bergizi gratis*";"*makangratis*";"*makanan gratis*"})),"Relevan","Tidak Relevan")</f>
        <v>Relevan</v>
      </c>
    </row>
    <row r="336" spans="1:11" x14ac:dyDescent="0.35">
      <c r="A336">
        <f t="shared" si="5"/>
        <v>335</v>
      </c>
      <c r="B336">
        <v>344</v>
      </c>
      <c r="C336" t="s">
        <v>3121</v>
      </c>
      <c r="D336" t="s">
        <v>596</v>
      </c>
      <c r="E336" t="s">
        <v>3122</v>
      </c>
      <c r="F336" t="s">
        <v>1853</v>
      </c>
      <c r="G336" t="s">
        <v>3123</v>
      </c>
      <c r="H336" t="s">
        <v>3123</v>
      </c>
      <c r="I336" t="s">
        <v>3124</v>
      </c>
      <c r="J336" t="str" cm="1">
        <f t="array" ref="J336">IF(SUM(COUNTIF(Text_Preprocessing__224[[#This Row],[full_text]],{"*makan siang gratis*";"*MBG*";"*makan gratis*";"*makan bergizi gratis*";"*makangratis*";"*makanan gratis*"})),"Relevan","Tidak Relevan")</f>
        <v>Relevan</v>
      </c>
    </row>
    <row r="337" spans="1:10" x14ac:dyDescent="0.35">
      <c r="A337">
        <f t="shared" si="5"/>
        <v>336</v>
      </c>
      <c r="B337">
        <v>345</v>
      </c>
      <c r="C337" t="s">
        <v>3125</v>
      </c>
      <c r="D337" t="s">
        <v>598</v>
      </c>
      <c r="E337" t="s">
        <v>3126</v>
      </c>
      <c r="F337" t="s">
        <v>2229</v>
      </c>
      <c r="G337" t="s">
        <v>3127</v>
      </c>
      <c r="H337" t="s">
        <v>3127</v>
      </c>
      <c r="I337" t="s">
        <v>3128</v>
      </c>
      <c r="J337" t="str" cm="1">
        <f t="array" ref="J337">IF(SUM(COUNTIF(Text_Preprocessing__224[[#This Row],[full_text]],{"*makan siang gratis*";"*MBG*";"*makan gratis*";"*makan bergizi gratis*";"*makangratis*";"*makanan gratis*"})),"Relevan","Tidak Relevan")</f>
        <v>Relevan</v>
      </c>
    </row>
    <row r="338" spans="1:10" x14ac:dyDescent="0.35">
      <c r="A338">
        <f t="shared" si="5"/>
        <v>337</v>
      </c>
      <c r="B338">
        <v>346</v>
      </c>
      <c r="C338" t="s">
        <v>3129</v>
      </c>
      <c r="D338" t="s">
        <v>600</v>
      </c>
      <c r="E338" t="s">
        <v>3130</v>
      </c>
      <c r="F338" t="s">
        <v>3131</v>
      </c>
      <c r="G338" t="s">
        <v>3130</v>
      </c>
      <c r="H338" t="s">
        <v>3130</v>
      </c>
      <c r="I338" t="s">
        <v>3132</v>
      </c>
      <c r="J338" t="str" cm="1">
        <f t="array" ref="J338">IF(SUM(COUNTIF(Text_Preprocessing__224[[#This Row],[full_text]],{"*makan siang gratis*";"*MBG*";"*makan gratis*";"*makan bergizi gratis*";"*makangratis*";"*makanan gratis*"})),"Relevan","Tidak Relevan")</f>
        <v>Relevan</v>
      </c>
    </row>
    <row r="339" spans="1:10" x14ac:dyDescent="0.35">
      <c r="A339">
        <f t="shared" si="5"/>
        <v>338</v>
      </c>
      <c r="B339">
        <v>347</v>
      </c>
      <c r="C339" t="s">
        <v>3133</v>
      </c>
      <c r="D339" t="s">
        <v>602</v>
      </c>
      <c r="E339" t="s">
        <v>3134</v>
      </c>
      <c r="F339" t="s">
        <v>2862</v>
      </c>
      <c r="G339" t="s">
        <v>3135</v>
      </c>
      <c r="H339" t="s">
        <v>3135</v>
      </c>
      <c r="I339" t="s">
        <v>3136</v>
      </c>
      <c r="J339" t="str" cm="1">
        <f t="array" ref="J339">IF(SUM(COUNTIF(Text_Preprocessing__224[[#This Row],[full_text]],{"*makan siang gratis*";"*MBG*";"*makan gratis*";"*makan bergizi gratis*";"*makangratis*";"*makanan gratis*"})),"Relevan","Tidak Relevan")</f>
        <v>Relevan</v>
      </c>
    </row>
    <row r="340" spans="1:10" x14ac:dyDescent="0.35">
      <c r="A340">
        <f t="shared" si="5"/>
        <v>339</v>
      </c>
      <c r="B340">
        <v>348</v>
      </c>
      <c r="C340" t="s">
        <v>3137</v>
      </c>
      <c r="D340" t="s">
        <v>604</v>
      </c>
      <c r="E340" t="s">
        <v>3138</v>
      </c>
      <c r="F340" t="s">
        <v>2558</v>
      </c>
      <c r="G340" t="s">
        <v>3139</v>
      </c>
      <c r="H340" t="s">
        <v>3139</v>
      </c>
      <c r="I340" t="s">
        <v>3140</v>
      </c>
      <c r="J340" t="str" cm="1">
        <f t="array" ref="J340">IF(SUM(COUNTIF(Text_Preprocessing__224[[#This Row],[full_text]],{"*makan siang gratis*";"*MBG*";"*makan gratis*";"*makan bergizi gratis*";"*makangratis*";"*makanan gratis*"})),"Relevan","Tidak Relevan")</f>
        <v>Relevan</v>
      </c>
    </row>
    <row r="341" spans="1:10" x14ac:dyDescent="0.35">
      <c r="A341">
        <f t="shared" si="5"/>
        <v>340</v>
      </c>
      <c r="B341">
        <v>349</v>
      </c>
      <c r="C341" t="s">
        <v>3141</v>
      </c>
      <c r="D341" t="s">
        <v>606</v>
      </c>
      <c r="E341" t="s">
        <v>3142</v>
      </c>
      <c r="F341" t="s">
        <v>2154</v>
      </c>
      <c r="G341" t="s">
        <v>3143</v>
      </c>
      <c r="H341" t="s">
        <v>3144</v>
      </c>
      <c r="I341" t="s">
        <v>3145</v>
      </c>
      <c r="J341" t="str" cm="1">
        <f t="array" ref="J341">IF(SUM(COUNTIF(Text_Preprocessing__224[[#This Row],[full_text]],{"*makan siang gratis*";"*MBG*";"*makan gratis*";"*makan bergizi gratis*";"*makangratis*";"*makanan gratis*"})),"Relevan","Tidak Relevan")</f>
        <v>Relevan</v>
      </c>
    </row>
    <row r="342" spans="1:10" x14ac:dyDescent="0.35">
      <c r="A342">
        <f t="shared" si="5"/>
        <v>341</v>
      </c>
      <c r="B342">
        <v>350</v>
      </c>
      <c r="C342" t="s">
        <v>3146</v>
      </c>
      <c r="D342" t="s">
        <v>608</v>
      </c>
      <c r="E342" t="s">
        <v>3147</v>
      </c>
      <c r="F342" t="s">
        <v>1785</v>
      </c>
      <c r="G342" t="s">
        <v>3148</v>
      </c>
      <c r="H342" t="s">
        <v>3148</v>
      </c>
      <c r="I342" t="s">
        <v>3149</v>
      </c>
      <c r="J342" t="str" cm="1">
        <f t="array" ref="J342">IF(SUM(COUNTIF(Text_Preprocessing__224[[#This Row],[full_text]],{"*makan siang gratis*";"*MBG*";"*makan gratis*";"*makan bergizi gratis*";"*makangratis*";"*makanan gratis*"})),"Relevan","Tidak Relevan")</f>
        <v>Relevan</v>
      </c>
    </row>
    <row r="343" spans="1:10" x14ac:dyDescent="0.35">
      <c r="A343">
        <f t="shared" si="5"/>
        <v>342</v>
      </c>
      <c r="B343">
        <v>351</v>
      </c>
      <c r="C343" t="s">
        <v>3150</v>
      </c>
      <c r="D343" t="s">
        <v>610</v>
      </c>
      <c r="E343" t="s">
        <v>3151</v>
      </c>
      <c r="F343" t="s">
        <v>1764</v>
      </c>
      <c r="G343" t="s">
        <v>3152</v>
      </c>
      <c r="H343" t="s">
        <v>3152</v>
      </c>
      <c r="I343" t="s">
        <v>3153</v>
      </c>
      <c r="J343" t="str" cm="1">
        <f t="array" ref="J343">IF(SUM(COUNTIF(Text_Preprocessing__224[[#This Row],[full_text]],{"*makan siang gratis*";"*MBG*";"*makan gratis*";"*makan bergizi gratis*";"*makangratis*";"*makanan gratis*"})),"Relevan","Tidak Relevan")</f>
        <v>Relevan</v>
      </c>
    </row>
    <row r="344" spans="1:10" x14ac:dyDescent="0.35">
      <c r="A344">
        <f t="shared" si="5"/>
        <v>343</v>
      </c>
      <c r="B344">
        <v>352</v>
      </c>
      <c r="C344" t="s">
        <v>3154</v>
      </c>
      <c r="D344" t="s">
        <v>612</v>
      </c>
      <c r="E344" t="s">
        <v>3155</v>
      </c>
      <c r="F344" t="s">
        <v>1799</v>
      </c>
      <c r="G344" t="s">
        <v>3156</v>
      </c>
      <c r="H344" t="s">
        <v>3156</v>
      </c>
      <c r="I344" t="s">
        <v>3157</v>
      </c>
      <c r="J344" t="str" cm="1">
        <f t="array" ref="J344">IF(SUM(COUNTIF(Text_Preprocessing__224[[#This Row],[full_text]],{"*makan siang gratis*";"*MBG*";"*makan gratis*";"*makan bergizi gratis*";"*makangratis*";"*makanan gratis*"})),"Relevan","Tidak Relevan")</f>
        <v>Relevan</v>
      </c>
    </row>
    <row r="345" spans="1:10" x14ac:dyDescent="0.35">
      <c r="A345">
        <f t="shared" si="5"/>
        <v>344</v>
      </c>
      <c r="B345">
        <v>353</v>
      </c>
      <c r="C345" t="s">
        <v>3158</v>
      </c>
      <c r="D345" t="s">
        <v>614</v>
      </c>
      <c r="E345" t="s">
        <v>3159</v>
      </c>
      <c r="F345" t="s">
        <v>1799</v>
      </c>
      <c r="G345" t="s">
        <v>3160</v>
      </c>
      <c r="H345" t="s">
        <v>3160</v>
      </c>
      <c r="I345" t="s">
        <v>3161</v>
      </c>
      <c r="J345" t="str" cm="1">
        <f t="array" ref="J345">IF(SUM(COUNTIF(Text_Preprocessing__224[[#This Row],[full_text]],{"*makan siang gratis*";"*MBG*";"*makan gratis*";"*makan bergizi gratis*";"*makangratis*";"*makanan gratis*"})),"Relevan","Tidak Relevan")</f>
        <v>Relevan</v>
      </c>
    </row>
    <row r="346" spans="1:10" x14ac:dyDescent="0.35">
      <c r="A346">
        <f t="shared" si="5"/>
        <v>345</v>
      </c>
      <c r="B346">
        <v>354</v>
      </c>
      <c r="C346" t="s">
        <v>3162</v>
      </c>
      <c r="D346" t="s">
        <v>614</v>
      </c>
      <c r="E346" t="s">
        <v>3163</v>
      </c>
      <c r="F346" t="s">
        <v>1829</v>
      </c>
      <c r="G346" t="s">
        <v>3164</v>
      </c>
      <c r="H346" t="s">
        <v>3164</v>
      </c>
      <c r="I346" t="s">
        <v>3165</v>
      </c>
      <c r="J346" t="str" cm="1">
        <f t="array" ref="J346">IF(SUM(COUNTIF(Text_Preprocessing__224[[#This Row],[full_text]],{"*makan siang gratis*";"*MBG*";"*makan gratis*";"*makan bergizi gratis*";"*makangratis*";"*makanan gratis*"})),"Relevan","Tidak Relevan")</f>
        <v>Relevan</v>
      </c>
    </row>
    <row r="347" spans="1:10" x14ac:dyDescent="0.35">
      <c r="A347">
        <f t="shared" si="5"/>
        <v>346</v>
      </c>
      <c r="B347">
        <v>355</v>
      </c>
      <c r="C347" t="s">
        <v>3166</v>
      </c>
      <c r="D347" t="s">
        <v>617</v>
      </c>
      <c r="E347" t="s">
        <v>3167</v>
      </c>
      <c r="F347" t="s">
        <v>2505</v>
      </c>
      <c r="G347" t="s">
        <v>3168</v>
      </c>
      <c r="H347" t="s">
        <v>3168</v>
      </c>
      <c r="I347" t="s">
        <v>3169</v>
      </c>
      <c r="J347" t="str" cm="1">
        <f t="array" ref="J347">IF(SUM(COUNTIF(Text_Preprocessing__224[[#This Row],[full_text]],{"*makan siang gratis*";"*MBG*";"*makan gratis*";"*makan bergizi gratis*";"*makangratis*";"*makanan gratis*"})),"Relevan","Tidak Relevan")</f>
        <v>Relevan</v>
      </c>
    </row>
    <row r="348" spans="1:10" x14ac:dyDescent="0.35">
      <c r="A348">
        <f t="shared" si="5"/>
        <v>347</v>
      </c>
      <c r="B348">
        <v>356</v>
      </c>
      <c r="C348" t="s">
        <v>3170</v>
      </c>
      <c r="D348" t="s">
        <v>221</v>
      </c>
      <c r="E348" t="s">
        <v>3171</v>
      </c>
      <c r="F348" t="s">
        <v>1804</v>
      </c>
      <c r="G348" t="s">
        <v>3171</v>
      </c>
      <c r="H348" t="s">
        <v>3171</v>
      </c>
      <c r="I348" t="s">
        <v>3172</v>
      </c>
      <c r="J348" t="str" cm="1">
        <f t="array" ref="J348">IF(SUM(COUNTIF(Text_Preprocessing__224[[#This Row],[full_text]],{"*makan siang gratis*";"*MBG*";"*makan gratis*";"*makan bergizi gratis*";"*makangratis*";"*makanan gratis*"})),"Relevan","Tidak Relevan")</f>
        <v>Relevan</v>
      </c>
    </row>
    <row r="349" spans="1:10" x14ac:dyDescent="0.35">
      <c r="A349">
        <f t="shared" si="5"/>
        <v>348</v>
      </c>
      <c r="B349">
        <v>357</v>
      </c>
      <c r="C349" t="s">
        <v>3173</v>
      </c>
      <c r="D349" t="s">
        <v>620</v>
      </c>
      <c r="E349" t="s">
        <v>3174</v>
      </c>
      <c r="F349" t="s">
        <v>2604</v>
      </c>
      <c r="G349" t="s">
        <v>3175</v>
      </c>
      <c r="H349" t="s">
        <v>3175</v>
      </c>
      <c r="I349" t="s">
        <v>3176</v>
      </c>
      <c r="J349" t="str" cm="1">
        <f t="array" ref="J349">IF(SUM(COUNTIF(Text_Preprocessing__224[[#This Row],[full_text]],{"*makan siang gratis*";"*MBG*";"*makan gratis*";"*makan bergizi gratis*";"*makangratis*";"*makanan gratis*"})),"Relevan","Tidak Relevan")</f>
        <v>Relevan</v>
      </c>
    </row>
    <row r="350" spans="1:10" x14ac:dyDescent="0.35">
      <c r="A350">
        <f t="shared" si="5"/>
        <v>349</v>
      </c>
      <c r="B350">
        <v>358</v>
      </c>
      <c r="C350" t="s">
        <v>3177</v>
      </c>
      <c r="D350" t="s">
        <v>460</v>
      </c>
      <c r="E350" t="s">
        <v>3178</v>
      </c>
      <c r="F350" t="s">
        <v>1844</v>
      </c>
      <c r="G350" t="s">
        <v>3179</v>
      </c>
      <c r="H350" t="s">
        <v>3179</v>
      </c>
      <c r="I350" t="s">
        <v>3180</v>
      </c>
      <c r="J350" t="str" cm="1">
        <f t="array" ref="J350">IF(SUM(COUNTIF(Text_Preprocessing__224[[#This Row],[full_text]],{"*makan siang gratis*";"*MBG*";"*makan gratis*";"*makan bergizi gratis*";"*makangratis*";"*makanan gratis*"})),"Relevan","Tidak Relevan")</f>
        <v>Relevan</v>
      </c>
    </row>
    <row r="351" spans="1:10" x14ac:dyDescent="0.35">
      <c r="A351">
        <f t="shared" si="5"/>
        <v>350</v>
      </c>
      <c r="B351">
        <v>359</v>
      </c>
      <c r="C351" t="s">
        <v>3181</v>
      </c>
      <c r="D351" t="s">
        <v>460</v>
      </c>
      <c r="E351" t="s">
        <v>3182</v>
      </c>
      <c r="F351" t="s">
        <v>1730</v>
      </c>
      <c r="G351" t="s">
        <v>3183</v>
      </c>
      <c r="H351" t="s">
        <v>3183</v>
      </c>
      <c r="I351" t="s">
        <v>3184</v>
      </c>
      <c r="J351" t="str" cm="1">
        <f t="array" ref="J351">IF(SUM(COUNTIF(Text_Preprocessing__224[[#This Row],[full_text]],{"*makan siang gratis*";"*MBG*";"*makan gratis*";"*makan bergizi gratis*";"*makangratis*";"*makanan gratis*"})),"Relevan","Tidak Relevan")</f>
        <v>Relevan</v>
      </c>
    </row>
    <row r="352" spans="1:10" x14ac:dyDescent="0.35">
      <c r="A352">
        <f t="shared" si="5"/>
        <v>351</v>
      </c>
      <c r="B352">
        <v>360</v>
      </c>
      <c r="C352" t="s">
        <v>3185</v>
      </c>
      <c r="D352" t="s">
        <v>460</v>
      </c>
      <c r="E352" t="s">
        <v>3186</v>
      </c>
      <c r="F352" t="s">
        <v>1929</v>
      </c>
      <c r="G352" t="s">
        <v>3187</v>
      </c>
      <c r="H352" t="s">
        <v>3187</v>
      </c>
      <c r="I352" t="s">
        <v>3188</v>
      </c>
      <c r="J352" t="str" cm="1">
        <f t="array" ref="J352">IF(SUM(COUNTIF(Text_Preprocessing__224[[#This Row],[full_text]],{"*makan siang gratis*";"*MBG*";"*makan gratis*";"*makan bergizi gratis*";"*makangratis*";"*makanan gratis*"})),"Relevan","Tidak Relevan")</f>
        <v>Relevan</v>
      </c>
    </row>
    <row r="353" spans="1:11" x14ac:dyDescent="0.35">
      <c r="A353">
        <f t="shared" si="5"/>
        <v>352</v>
      </c>
      <c r="B353">
        <v>361</v>
      </c>
      <c r="C353" t="s">
        <v>3189</v>
      </c>
      <c r="D353" t="s">
        <v>460</v>
      </c>
      <c r="E353" t="s">
        <v>3190</v>
      </c>
      <c r="F353" t="s">
        <v>1929</v>
      </c>
      <c r="G353" t="s">
        <v>3191</v>
      </c>
      <c r="H353" t="s">
        <v>3191</v>
      </c>
      <c r="I353" t="s">
        <v>3192</v>
      </c>
      <c r="J353" t="str" cm="1">
        <f t="array" ref="J353">IF(SUM(COUNTIF(Text_Preprocessing__224[[#This Row],[full_text]],{"*makan siang gratis*";"*MBG*";"*makan gratis*";"*makan bergizi gratis*";"*makangratis*";"*makanan gratis*"})),"Relevan","Tidak Relevan")</f>
        <v>Relevan</v>
      </c>
    </row>
    <row r="354" spans="1:11" x14ac:dyDescent="0.35">
      <c r="A354">
        <f t="shared" si="5"/>
        <v>353</v>
      </c>
      <c r="B354">
        <v>362</v>
      </c>
      <c r="C354" t="s">
        <v>3193</v>
      </c>
      <c r="D354" t="s">
        <v>620</v>
      </c>
      <c r="E354" t="s">
        <v>3194</v>
      </c>
      <c r="F354" t="s">
        <v>1719</v>
      </c>
      <c r="G354" t="s">
        <v>3195</v>
      </c>
      <c r="H354" t="s">
        <v>3195</v>
      </c>
      <c r="I354" t="s">
        <v>3196</v>
      </c>
      <c r="J354" t="str" cm="1">
        <f t="array" ref="J354">IF(SUM(COUNTIF(Text_Preprocessing__224[[#This Row],[full_text]],{"*makan siang gratis*";"*MBG*";"*makan gratis*";"*makan bergizi gratis*";"*makangratis*";"*makanan gratis*"})),"Relevan","Tidak Relevan")</f>
        <v>Relevan</v>
      </c>
    </row>
    <row r="355" spans="1:11" x14ac:dyDescent="0.35">
      <c r="A355">
        <f t="shared" si="5"/>
        <v>354</v>
      </c>
      <c r="B355">
        <v>363</v>
      </c>
      <c r="C355" t="s">
        <v>3197</v>
      </c>
      <c r="D355" t="s">
        <v>460</v>
      </c>
      <c r="E355" t="s">
        <v>3198</v>
      </c>
      <c r="F355" t="s">
        <v>1730</v>
      </c>
      <c r="G355" t="s">
        <v>3199</v>
      </c>
      <c r="H355" t="s">
        <v>3199</v>
      </c>
      <c r="I355" t="s">
        <v>3200</v>
      </c>
      <c r="J355" t="str" cm="1">
        <f t="array" ref="J355">IF(SUM(COUNTIF(Text_Preprocessing__224[[#This Row],[full_text]],{"*makan siang gratis*";"*MBG*";"*makan gratis*";"*makan bergizi gratis*";"*makangratis*";"*makanan gratis*"})),"Relevan","Tidak Relevan")</f>
        <v>Relevan</v>
      </c>
    </row>
    <row r="356" spans="1:11" x14ac:dyDescent="0.35">
      <c r="A356">
        <f t="shared" si="5"/>
        <v>355</v>
      </c>
      <c r="B356">
        <v>364</v>
      </c>
      <c r="C356" t="s">
        <v>3201</v>
      </c>
      <c r="D356" t="s">
        <v>93</v>
      </c>
      <c r="E356" t="s">
        <v>3202</v>
      </c>
      <c r="F356" t="s">
        <v>2215</v>
      </c>
      <c r="G356" t="s">
        <v>3203</v>
      </c>
      <c r="H356" t="s">
        <v>3203</v>
      </c>
      <c r="I356" t="s">
        <v>3204</v>
      </c>
      <c r="J356" t="str" cm="1">
        <f t="array" ref="J356">IF(SUM(COUNTIF(Text_Preprocessing__224[[#This Row],[full_text]],{"*makan siang gratis*";"*MBG*";"*makan gratis*";"*makan bergizi gratis*";"*makangratis*";"*makanan gratis*"})),"Relevan","Tidak Relevan")</f>
        <v>Relevan</v>
      </c>
    </row>
    <row r="357" spans="1:11" x14ac:dyDescent="0.35">
      <c r="A357">
        <f t="shared" si="5"/>
        <v>356</v>
      </c>
      <c r="B357">
        <v>365</v>
      </c>
      <c r="C357" t="s">
        <v>3205</v>
      </c>
      <c r="D357" t="s">
        <v>629</v>
      </c>
      <c r="E357" t="s">
        <v>3206</v>
      </c>
      <c r="F357" t="s">
        <v>1730</v>
      </c>
      <c r="G357" t="s">
        <v>3207</v>
      </c>
      <c r="H357" t="s">
        <v>3207</v>
      </c>
      <c r="I357" t="s">
        <v>3208</v>
      </c>
      <c r="J357" t="str" cm="1">
        <f t="array" ref="J357">IF(SUM(COUNTIF(Text_Preprocessing__224[[#This Row],[full_text]],{"*makan siang gratis*";"*MBG*";"*makan gratis*";"*makan bergizi gratis*";"*makangratis*";"*makanan gratis*"})),"Relevan","Tidak Relevan")</f>
        <v>Relevan</v>
      </c>
    </row>
    <row r="358" spans="1:11" x14ac:dyDescent="0.35">
      <c r="A358">
        <f t="shared" si="5"/>
        <v>357</v>
      </c>
      <c r="B358">
        <v>366</v>
      </c>
      <c r="C358" t="s">
        <v>3209</v>
      </c>
      <c r="D358" t="s">
        <v>629</v>
      </c>
      <c r="E358" t="s">
        <v>3210</v>
      </c>
      <c r="F358" t="s">
        <v>1692</v>
      </c>
      <c r="G358" t="s">
        <v>3211</v>
      </c>
      <c r="H358" t="s">
        <v>3211</v>
      </c>
      <c r="I358" t="s">
        <v>3212</v>
      </c>
      <c r="J358" t="str" cm="1">
        <f t="array" ref="J358">IF(SUM(COUNTIF(Text_Preprocessing__224[[#This Row],[full_text]],{"*makan siang gratis*";"*MBG*";"*makan gratis*";"*makan bergizi gratis*";"*makangratis*";"*makanan gratis*"})),"Relevan","Tidak Relevan")</f>
        <v>Relevan</v>
      </c>
    </row>
    <row r="359" spans="1:11" x14ac:dyDescent="0.35">
      <c r="A359">
        <f t="shared" si="5"/>
        <v>358</v>
      </c>
      <c r="B359">
        <v>367</v>
      </c>
      <c r="C359" t="s">
        <v>3213</v>
      </c>
      <c r="D359" t="s">
        <v>629</v>
      </c>
      <c r="E359" t="s">
        <v>3214</v>
      </c>
      <c r="F359" t="s">
        <v>1929</v>
      </c>
      <c r="G359" t="s">
        <v>3215</v>
      </c>
      <c r="H359" t="s">
        <v>3215</v>
      </c>
      <c r="I359" t="s">
        <v>3216</v>
      </c>
      <c r="J359" t="str" cm="1">
        <f t="array" ref="J359">IF(SUM(COUNTIF(Text_Preprocessing__224[[#This Row],[full_text]],{"*makan siang gratis*";"*MBG*";"*makan gratis*";"*makan bergizi gratis*";"*makangratis*";"*makanan gratis*"})),"Relevan","Tidak Relevan")</f>
        <v>Relevan</v>
      </c>
    </row>
    <row r="360" spans="1:11" x14ac:dyDescent="0.35">
      <c r="A360">
        <f t="shared" si="5"/>
        <v>359</v>
      </c>
      <c r="B360">
        <v>368</v>
      </c>
      <c r="C360" t="s">
        <v>3217</v>
      </c>
      <c r="D360" t="s">
        <v>629</v>
      </c>
      <c r="E360" t="s">
        <v>3218</v>
      </c>
      <c r="F360" t="s">
        <v>1730</v>
      </c>
      <c r="G360" t="s">
        <v>3219</v>
      </c>
      <c r="H360" t="s">
        <v>3219</v>
      </c>
      <c r="I360" t="s">
        <v>3220</v>
      </c>
      <c r="J360" t="str" cm="1">
        <f t="array" ref="J360">IF(SUM(COUNTIF(Text_Preprocessing__224[[#This Row],[full_text]],{"*makan siang gratis*";"*MBG*";"*makan gratis*";"*makan bergizi gratis*";"*makangratis*";"*makanan gratis*"})),"Relevan","Tidak Relevan")</f>
        <v>Relevan</v>
      </c>
    </row>
    <row r="361" spans="1:11" x14ac:dyDescent="0.35">
      <c r="A361">
        <f t="shared" si="5"/>
        <v>360</v>
      </c>
      <c r="B361">
        <v>369</v>
      </c>
      <c r="C361" t="s">
        <v>3221</v>
      </c>
      <c r="D361" t="s">
        <v>634</v>
      </c>
      <c r="E361" t="s">
        <v>3222</v>
      </c>
      <c r="F361" t="s">
        <v>2748</v>
      </c>
      <c r="G361" t="s">
        <v>3223</v>
      </c>
      <c r="H361" t="s">
        <v>3223</v>
      </c>
      <c r="I361" t="s">
        <v>3224</v>
      </c>
      <c r="J361" t="str" cm="1">
        <f t="array" ref="J361">IF(SUM(COUNTIF(Text_Preprocessing__224[[#This Row],[full_text]],{"*makan siang gratis*";"*MBG*";"*makan gratis*";"*makan bergizi gratis*";"*makangratis*";"*makanan gratis*"})),"Relevan","Tidak Relevan")</f>
        <v>Relevan</v>
      </c>
    </row>
    <row r="362" spans="1:11" x14ac:dyDescent="0.35">
      <c r="A362">
        <f t="shared" si="5"/>
        <v>361</v>
      </c>
      <c r="B362">
        <v>370</v>
      </c>
      <c r="C362" t="s">
        <v>3225</v>
      </c>
      <c r="D362" t="s">
        <v>636</v>
      </c>
      <c r="E362" t="s">
        <v>3226</v>
      </c>
      <c r="F362" t="s">
        <v>3227</v>
      </c>
      <c r="G362" t="s">
        <v>3228</v>
      </c>
      <c r="H362" t="s">
        <v>3228</v>
      </c>
      <c r="I362" t="s">
        <v>3229</v>
      </c>
      <c r="J362" t="str" cm="1">
        <f t="array" ref="J362">IF(SUM(COUNTIF(Text_Preprocessing__224[[#This Row],[full_text]],{"*makan siang gratis*";"*MBG*";"*makan gratis*";"*makan bergizi gratis*";"*makangratis*";"*makanan gratis*"})),"Relevan","Tidak Relevan")</f>
        <v>Relevan</v>
      </c>
    </row>
    <row r="363" spans="1:11" x14ac:dyDescent="0.35">
      <c r="A363">
        <f t="shared" si="5"/>
        <v>362</v>
      </c>
      <c r="B363">
        <v>371</v>
      </c>
      <c r="C363" t="s">
        <v>3230</v>
      </c>
      <c r="D363" t="s">
        <v>638</v>
      </c>
      <c r="E363" t="s">
        <v>3231</v>
      </c>
      <c r="F363" t="s">
        <v>2743</v>
      </c>
      <c r="G363" t="s">
        <v>3232</v>
      </c>
      <c r="H363" t="s">
        <v>3232</v>
      </c>
      <c r="I363" t="s">
        <v>3233</v>
      </c>
      <c r="J363" t="str" cm="1">
        <f t="array" ref="J363">IF(SUM(COUNTIF(Text_Preprocessing__224[[#This Row],[full_text]],{"*makan siang gratis*";"*MBG*";"*makan gratis*";"*makan bergizi gratis*";"*makangratis*";"*makanan gratis*"})),"Relevan","Tidak Relevan")</f>
        <v>Relevan</v>
      </c>
    </row>
    <row r="364" spans="1:11" x14ac:dyDescent="0.35">
      <c r="A364">
        <f t="shared" si="5"/>
        <v>363</v>
      </c>
      <c r="B364">
        <v>372</v>
      </c>
      <c r="C364" t="s">
        <v>3234</v>
      </c>
      <c r="D364" t="s">
        <v>330</v>
      </c>
      <c r="E364" t="s">
        <v>3235</v>
      </c>
      <c r="F364" t="s">
        <v>1629</v>
      </c>
      <c r="G364" t="s">
        <v>3236</v>
      </c>
      <c r="H364" t="s">
        <v>3236</v>
      </c>
      <c r="I364" t="s">
        <v>3237</v>
      </c>
      <c r="J364" t="str" cm="1">
        <f t="array" ref="J364">IF(SUM(COUNTIF(Text_Preprocessing__224[[#This Row],[full_text]],{"*makan siang gratis*";"*MBG*";"*makan gratis*";"*makan bergizi gratis*";"*makangratis*";"*makanan gratis*"})),"Relevan","Tidak Relevan")</f>
        <v>Tidak Relevan</v>
      </c>
      <c r="K364" t="s">
        <v>3622</v>
      </c>
    </row>
    <row r="365" spans="1:11" x14ac:dyDescent="0.35">
      <c r="A365">
        <f t="shared" si="5"/>
        <v>364</v>
      </c>
      <c r="B365">
        <v>373</v>
      </c>
      <c r="C365" t="s">
        <v>3238</v>
      </c>
      <c r="D365" t="s">
        <v>641</v>
      </c>
      <c r="E365" t="s">
        <v>3239</v>
      </c>
      <c r="F365" t="s">
        <v>1893</v>
      </c>
      <c r="G365" t="s">
        <v>3240</v>
      </c>
      <c r="H365" t="s">
        <v>3240</v>
      </c>
      <c r="I365" t="s">
        <v>3241</v>
      </c>
      <c r="J365" t="str" cm="1">
        <f t="array" ref="J365">IF(SUM(COUNTIF(Text_Preprocessing__224[[#This Row],[full_text]],{"*makan siang gratis*";"*MBG*";"*makan gratis*";"*makan bergizi gratis*";"*makangratis*";"*makanan gratis*"})),"Relevan","Tidak Relevan")</f>
        <v>Tidak Relevan</v>
      </c>
      <c r="K365" t="s">
        <v>3622</v>
      </c>
    </row>
    <row r="366" spans="1:11" x14ac:dyDescent="0.35">
      <c r="A366">
        <f t="shared" si="5"/>
        <v>365</v>
      </c>
      <c r="B366">
        <v>374</v>
      </c>
      <c r="C366" t="s">
        <v>3242</v>
      </c>
      <c r="D366" t="s">
        <v>643</v>
      </c>
      <c r="E366" t="s">
        <v>3243</v>
      </c>
      <c r="F366" t="s">
        <v>3244</v>
      </c>
      <c r="G366" t="s">
        <v>3245</v>
      </c>
      <c r="H366" t="s">
        <v>3697</v>
      </c>
      <c r="I366" t="s">
        <v>3698</v>
      </c>
      <c r="J366" t="str" cm="1">
        <f t="array" ref="J366">IF(SUM(COUNTIF(Text_Preprocessing__224[[#This Row],[full_text]],{"*makan siang gratis*";"*MBG*";"*makan gratis*";"*makan bergizi gratis*";"*makangratis*";"*makanan gratis*"})),"Relevan","Tidak Relevan")</f>
        <v>Relevan</v>
      </c>
    </row>
    <row r="367" spans="1:11" x14ac:dyDescent="0.35">
      <c r="A367">
        <f t="shared" si="5"/>
        <v>366</v>
      </c>
      <c r="B367">
        <v>375</v>
      </c>
      <c r="C367" t="s">
        <v>3248</v>
      </c>
      <c r="D367" t="s">
        <v>645</v>
      </c>
      <c r="E367" t="s">
        <v>3249</v>
      </c>
      <c r="F367" t="s">
        <v>1799</v>
      </c>
      <c r="G367" t="s">
        <v>3250</v>
      </c>
      <c r="H367" t="s">
        <v>3250</v>
      </c>
      <c r="I367" t="s">
        <v>3251</v>
      </c>
      <c r="J367" t="str" cm="1">
        <f t="array" ref="J367">IF(SUM(COUNTIF(Text_Preprocessing__224[[#This Row],[full_text]],{"*makan siang gratis*";"*MBG*";"*makan gratis*";"*makan bergizi gratis*";"*makangratis*";"*makanan gratis*"})),"Relevan","Tidak Relevan")</f>
        <v>Relevan</v>
      </c>
    </row>
    <row r="368" spans="1:11" x14ac:dyDescent="0.35">
      <c r="A368">
        <f t="shared" si="5"/>
        <v>367</v>
      </c>
      <c r="B368">
        <v>376</v>
      </c>
      <c r="C368" t="s">
        <v>3252</v>
      </c>
      <c r="D368" t="s">
        <v>647</v>
      </c>
      <c r="E368" t="s">
        <v>3253</v>
      </c>
      <c r="F368" t="s">
        <v>1624</v>
      </c>
      <c r="G368" t="s">
        <v>3254</v>
      </c>
      <c r="H368" t="s">
        <v>3254</v>
      </c>
      <c r="I368" t="s">
        <v>3255</v>
      </c>
      <c r="J368" t="str" cm="1">
        <f t="array" ref="J368">IF(SUM(COUNTIF(Text_Preprocessing__224[[#This Row],[full_text]],{"*makan siang gratis*";"*MBG*";"*makan gratis*";"*makan bergizi gratis*";"*makangratis*";"*makanan gratis*"})),"Relevan","Tidak Relevan")</f>
        <v>Relevan</v>
      </c>
    </row>
    <row r="369" spans="1:11" x14ac:dyDescent="0.35">
      <c r="A369">
        <f t="shared" si="5"/>
        <v>368</v>
      </c>
      <c r="B369">
        <v>377</v>
      </c>
      <c r="C369" t="s">
        <v>3256</v>
      </c>
      <c r="D369" t="s">
        <v>649</v>
      </c>
      <c r="E369" t="s">
        <v>3257</v>
      </c>
      <c r="F369" t="s">
        <v>3258</v>
      </c>
      <c r="G369" t="s">
        <v>3259</v>
      </c>
      <c r="H369" t="s">
        <v>3259</v>
      </c>
      <c r="I369" t="s">
        <v>3260</v>
      </c>
      <c r="J369" t="str" cm="1">
        <f t="array" ref="J369">IF(SUM(COUNTIF(Text_Preprocessing__224[[#This Row],[full_text]],{"*makan siang gratis*";"*MBG*";"*makan gratis*";"*makan bergizi gratis*";"*makangratis*";"*makanan gratis*"})),"Relevan","Tidak Relevan")</f>
        <v>Relevan</v>
      </c>
    </row>
    <row r="370" spans="1:11" x14ac:dyDescent="0.35">
      <c r="A370">
        <f t="shared" si="5"/>
        <v>369</v>
      </c>
      <c r="B370">
        <v>378</v>
      </c>
      <c r="C370" t="s">
        <v>3261</v>
      </c>
      <c r="D370" t="s">
        <v>651</v>
      </c>
      <c r="E370" t="s">
        <v>3262</v>
      </c>
      <c r="F370" t="s">
        <v>3263</v>
      </c>
      <c r="G370" t="s">
        <v>3264</v>
      </c>
      <c r="H370" t="s">
        <v>3264</v>
      </c>
      <c r="I370" t="s">
        <v>3265</v>
      </c>
      <c r="J370" t="str" cm="1">
        <f t="array" ref="J370">IF(SUM(COUNTIF(Text_Preprocessing__224[[#This Row],[full_text]],{"*makan siang gratis*";"*MBG*";"*makan gratis*";"*makan bergizi gratis*";"*makangratis*";"*makanan gratis*"})),"Relevan","Tidak Relevan")</f>
        <v>Relevan</v>
      </c>
    </row>
    <row r="371" spans="1:11" x14ac:dyDescent="0.35">
      <c r="A371">
        <f t="shared" si="5"/>
        <v>370</v>
      </c>
      <c r="B371">
        <v>379</v>
      </c>
      <c r="C371" t="s">
        <v>3266</v>
      </c>
      <c r="D371" t="s">
        <v>653</v>
      </c>
      <c r="E371" t="s">
        <v>3267</v>
      </c>
      <c r="F371" t="s">
        <v>1785</v>
      </c>
      <c r="G371" t="s">
        <v>3268</v>
      </c>
      <c r="H371" t="s">
        <v>3268</v>
      </c>
      <c r="I371" t="s">
        <v>3269</v>
      </c>
      <c r="J371" t="str" cm="1">
        <f t="array" ref="J371">IF(SUM(COUNTIF(Text_Preprocessing__224[[#This Row],[full_text]],{"*makan siang gratis*";"*MBG*";"*makan gratis*";"*makan bergizi gratis*";"*makangratis*";"*makanan gratis*"})),"Relevan","Tidak Relevan")</f>
        <v>Relevan</v>
      </c>
    </row>
    <row r="372" spans="1:11" x14ac:dyDescent="0.35">
      <c r="A372">
        <f t="shared" si="5"/>
        <v>371</v>
      </c>
      <c r="B372">
        <v>380</v>
      </c>
      <c r="C372" t="s">
        <v>3270</v>
      </c>
      <c r="D372" t="s">
        <v>655</v>
      </c>
      <c r="E372" t="s">
        <v>3271</v>
      </c>
      <c r="F372" t="s">
        <v>1652</v>
      </c>
      <c r="G372" t="s">
        <v>3272</v>
      </c>
      <c r="H372" t="s">
        <v>3272</v>
      </c>
      <c r="I372" t="s">
        <v>3273</v>
      </c>
      <c r="J372" t="str" cm="1">
        <f t="array" ref="J372">IF(SUM(COUNTIF(Text_Preprocessing__224[[#This Row],[full_text]],{"*makan siang gratis*";"*MBG*";"*makan gratis*";"*makan bergizi gratis*";"*makangratis*";"*makanan gratis*"})),"Relevan","Tidak Relevan")</f>
        <v>Relevan</v>
      </c>
    </row>
    <row r="373" spans="1:11" x14ac:dyDescent="0.35">
      <c r="A373">
        <f t="shared" si="5"/>
        <v>372</v>
      </c>
      <c r="B373">
        <v>381</v>
      </c>
      <c r="C373" t="s">
        <v>3274</v>
      </c>
      <c r="D373" t="s">
        <v>657</v>
      </c>
      <c r="E373" t="s">
        <v>3275</v>
      </c>
      <c r="F373" t="s">
        <v>3276</v>
      </c>
      <c r="G373" t="s">
        <v>3275</v>
      </c>
      <c r="H373" t="s">
        <v>3275</v>
      </c>
      <c r="I373" t="s">
        <v>3277</v>
      </c>
      <c r="J373" t="str" cm="1">
        <f t="array" ref="J373">IF(SUM(COUNTIF(Text_Preprocessing__224[[#This Row],[full_text]],{"*makan siang gratis*";"*MBG*";"*makan gratis*";"*makan bergizi gratis*";"*makangratis*";"*makanan gratis*"})),"Relevan","Tidak Relevan")</f>
        <v>Relevan</v>
      </c>
      <c r="K373" s="4" t="s">
        <v>3623</v>
      </c>
    </row>
    <row r="374" spans="1:11" x14ac:dyDescent="0.35">
      <c r="A374">
        <f t="shared" si="5"/>
        <v>373</v>
      </c>
      <c r="B374">
        <v>382</v>
      </c>
      <c r="C374" t="s">
        <v>3278</v>
      </c>
      <c r="D374" t="s">
        <v>274</v>
      </c>
      <c r="E374" t="s">
        <v>3279</v>
      </c>
      <c r="F374" t="s">
        <v>2154</v>
      </c>
      <c r="G374" t="s">
        <v>3280</v>
      </c>
      <c r="H374" t="s">
        <v>3280</v>
      </c>
      <c r="I374" t="s">
        <v>3281</v>
      </c>
      <c r="J374" t="str" cm="1">
        <f t="array" ref="J374">IF(SUM(COUNTIF(Text_Preprocessing__224[[#This Row],[full_text]],{"*makan siang gratis*";"*MBG*";"*makan gratis*";"*makan bergizi gratis*";"*makangratis*";"*makanan gratis*"})),"Relevan","Tidak Relevan")</f>
        <v>Relevan</v>
      </c>
    </row>
    <row r="375" spans="1:11" x14ac:dyDescent="0.35">
      <c r="A375">
        <f t="shared" si="5"/>
        <v>374</v>
      </c>
      <c r="B375">
        <v>383</v>
      </c>
      <c r="C375" t="s">
        <v>3282</v>
      </c>
      <c r="D375" t="s">
        <v>660</v>
      </c>
      <c r="E375" t="s">
        <v>3283</v>
      </c>
      <c r="F375" t="s">
        <v>2114</v>
      </c>
      <c r="G375" t="s">
        <v>3284</v>
      </c>
      <c r="H375" t="s">
        <v>3284</v>
      </c>
      <c r="I375" t="s">
        <v>3285</v>
      </c>
      <c r="J375" t="str" cm="1">
        <f t="array" ref="J375">IF(SUM(COUNTIF(Text_Preprocessing__224[[#This Row],[full_text]],{"*makan siang gratis*";"*MBG*";"*makan gratis*";"*makan bergizi gratis*";"*makangratis*";"*makanan gratis*"})),"Relevan","Tidak Relevan")</f>
        <v>Relevan</v>
      </c>
    </row>
    <row r="376" spans="1:11" x14ac:dyDescent="0.35">
      <c r="A376">
        <f t="shared" si="5"/>
        <v>375</v>
      </c>
      <c r="B376">
        <v>384</v>
      </c>
      <c r="C376" t="s">
        <v>3286</v>
      </c>
      <c r="D376" t="s">
        <v>662</v>
      </c>
      <c r="E376" t="s">
        <v>3287</v>
      </c>
      <c r="F376" t="s">
        <v>1906</v>
      </c>
      <c r="G376" t="s">
        <v>3288</v>
      </c>
      <c r="H376" t="s">
        <v>3288</v>
      </c>
      <c r="I376" t="s">
        <v>3289</v>
      </c>
      <c r="J376" t="str" cm="1">
        <f t="array" ref="J376">IF(SUM(COUNTIF(Text_Preprocessing__224[[#This Row],[full_text]],{"*makan siang gratis*";"*MBG*";"*makan gratis*";"*makan bergizi gratis*";"*makangratis*";"*makanan gratis*"})),"Relevan","Tidak Relevan")</f>
        <v>Tidak Relevan</v>
      </c>
      <c r="K376" t="s">
        <v>3622</v>
      </c>
    </row>
    <row r="377" spans="1:11" x14ac:dyDescent="0.35">
      <c r="A377">
        <f t="shared" si="5"/>
        <v>376</v>
      </c>
      <c r="B377">
        <v>385</v>
      </c>
      <c r="C377" t="s">
        <v>3290</v>
      </c>
      <c r="D377" t="s">
        <v>664</v>
      </c>
      <c r="E377" t="s">
        <v>3291</v>
      </c>
      <c r="F377" t="s">
        <v>2109</v>
      </c>
      <c r="G377" t="s">
        <v>3292</v>
      </c>
      <c r="H377" t="s">
        <v>3292</v>
      </c>
      <c r="I377" t="s">
        <v>3293</v>
      </c>
      <c r="J377" t="str" cm="1">
        <f t="array" ref="J377">IF(SUM(COUNTIF(Text_Preprocessing__224[[#This Row],[full_text]],{"*makan siang gratis*";"*MBG*";"*makan gratis*";"*makan bergizi gratis*";"*makangratis*";"*makanan gratis*"})),"Relevan","Tidak Relevan")</f>
        <v>Relevan</v>
      </c>
    </row>
    <row r="378" spans="1:11" x14ac:dyDescent="0.35">
      <c r="A378">
        <f t="shared" si="5"/>
        <v>377</v>
      </c>
      <c r="B378">
        <v>386</v>
      </c>
      <c r="C378" t="s">
        <v>3294</v>
      </c>
      <c r="D378" t="s">
        <v>666</v>
      </c>
      <c r="E378" t="s">
        <v>3295</v>
      </c>
      <c r="F378" t="s">
        <v>1785</v>
      </c>
      <c r="G378" t="s">
        <v>3296</v>
      </c>
      <c r="H378" t="s">
        <v>3296</v>
      </c>
      <c r="I378" t="s">
        <v>3297</v>
      </c>
      <c r="J378" t="str" cm="1">
        <f t="array" ref="J378">IF(SUM(COUNTIF(Text_Preprocessing__224[[#This Row],[full_text]],{"*makan siang gratis*";"*MBG*";"*makan gratis*";"*makan bergizi gratis*";"*makangratis*";"*makanan gratis*"})),"Relevan","Tidak Relevan")</f>
        <v>Relevan</v>
      </c>
    </row>
    <row r="379" spans="1:11" x14ac:dyDescent="0.35">
      <c r="A379">
        <f t="shared" si="5"/>
        <v>378</v>
      </c>
      <c r="B379">
        <v>387</v>
      </c>
      <c r="C379" t="s">
        <v>3298</v>
      </c>
      <c r="D379" t="s">
        <v>668</v>
      </c>
      <c r="E379" t="s">
        <v>3299</v>
      </c>
      <c r="F379" t="s">
        <v>1674</v>
      </c>
      <c r="G379" t="s">
        <v>3300</v>
      </c>
      <c r="H379" t="s">
        <v>3300</v>
      </c>
      <c r="I379" t="s">
        <v>3301</v>
      </c>
      <c r="J379" t="str" cm="1">
        <f t="array" ref="J379">IF(SUM(COUNTIF(Text_Preprocessing__224[[#This Row],[full_text]],{"*makan siang gratis*";"*MBG*";"*makan gratis*";"*makan bergizi gratis*";"*makangratis*";"*makanan gratis*"})),"Relevan","Tidak Relevan")</f>
        <v>Relevan</v>
      </c>
    </row>
    <row r="380" spans="1:11" x14ac:dyDescent="0.35">
      <c r="A380">
        <f t="shared" si="5"/>
        <v>379</v>
      </c>
      <c r="B380">
        <v>389</v>
      </c>
      <c r="C380" t="s">
        <v>3302</v>
      </c>
      <c r="D380" t="s">
        <v>671</v>
      </c>
      <c r="E380" t="s">
        <v>3303</v>
      </c>
      <c r="F380" t="s">
        <v>1809</v>
      </c>
      <c r="G380" t="s">
        <v>3303</v>
      </c>
      <c r="H380" t="s">
        <v>3303</v>
      </c>
      <c r="I380" t="s">
        <v>3304</v>
      </c>
      <c r="J380" t="str" cm="1">
        <f t="array" ref="J380">IF(SUM(COUNTIF(Text_Preprocessing__224[[#This Row],[full_text]],{"*makan siang gratis*";"*MBG*";"*makan gratis*";"*makan bergizi gratis*";"*makangratis*";"*makanan gratis*"})),"Relevan","Tidak Relevan")</f>
        <v>Relevan</v>
      </c>
    </row>
    <row r="381" spans="1:11" x14ac:dyDescent="0.35">
      <c r="A381">
        <f t="shared" si="5"/>
        <v>380</v>
      </c>
      <c r="B381">
        <v>390</v>
      </c>
      <c r="C381" t="s">
        <v>3305</v>
      </c>
      <c r="D381" t="s">
        <v>673</v>
      </c>
      <c r="E381" t="s">
        <v>3306</v>
      </c>
      <c r="F381" t="s">
        <v>2387</v>
      </c>
      <c r="G381" t="s">
        <v>3307</v>
      </c>
      <c r="H381" t="s">
        <v>3308</v>
      </c>
      <c r="I381" t="s">
        <v>3309</v>
      </c>
      <c r="J381" t="str" cm="1">
        <f t="array" ref="J381">IF(SUM(COUNTIF(Text_Preprocessing__224[[#This Row],[full_text]],{"*makan siang gratis*";"*MBG*";"*makan gratis*";"*makan bergizi gratis*";"*makangratis*";"*makanan gratis*"})),"Relevan","Tidak Relevan")</f>
        <v>Relevan</v>
      </c>
    </row>
    <row r="382" spans="1:11" x14ac:dyDescent="0.35">
      <c r="A382">
        <f t="shared" si="5"/>
        <v>381</v>
      </c>
      <c r="B382">
        <v>391</v>
      </c>
      <c r="C382" t="s">
        <v>3310</v>
      </c>
      <c r="D382" t="s">
        <v>675</v>
      </c>
      <c r="E382" t="s">
        <v>3311</v>
      </c>
      <c r="F382" t="s">
        <v>1785</v>
      </c>
      <c r="G382" t="s">
        <v>3312</v>
      </c>
      <c r="H382" t="s">
        <v>3312</v>
      </c>
      <c r="I382" t="s">
        <v>3313</v>
      </c>
      <c r="J382" t="str" cm="1">
        <f t="array" ref="J382">IF(SUM(COUNTIF(Text_Preprocessing__224[[#This Row],[full_text]],{"*makan siang gratis*";"*MBG*";"*makan gratis*";"*makan bergizi gratis*";"*makangratis*";"*makanan gratis*"})),"Relevan","Tidak Relevan")</f>
        <v>Relevan</v>
      </c>
    </row>
    <row r="383" spans="1:11" x14ac:dyDescent="0.35">
      <c r="A383">
        <f t="shared" si="5"/>
        <v>382</v>
      </c>
      <c r="B383">
        <v>392</v>
      </c>
      <c r="C383" t="s">
        <v>3314</v>
      </c>
      <c r="D383" t="s">
        <v>677</v>
      </c>
      <c r="E383" t="s">
        <v>3315</v>
      </c>
      <c r="F383" t="s">
        <v>1990</v>
      </c>
      <c r="G383" t="s">
        <v>3316</v>
      </c>
      <c r="H383" t="s">
        <v>3316</v>
      </c>
      <c r="I383" t="s">
        <v>3317</v>
      </c>
      <c r="J383" t="str" cm="1">
        <f t="array" ref="J383">IF(SUM(COUNTIF(Text_Preprocessing__224[[#This Row],[full_text]],{"*makan siang gratis*";"*MBG*";"*makan gratis*";"*makan bergizi gratis*";"*makangratis*";"*makanan gratis*"})),"Relevan","Tidak Relevan")</f>
        <v>Tidak Relevan</v>
      </c>
      <c r="K383" t="s">
        <v>3622</v>
      </c>
    </row>
    <row r="384" spans="1:11" x14ac:dyDescent="0.35">
      <c r="A384">
        <f t="shared" si="5"/>
        <v>383</v>
      </c>
      <c r="B384">
        <v>393</v>
      </c>
      <c r="C384" t="s">
        <v>3318</v>
      </c>
      <c r="D384" t="s">
        <v>679</v>
      </c>
      <c r="E384" t="s">
        <v>3319</v>
      </c>
      <c r="F384" t="s">
        <v>1758</v>
      </c>
      <c r="G384" t="s">
        <v>3320</v>
      </c>
      <c r="H384" t="s">
        <v>3699</v>
      </c>
      <c r="I384" t="s">
        <v>3700</v>
      </c>
      <c r="J384" t="str" cm="1">
        <f t="array" ref="J384">IF(SUM(COUNTIF(Text_Preprocessing__224[[#This Row],[full_text]],{"*makan siang gratis*";"*MBG*";"*makan gratis*";"*makan bergizi gratis*";"*makangratis*";"*makanan gratis*"})),"Relevan","Tidak Relevan")</f>
        <v>Relevan</v>
      </c>
    </row>
    <row r="385" spans="1:11" x14ac:dyDescent="0.35">
      <c r="A385">
        <f t="shared" si="5"/>
        <v>384</v>
      </c>
      <c r="B385">
        <v>394</v>
      </c>
      <c r="C385" t="s">
        <v>3323</v>
      </c>
      <c r="D385" t="s">
        <v>681</v>
      </c>
      <c r="E385" t="s">
        <v>3324</v>
      </c>
      <c r="F385" t="s">
        <v>1844</v>
      </c>
      <c r="G385" t="s">
        <v>3325</v>
      </c>
      <c r="H385" t="s">
        <v>3325</v>
      </c>
      <c r="I385" t="s">
        <v>3326</v>
      </c>
      <c r="J385" t="str" cm="1">
        <f t="array" ref="J385">IF(SUM(COUNTIF(Text_Preprocessing__224[[#This Row],[full_text]],{"*makan siang gratis*";"*MBG*";"*makan gratis*";"*makan bergizi gratis*";"*makangratis*";"*makanan gratis*"})),"Relevan","Tidak Relevan")</f>
        <v>Relevan</v>
      </c>
    </row>
    <row r="386" spans="1:11" x14ac:dyDescent="0.35">
      <c r="A386">
        <f t="shared" si="5"/>
        <v>385</v>
      </c>
      <c r="B386">
        <v>395</v>
      </c>
      <c r="C386" t="s">
        <v>3327</v>
      </c>
      <c r="D386" t="s">
        <v>683</v>
      </c>
      <c r="E386" t="s">
        <v>3328</v>
      </c>
      <c r="F386" t="s">
        <v>3329</v>
      </c>
      <c r="G386" t="s">
        <v>3330</v>
      </c>
      <c r="H386" t="s">
        <v>3330</v>
      </c>
      <c r="I386" t="s">
        <v>3331</v>
      </c>
      <c r="J386" t="str" cm="1">
        <f t="array" ref="J386">IF(SUM(COUNTIF(Text_Preprocessing__224[[#This Row],[full_text]],{"*makan siang gratis*";"*MBG*";"*makan gratis*";"*makan bergizi gratis*";"*makangratis*";"*makanan gratis*"})),"Relevan","Tidak Relevan")</f>
        <v>Relevan</v>
      </c>
    </row>
    <row r="387" spans="1:11" x14ac:dyDescent="0.35">
      <c r="A387">
        <f t="shared" si="5"/>
        <v>386</v>
      </c>
      <c r="B387">
        <v>396</v>
      </c>
      <c r="C387" t="s">
        <v>3332</v>
      </c>
      <c r="D387" t="s">
        <v>685</v>
      </c>
      <c r="E387" t="s">
        <v>3333</v>
      </c>
      <c r="F387" t="s">
        <v>1607</v>
      </c>
      <c r="G387" t="s">
        <v>3334</v>
      </c>
      <c r="H387" t="s">
        <v>3335</v>
      </c>
      <c r="I387" t="s">
        <v>3336</v>
      </c>
      <c r="J387" t="str" cm="1">
        <f t="array" ref="J387">IF(SUM(COUNTIF(Text_Preprocessing__224[[#This Row],[full_text]],{"*makan siang gratis*";"*MBG*";"*makan gratis*";"*makan bergizi gratis*";"*makangratis*";"*makanan gratis*"})),"Relevan","Tidak Relevan")</f>
        <v>Relevan</v>
      </c>
    </row>
    <row r="388" spans="1:11" x14ac:dyDescent="0.35">
      <c r="A388">
        <f t="shared" ref="A388:A451" si="6">SUM(A387+1)</f>
        <v>387</v>
      </c>
      <c r="B388">
        <v>397</v>
      </c>
      <c r="C388" t="s">
        <v>3337</v>
      </c>
      <c r="D388" t="s">
        <v>687</v>
      </c>
      <c r="E388" t="s">
        <v>3338</v>
      </c>
      <c r="F388" t="s">
        <v>2229</v>
      </c>
      <c r="G388" t="s">
        <v>3339</v>
      </c>
      <c r="H388" t="s">
        <v>3339</v>
      </c>
      <c r="I388" t="s">
        <v>3340</v>
      </c>
      <c r="J388" t="str" cm="1">
        <f t="array" ref="J388">IF(SUM(COUNTIF(Text_Preprocessing__224[[#This Row],[full_text]],{"*makan siang gratis*";"*MBG*";"*makan gratis*";"*makan bergizi gratis*";"*makangratis*";"*makanan gratis*"})),"Relevan","Tidak Relevan")</f>
        <v>Tidak Relevan</v>
      </c>
      <c r="K388" t="s">
        <v>3622</v>
      </c>
    </row>
    <row r="389" spans="1:11" x14ac:dyDescent="0.35">
      <c r="A389">
        <f t="shared" si="6"/>
        <v>388</v>
      </c>
      <c r="B389">
        <v>398</v>
      </c>
      <c r="C389" t="s">
        <v>3341</v>
      </c>
      <c r="D389" t="s">
        <v>689</v>
      </c>
      <c r="E389" t="s">
        <v>3342</v>
      </c>
      <c r="F389" t="s">
        <v>2748</v>
      </c>
      <c r="G389" t="s">
        <v>3343</v>
      </c>
      <c r="H389" t="s">
        <v>3343</v>
      </c>
      <c r="I389" t="s">
        <v>3344</v>
      </c>
      <c r="J389" t="str" cm="1">
        <f t="array" ref="J389">IF(SUM(COUNTIF(Text_Preprocessing__224[[#This Row],[full_text]],{"*makan siang gratis*";"*MBG*";"*makan gratis*";"*makan bergizi gratis*";"*makangratis*";"*makanan gratis*"})),"Relevan","Tidak Relevan")</f>
        <v>Relevan</v>
      </c>
    </row>
    <row r="390" spans="1:11" x14ac:dyDescent="0.35">
      <c r="A390">
        <f t="shared" si="6"/>
        <v>389</v>
      </c>
      <c r="B390">
        <v>399</v>
      </c>
      <c r="C390" t="s">
        <v>3345</v>
      </c>
      <c r="D390" t="s">
        <v>691</v>
      </c>
      <c r="E390" t="s">
        <v>3346</v>
      </c>
      <c r="F390" t="s">
        <v>1730</v>
      </c>
      <c r="G390" t="s">
        <v>3347</v>
      </c>
      <c r="H390" t="s">
        <v>3348</v>
      </c>
      <c r="I390" t="s">
        <v>3349</v>
      </c>
      <c r="J390" t="str" cm="1">
        <f t="array" ref="J390">IF(SUM(COUNTIF(Text_Preprocessing__224[[#This Row],[full_text]],{"*makan siang gratis*";"*MBG*";"*makan gratis*";"*makan bergizi gratis*";"*makangratis*";"*makanan gratis*"})),"Relevan","Tidak Relevan")</f>
        <v>Relevan</v>
      </c>
    </row>
    <row r="391" spans="1:11" x14ac:dyDescent="0.35">
      <c r="A391">
        <f t="shared" si="6"/>
        <v>390</v>
      </c>
      <c r="B391">
        <v>400</v>
      </c>
      <c r="C391" t="s">
        <v>3350</v>
      </c>
      <c r="D391" t="s">
        <v>693</v>
      </c>
      <c r="E391" t="s">
        <v>3351</v>
      </c>
      <c r="F391" t="s">
        <v>2558</v>
      </c>
      <c r="G391" t="s">
        <v>3352</v>
      </c>
      <c r="H391" t="s">
        <v>3353</v>
      </c>
      <c r="I391" t="s">
        <v>3354</v>
      </c>
      <c r="J391" t="str" cm="1">
        <f t="array" ref="J391">IF(SUM(COUNTIF(Text_Preprocessing__224[[#This Row],[full_text]],{"*makan siang gratis*";"*MBG*";"*makan gratis*";"*makan bergizi gratis*";"*makangratis*";"*makanan gratis*"})),"Relevan","Tidak Relevan")</f>
        <v>Relevan</v>
      </c>
    </row>
    <row r="392" spans="1:11" x14ac:dyDescent="0.35">
      <c r="A392">
        <f t="shared" si="6"/>
        <v>391</v>
      </c>
      <c r="B392">
        <v>401</v>
      </c>
      <c r="C392" t="s">
        <v>3355</v>
      </c>
      <c r="D392" t="s">
        <v>695</v>
      </c>
      <c r="E392" t="s">
        <v>3356</v>
      </c>
      <c r="F392" t="s">
        <v>3357</v>
      </c>
      <c r="G392" t="s">
        <v>3356</v>
      </c>
      <c r="H392" t="s">
        <v>3356</v>
      </c>
      <c r="I392" t="s">
        <v>3358</v>
      </c>
      <c r="J392" t="str" cm="1">
        <f t="array" ref="J392">IF(SUM(COUNTIF(Text_Preprocessing__224[[#This Row],[full_text]],{"*makan siang gratis*";"*MBG*";"*makan gratis*";"*makan bergizi gratis*";"*makangratis*";"*makanan gratis*"})),"Relevan","Tidak Relevan")</f>
        <v>Relevan</v>
      </c>
    </row>
    <row r="393" spans="1:11" x14ac:dyDescent="0.35">
      <c r="A393">
        <f t="shared" si="6"/>
        <v>392</v>
      </c>
      <c r="B393">
        <v>402</v>
      </c>
      <c r="C393" t="s">
        <v>3359</v>
      </c>
      <c r="D393" t="s">
        <v>697</v>
      </c>
      <c r="E393" t="s">
        <v>3360</v>
      </c>
      <c r="F393" t="s">
        <v>2862</v>
      </c>
      <c r="G393" t="s">
        <v>3361</v>
      </c>
      <c r="H393" t="s">
        <v>3361</v>
      </c>
      <c r="I393" t="s">
        <v>3362</v>
      </c>
      <c r="J393" t="str" cm="1">
        <f t="array" ref="J393">IF(SUM(COUNTIF(Text_Preprocessing__224[[#This Row],[full_text]],{"*makan siang gratis*";"*MBG*";"*makan gratis*";"*makan bergizi gratis*";"*makangratis*";"*makanan gratis*"})),"Relevan","Tidak Relevan")</f>
        <v>Relevan</v>
      </c>
    </row>
    <row r="394" spans="1:11" x14ac:dyDescent="0.35">
      <c r="A394">
        <f t="shared" si="6"/>
        <v>393</v>
      </c>
      <c r="B394">
        <v>404</v>
      </c>
      <c r="C394" t="s">
        <v>3363</v>
      </c>
      <c r="D394" t="s">
        <v>701</v>
      </c>
      <c r="E394" t="s">
        <v>3364</v>
      </c>
      <c r="F394" t="s">
        <v>3365</v>
      </c>
      <c r="G394" t="s">
        <v>3364</v>
      </c>
      <c r="H394" t="s">
        <v>3366</v>
      </c>
      <c r="I394" t="s">
        <v>3367</v>
      </c>
      <c r="J394" t="str" cm="1">
        <f t="array" ref="J394">IF(SUM(COUNTIF(Text_Preprocessing__224[[#This Row],[full_text]],{"*makan siang gratis*";"*MBG*";"*makan gratis*";"*makan bergizi gratis*";"*makangratis*";"*makanan gratis*"})),"Relevan","Tidak Relevan")</f>
        <v>Relevan</v>
      </c>
    </row>
    <row r="395" spans="1:11" x14ac:dyDescent="0.35">
      <c r="A395">
        <f t="shared" si="6"/>
        <v>394</v>
      </c>
      <c r="B395">
        <v>405</v>
      </c>
      <c r="C395" t="s">
        <v>3368</v>
      </c>
      <c r="D395" t="s">
        <v>703</v>
      </c>
      <c r="E395" t="s">
        <v>3369</v>
      </c>
      <c r="F395" t="s">
        <v>2299</v>
      </c>
      <c r="G395" t="s">
        <v>3370</v>
      </c>
      <c r="H395" t="s">
        <v>3371</v>
      </c>
      <c r="I395" t="s">
        <v>3372</v>
      </c>
      <c r="J395" t="str" cm="1">
        <f t="array" ref="J395">IF(SUM(COUNTIF(Text_Preprocessing__224[[#This Row],[full_text]],{"*makan siang gratis*";"*MBG*";"*makan gratis*";"*makan bergizi gratis*";"*makangratis*";"*makanan gratis*"})),"Relevan","Tidak Relevan")</f>
        <v>Relevan</v>
      </c>
    </row>
    <row r="396" spans="1:11" x14ac:dyDescent="0.35">
      <c r="A396">
        <f t="shared" si="6"/>
        <v>395</v>
      </c>
      <c r="B396">
        <v>406</v>
      </c>
      <c r="C396" t="s">
        <v>3373</v>
      </c>
      <c r="D396" t="s">
        <v>705</v>
      </c>
      <c r="E396" t="s">
        <v>3374</v>
      </c>
      <c r="F396" t="s">
        <v>3131</v>
      </c>
      <c r="G396" t="s">
        <v>3374</v>
      </c>
      <c r="H396" t="s">
        <v>3374</v>
      </c>
      <c r="I396" t="s">
        <v>3375</v>
      </c>
      <c r="J396" t="str" cm="1">
        <f t="array" ref="J396">IF(SUM(COUNTIF(Text_Preprocessing__224[[#This Row],[full_text]],{"*makan siang gratis*";"*MBG*";"*makan gratis*";"*makan bergizi gratis*";"*makangratis*";"*makanan gratis*"})),"Relevan","Tidak Relevan")</f>
        <v>Relevan</v>
      </c>
    </row>
    <row r="397" spans="1:11" x14ac:dyDescent="0.35">
      <c r="A397">
        <f t="shared" si="6"/>
        <v>396</v>
      </c>
      <c r="B397">
        <v>407</v>
      </c>
      <c r="C397" t="s">
        <v>3376</v>
      </c>
      <c r="D397" t="s">
        <v>703</v>
      </c>
      <c r="E397" t="s">
        <v>3377</v>
      </c>
      <c r="F397" t="s">
        <v>2041</v>
      </c>
      <c r="G397" t="s">
        <v>3378</v>
      </c>
      <c r="H397" t="s">
        <v>3378</v>
      </c>
      <c r="I397" t="s">
        <v>3379</v>
      </c>
      <c r="J397" t="str" cm="1">
        <f t="array" ref="J397">IF(SUM(COUNTIF(Text_Preprocessing__224[[#This Row],[full_text]],{"*makan siang gratis*";"*MBG*";"*makan gratis*";"*makan bergizi gratis*";"*makangratis*";"*makanan gratis*"})),"Relevan","Tidak Relevan")</f>
        <v>Relevan</v>
      </c>
    </row>
    <row r="398" spans="1:11" x14ac:dyDescent="0.35">
      <c r="A398">
        <f t="shared" si="6"/>
        <v>397</v>
      </c>
      <c r="B398">
        <v>408</v>
      </c>
      <c r="C398" t="s">
        <v>3380</v>
      </c>
      <c r="D398" t="s">
        <v>157</v>
      </c>
      <c r="E398" t="s">
        <v>3381</v>
      </c>
      <c r="F398" t="s">
        <v>2149</v>
      </c>
      <c r="G398" t="s">
        <v>3382</v>
      </c>
      <c r="H398" t="s">
        <v>3382</v>
      </c>
      <c r="I398" t="s">
        <v>3383</v>
      </c>
      <c r="J398" t="str" cm="1">
        <f t="array" ref="J398">IF(SUM(COUNTIF(Text_Preprocessing__224[[#This Row],[full_text]],{"*makan siang gratis*";"*MBG*";"*makan gratis*";"*makan bergizi gratis*";"*makangratis*";"*makanan gratis*"})),"Relevan","Tidak Relevan")</f>
        <v>Relevan</v>
      </c>
    </row>
    <row r="399" spans="1:11" x14ac:dyDescent="0.35">
      <c r="A399">
        <f t="shared" si="6"/>
        <v>398</v>
      </c>
      <c r="B399">
        <v>409</v>
      </c>
      <c r="C399" t="s">
        <v>3384</v>
      </c>
      <c r="D399" t="s">
        <v>711</v>
      </c>
      <c r="E399" t="s">
        <v>3385</v>
      </c>
      <c r="F399" t="s">
        <v>1735</v>
      </c>
      <c r="G399" t="s">
        <v>3386</v>
      </c>
      <c r="H399" t="s">
        <v>3386</v>
      </c>
      <c r="I399" t="s">
        <v>3387</v>
      </c>
      <c r="J399" t="str" cm="1">
        <f t="array" ref="J399">IF(SUM(COUNTIF(Text_Preprocessing__224[[#This Row],[full_text]],{"*makan siang gratis*";"*MBG*";"*makan gratis*";"*makan bergizi gratis*";"*makangratis*";"*makanan gratis*"})),"Relevan","Tidak Relevan")</f>
        <v>Relevan</v>
      </c>
    </row>
    <row r="400" spans="1:11" x14ac:dyDescent="0.35">
      <c r="A400">
        <f t="shared" si="6"/>
        <v>399</v>
      </c>
      <c r="B400">
        <v>410</v>
      </c>
      <c r="C400" t="s">
        <v>3388</v>
      </c>
      <c r="D400" t="s">
        <v>713</v>
      </c>
      <c r="E400" t="s">
        <v>3389</v>
      </c>
      <c r="F400" t="s">
        <v>1730</v>
      </c>
      <c r="G400" t="s">
        <v>3390</v>
      </c>
      <c r="H400" t="s">
        <v>3390</v>
      </c>
      <c r="I400" t="s">
        <v>3391</v>
      </c>
      <c r="J400" t="str" cm="1">
        <f t="array" ref="J400">IF(SUM(COUNTIF(Text_Preprocessing__224[[#This Row],[full_text]],{"*makan siang gratis*";"*MBG*";"*makan gratis*";"*makan bergizi gratis*";"*makangratis*";"*makanan gratis*"})),"Relevan","Tidak Relevan")</f>
        <v>Relevan</v>
      </c>
    </row>
    <row r="401" spans="1:11" x14ac:dyDescent="0.35">
      <c r="A401">
        <f t="shared" si="6"/>
        <v>400</v>
      </c>
      <c r="B401">
        <v>411</v>
      </c>
      <c r="C401" t="s">
        <v>3392</v>
      </c>
      <c r="D401" t="s">
        <v>715</v>
      </c>
      <c r="E401" t="s">
        <v>3393</v>
      </c>
      <c r="F401" t="s">
        <v>2210</v>
      </c>
      <c r="G401" t="s">
        <v>3394</v>
      </c>
      <c r="H401" t="s">
        <v>3395</v>
      </c>
      <c r="I401" t="s">
        <v>3396</v>
      </c>
      <c r="J401" t="str" cm="1">
        <f t="array" ref="J401">IF(SUM(COUNTIF(Text_Preprocessing__224[[#This Row],[full_text]],{"*makan siang gratis*";"*MBG*";"*makan gratis*";"*makan bergizi gratis*";"*makangratis*";"*makanan gratis*"})),"Relevan","Tidak Relevan")</f>
        <v>Relevan</v>
      </c>
    </row>
    <row r="402" spans="1:11" x14ac:dyDescent="0.35">
      <c r="A402">
        <f t="shared" si="6"/>
        <v>401</v>
      </c>
      <c r="B402">
        <v>412</v>
      </c>
      <c r="C402" t="s">
        <v>3397</v>
      </c>
      <c r="D402" t="s">
        <v>76</v>
      </c>
      <c r="E402" t="s">
        <v>3398</v>
      </c>
      <c r="F402" t="s">
        <v>1853</v>
      </c>
      <c r="G402" t="s">
        <v>3399</v>
      </c>
      <c r="H402" t="s">
        <v>3399</v>
      </c>
      <c r="I402" t="s">
        <v>3400</v>
      </c>
      <c r="J402" t="str" cm="1">
        <f t="array" ref="J402">IF(SUM(COUNTIF(Text_Preprocessing__224[[#This Row],[full_text]],{"*makan siang gratis*";"*MBG*";"*makan gratis*";"*makan bergizi gratis*";"*makangratis*";"*makanan gratis*"})),"Relevan","Tidak Relevan")</f>
        <v>Relevan</v>
      </c>
    </row>
    <row r="403" spans="1:11" x14ac:dyDescent="0.35">
      <c r="A403">
        <f t="shared" si="6"/>
        <v>402</v>
      </c>
      <c r="B403">
        <v>413</v>
      </c>
      <c r="C403" t="s">
        <v>3401</v>
      </c>
      <c r="D403" t="s">
        <v>718</v>
      </c>
      <c r="E403" t="s">
        <v>3402</v>
      </c>
      <c r="F403" t="s">
        <v>2748</v>
      </c>
      <c r="G403" t="s">
        <v>3403</v>
      </c>
      <c r="H403" t="s">
        <v>3403</v>
      </c>
      <c r="I403" t="s">
        <v>3404</v>
      </c>
      <c r="J403" t="str" cm="1">
        <f t="array" ref="J403">IF(SUM(COUNTIF(Text_Preprocessing__224[[#This Row],[full_text]],{"*makan siang gratis*";"*MBG*";"*makan gratis*";"*makan bergizi gratis*";"*makangratis*";"*makanan gratis*"})),"Relevan","Tidak Relevan")</f>
        <v>Relevan</v>
      </c>
    </row>
    <row r="404" spans="1:11" x14ac:dyDescent="0.35">
      <c r="A404">
        <f t="shared" si="6"/>
        <v>403</v>
      </c>
      <c r="B404">
        <v>414</v>
      </c>
      <c r="C404" t="s">
        <v>3405</v>
      </c>
      <c r="D404" t="s">
        <v>105</v>
      </c>
      <c r="E404" t="s">
        <v>3406</v>
      </c>
      <c r="F404" t="s">
        <v>2599</v>
      </c>
      <c r="G404" t="s">
        <v>3407</v>
      </c>
      <c r="H404" t="s">
        <v>3407</v>
      </c>
      <c r="I404" t="s">
        <v>3408</v>
      </c>
      <c r="J404" t="str" cm="1">
        <f t="array" ref="J404">IF(SUM(COUNTIF(Text_Preprocessing__224[[#This Row],[full_text]],{"*makan siang gratis*";"*MBG*";"*makan gratis*";"*makan bergizi gratis*";"*makangratis*";"*makanan gratis*"})),"Relevan","Tidak Relevan")</f>
        <v>Tidak Relevan</v>
      </c>
      <c r="K404" t="s">
        <v>3622</v>
      </c>
    </row>
    <row r="405" spans="1:11" x14ac:dyDescent="0.35">
      <c r="A405">
        <f t="shared" si="6"/>
        <v>404</v>
      </c>
      <c r="B405">
        <v>415</v>
      </c>
      <c r="C405" t="s">
        <v>3409</v>
      </c>
      <c r="D405" t="s">
        <v>721</v>
      </c>
      <c r="E405" t="s">
        <v>3410</v>
      </c>
      <c r="F405" t="s">
        <v>2143</v>
      </c>
      <c r="G405" t="s">
        <v>3411</v>
      </c>
      <c r="H405" t="s">
        <v>3411</v>
      </c>
      <c r="I405" t="s">
        <v>3412</v>
      </c>
      <c r="J405" t="str" cm="1">
        <f t="array" ref="J405">IF(SUM(COUNTIF(Text_Preprocessing__224[[#This Row],[full_text]],{"*makan siang gratis*";"*MBG*";"*makan gratis*";"*makan bergizi gratis*";"*makangratis*";"*makanan gratis*"})),"Relevan","Tidak Relevan")</f>
        <v>Relevan</v>
      </c>
    </row>
    <row r="406" spans="1:11" x14ac:dyDescent="0.35">
      <c r="A406">
        <f t="shared" si="6"/>
        <v>405</v>
      </c>
      <c r="B406">
        <v>416</v>
      </c>
      <c r="C406" t="s">
        <v>3413</v>
      </c>
      <c r="D406" t="s">
        <v>653</v>
      </c>
      <c r="E406" t="s">
        <v>3414</v>
      </c>
      <c r="F406" t="s">
        <v>2640</v>
      </c>
      <c r="G406" t="s">
        <v>3415</v>
      </c>
      <c r="H406" t="s">
        <v>3701</v>
      </c>
      <c r="I406" t="s">
        <v>3702</v>
      </c>
      <c r="J406" t="str" cm="1">
        <f t="array" ref="J406">IF(SUM(COUNTIF(Text_Preprocessing__224[[#This Row],[full_text]],{"*makan siang gratis*";"*MBG*";"*makan gratis*";"*makan bergizi gratis*";"*makangratis*";"*makanan gratis*"})),"Relevan","Tidak Relevan")</f>
        <v>Relevan</v>
      </c>
    </row>
    <row r="407" spans="1:11" x14ac:dyDescent="0.35">
      <c r="A407">
        <f t="shared" si="6"/>
        <v>406</v>
      </c>
      <c r="B407">
        <v>417</v>
      </c>
      <c r="C407" t="s">
        <v>3417</v>
      </c>
      <c r="D407" t="s">
        <v>510</v>
      </c>
      <c r="E407" t="s">
        <v>3418</v>
      </c>
      <c r="F407" t="s">
        <v>2640</v>
      </c>
      <c r="G407" t="s">
        <v>3419</v>
      </c>
      <c r="H407" t="s">
        <v>3419</v>
      </c>
      <c r="I407" t="s">
        <v>3420</v>
      </c>
      <c r="J407" t="str" cm="1">
        <f t="array" ref="J407">IF(SUM(COUNTIF(Text_Preprocessing__224[[#This Row],[full_text]],{"*makan siang gratis*";"*MBG*";"*makan gratis*";"*makan bergizi gratis*";"*makangratis*";"*makanan gratis*"})),"Relevan","Tidak Relevan")</f>
        <v>Relevan</v>
      </c>
    </row>
    <row r="408" spans="1:11" x14ac:dyDescent="0.35">
      <c r="A408">
        <f t="shared" si="6"/>
        <v>407</v>
      </c>
      <c r="B408">
        <v>418</v>
      </c>
      <c r="C408" t="s">
        <v>3421</v>
      </c>
      <c r="D408" t="s">
        <v>172</v>
      </c>
      <c r="E408" t="s">
        <v>3422</v>
      </c>
      <c r="F408" t="s">
        <v>2109</v>
      </c>
      <c r="G408" t="s">
        <v>3423</v>
      </c>
      <c r="H408" t="s">
        <v>3423</v>
      </c>
      <c r="I408" t="s">
        <v>3424</v>
      </c>
      <c r="J408" t="str" cm="1">
        <f t="array" ref="J408">IF(SUM(COUNTIF(Text_Preprocessing__224[[#This Row],[full_text]],{"*makan siang gratis*";"*MBG*";"*makan gratis*";"*makan bergizi gratis*";"*makangratis*";"*makanan gratis*"})),"Relevan","Tidak Relevan")</f>
        <v>Relevan</v>
      </c>
    </row>
    <row r="409" spans="1:11" x14ac:dyDescent="0.35">
      <c r="A409">
        <f t="shared" si="6"/>
        <v>408</v>
      </c>
      <c r="B409">
        <v>419</v>
      </c>
      <c r="C409" t="s">
        <v>3425</v>
      </c>
      <c r="D409" t="s">
        <v>726</v>
      </c>
      <c r="E409" t="s">
        <v>3426</v>
      </c>
      <c r="F409" t="s">
        <v>1844</v>
      </c>
      <c r="G409" t="s">
        <v>3427</v>
      </c>
      <c r="H409" t="s">
        <v>3428</v>
      </c>
      <c r="I409" t="s">
        <v>3429</v>
      </c>
      <c r="J409" t="str" cm="1">
        <f t="array" ref="J409">IF(SUM(COUNTIF(Text_Preprocessing__224[[#This Row],[full_text]],{"*makan siang gratis*";"*MBG*";"*makan gratis*";"*makan bergizi gratis*";"*makangratis*";"*makanan gratis*"})),"Relevan","Tidak Relevan")</f>
        <v>Relevan</v>
      </c>
    </row>
    <row r="410" spans="1:11" x14ac:dyDescent="0.35">
      <c r="A410">
        <f t="shared" si="6"/>
        <v>409</v>
      </c>
      <c r="B410">
        <v>420</v>
      </c>
      <c r="C410" t="s">
        <v>3430</v>
      </c>
      <c r="D410" t="s">
        <v>565</v>
      </c>
      <c r="E410" t="s">
        <v>3431</v>
      </c>
      <c r="F410" t="s">
        <v>2082</v>
      </c>
      <c r="G410" t="s">
        <v>3432</v>
      </c>
      <c r="H410" t="s">
        <v>3432</v>
      </c>
      <c r="I410" t="s">
        <v>3433</v>
      </c>
      <c r="J410" t="str" cm="1">
        <f t="array" ref="J410">IF(SUM(COUNTIF(Text_Preprocessing__224[[#This Row],[full_text]],{"*makan siang gratis*";"*MBG*";"*makan gratis*";"*makan bergizi gratis*";"*makangratis*";"*makanan gratis*"})),"Relevan","Tidak Relevan")</f>
        <v>Relevan</v>
      </c>
    </row>
    <row r="411" spans="1:11" x14ac:dyDescent="0.35">
      <c r="A411">
        <f t="shared" si="6"/>
        <v>410</v>
      </c>
      <c r="B411">
        <v>421</v>
      </c>
      <c r="C411" t="s">
        <v>3434</v>
      </c>
      <c r="D411" t="s">
        <v>442</v>
      </c>
      <c r="E411" t="s">
        <v>3435</v>
      </c>
      <c r="F411" t="s">
        <v>1629</v>
      </c>
      <c r="G411" t="s">
        <v>3436</v>
      </c>
      <c r="H411" t="s">
        <v>3436</v>
      </c>
      <c r="I411" t="s">
        <v>3437</v>
      </c>
      <c r="J411" t="str" cm="1">
        <f t="array" ref="J411">IF(SUM(COUNTIF(Text_Preprocessing__224[[#This Row],[full_text]],{"*makan siang gratis*";"*MBG*";"*makan gratis*";"*makan bergizi gratis*";"*makangratis*";"*makanan gratis*"})),"Relevan","Tidak Relevan")</f>
        <v>Relevan</v>
      </c>
    </row>
    <row r="412" spans="1:11" x14ac:dyDescent="0.35">
      <c r="A412">
        <f t="shared" si="6"/>
        <v>411</v>
      </c>
      <c r="B412">
        <v>422</v>
      </c>
      <c r="C412" t="s">
        <v>3438</v>
      </c>
      <c r="D412" t="s">
        <v>730</v>
      </c>
      <c r="E412" t="s">
        <v>3439</v>
      </c>
      <c r="F412" t="s">
        <v>2253</v>
      </c>
      <c r="G412" t="s">
        <v>3440</v>
      </c>
      <c r="H412" t="s">
        <v>3441</v>
      </c>
      <c r="I412" t="s">
        <v>3442</v>
      </c>
      <c r="J412" t="str" cm="1">
        <f t="array" ref="J412">IF(SUM(COUNTIF(Text_Preprocessing__224[[#This Row],[full_text]],{"*makan siang gratis*";"*MBG*";"*makan gratis*";"*makan bergizi gratis*";"*makangratis*";"*makanan gratis*"})),"Relevan","Tidak Relevan")</f>
        <v>Relevan</v>
      </c>
    </row>
    <row r="413" spans="1:11" x14ac:dyDescent="0.35">
      <c r="A413">
        <f t="shared" si="6"/>
        <v>412</v>
      </c>
      <c r="B413">
        <v>423</v>
      </c>
      <c r="C413" t="s">
        <v>3443</v>
      </c>
      <c r="D413" t="s">
        <v>732</v>
      </c>
      <c r="E413" t="s">
        <v>3444</v>
      </c>
      <c r="F413" t="s">
        <v>3445</v>
      </c>
      <c r="G413" t="s">
        <v>3446</v>
      </c>
      <c r="H413" t="s">
        <v>3446</v>
      </c>
      <c r="I413" t="s">
        <v>3447</v>
      </c>
      <c r="J413" t="str" cm="1">
        <f t="array" ref="J413">IF(SUM(COUNTIF(Text_Preprocessing__224[[#This Row],[full_text]],{"*makan siang gratis*";"*MBG*";"*makan gratis*";"*makan bergizi gratis*";"*makangratis*";"*makanan gratis*"})),"Relevan","Tidak Relevan")</f>
        <v>Relevan</v>
      </c>
    </row>
    <row r="414" spans="1:11" x14ac:dyDescent="0.35">
      <c r="A414">
        <f t="shared" si="6"/>
        <v>413</v>
      </c>
      <c r="B414">
        <v>424</v>
      </c>
      <c r="C414" t="s">
        <v>3448</v>
      </c>
      <c r="D414" t="s">
        <v>734</v>
      </c>
      <c r="E414" t="s">
        <v>3449</v>
      </c>
      <c r="F414" t="s">
        <v>1799</v>
      </c>
      <c r="G414" t="s">
        <v>3450</v>
      </c>
      <c r="H414" t="s">
        <v>3450</v>
      </c>
      <c r="I414" t="s">
        <v>3451</v>
      </c>
      <c r="J414" t="str" cm="1">
        <f t="array" ref="J414">IF(SUM(COUNTIF(Text_Preprocessing__224[[#This Row],[full_text]],{"*makan siang gratis*";"*MBG*";"*makan gratis*";"*makan bergizi gratis*";"*makangratis*";"*makanan gratis*"})),"Relevan","Tidak Relevan")</f>
        <v>Relevan</v>
      </c>
    </row>
    <row r="415" spans="1:11" x14ac:dyDescent="0.35">
      <c r="A415">
        <f t="shared" si="6"/>
        <v>414</v>
      </c>
      <c r="B415">
        <v>425</v>
      </c>
      <c r="C415" t="s">
        <v>3452</v>
      </c>
      <c r="D415" t="s">
        <v>703</v>
      </c>
      <c r="E415" t="s">
        <v>3453</v>
      </c>
      <c r="F415" t="s">
        <v>3454</v>
      </c>
      <c r="G415" t="s">
        <v>3455</v>
      </c>
      <c r="H415" t="s">
        <v>3455</v>
      </c>
      <c r="I415" t="s">
        <v>3456</v>
      </c>
      <c r="J415" t="str" cm="1">
        <f t="array" ref="J415">IF(SUM(COUNTIF(Text_Preprocessing__224[[#This Row],[full_text]],{"*makan siang gratis*";"*MBG*";"*makan gratis*";"*makan bergizi gratis*";"*makangratis*";"*makanan gratis*"})),"Relevan","Tidak Relevan")</f>
        <v>Relevan</v>
      </c>
    </row>
    <row r="416" spans="1:11" x14ac:dyDescent="0.35">
      <c r="A416">
        <f t="shared" si="6"/>
        <v>415</v>
      </c>
      <c r="B416">
        <v>426</v>
      </c>
      <c r="C416" t="s">
        <v>3457</v>
      </c>
      <c r="D416" t="s">
        <v>737</v>
      </c>
      <c r="E416" t="s">
        <v>3458</v>
      </c>
      <c r="F416" t="s">
        <v>3459</v>
      </c>
      <c r="G416" t="s">
        <v>3460</v>
      </c>
      <c r="H416" t="s">
        <v>3460</v>
      </c>
      <c r="I416" t="s">
        <v>3461</v>
      </c>
      <c r="J416" t="str" cm="1">
        <f t="array" ref="J416">IF(SUM(COUNTIF(Text_Preprocessing__224[[#This Row],[full_text]],{"*makan siang gratis*";"*MBG*";"*makan gratis*";"*makan bergizi gratis*";"*makangratis*";"*makanan gratis*"})),"Relevan","Tidak Relevan")</f>
        <v>Relevan</v>
      </c>
    </row>
    <row r="417" spans="1:11" x14ac:dyDescent="0.35">
      <c r="A417">
        <f t="shared" si="6"/>
        <v>416</v>
      </c>
      <c r="B417">
        <v>427</v>
      </c>
      <c r="C417" t="s">
        <v>3462</v>
      </c>
      <c r="D417" t="s">
        <v>739</v>
      </c>
      <c r="E417" t="s">
        <v>3463</v>
      </c>
      <c r="F417" t="s">
        <v>1607</v>
      </c>
      <c r="G417" t="s">
        <v>3464</v>
      </c>
      <c r="H417" t="s">
        <v>3464</v>
      </c>
      <c r="I417" t="s">
        <v>3465</v>
      </c>
      <c r="J417" t="str" cm="1">
        <f t="array" ref="J417">IF(SUM(COUNTIF(Text_Preprocessing__224[[#This Row],[full_text]],{"*makan siang gratis*";"*MBG*";"*makan gratis*";"*makan bergizi gratis*";"*makangratis*";"*makanan gratis*"})),"Relevan","Tidak Relevan")</f>
        <v>Relevan</v>
      </c>
    </row>
    <row r="418" spans="1:11" x14ac:dyDescent="0.35">
      <c r="A418">
        <f t="shared" si="6"/>
        <v>417</v>
      </c>
      <c r="B418">
        <v>428</v>
      </c>
      <c r="C418" t="s">
        <v>3466</v>
      </c>
      <c r="D418" t="s">
        <v>739</v>
      </c>
      <c r="E418" t="s">
        <v>3467</v>
      </c>
      <c r="F418" t="s">
        <v>3468</v>
      </c>
      <c r="G418" t="s">
        <v>3469</v>
      </c>
      <c r="H418" t="s">
        <v>3469</v>
      </c>
      <c r="I418" t="s">
        <v>3470</v>
      </c>
      <c r="J418" t="str" cm="1">
        <f t="array" ref="J418">IF(SUM(COUNTIF(Text_Preprocessing__224[[#This Row],[full_text]],{"*makan siang gratis*";"*MBG*";"*makan gratis*";"*makan bergizi gratis*";"*makangratis*";"*makanan gratis*"})),"Relevan","Tidak Relevan")</f>
        <v>Relevan</v>
      </c>
    </row>
    <row r="419" spans="1:11" x14ac:dyDescent="0.35">
      <c r="A419">
        <f t="shared" si="6"/>
        <v>418</v>
      </c>
      <c r="B419">
        <v>429</v>
      </c>
      <c r="C419" t="s">
        <v>3471</v>
      </c>
      <c r="D419" t="s">
        <v>742</v>
      </c>
      <c r="E419" t="s">
        <v>3472</v>
      </c>
      <c r="F419" t="s">
        <v>1686</v>
      </c>
      <c r="G419" t="s">
        <v>3473</v>
      </c>
      <c r="H419" t="s">
        <v>3473</v>
      </c>
      <c r="I419" t="s">
        <v>3474</v>
      </c>
      <c r="J419" t="str" cm="1">
        <f t="array" ref="J419">IF(SUM(COUNTIF(Text_Preprocessing__224[[#This Row],[full_text]],{"*makan siang gratis*";"*MBG*";"*makan gratis*";"*makan bergizi gratis*";"*makangratis*";"*makanan gratis*"})),"Relevan","Tidak Relevan")</f>
        <v>Relevan</v>
      </c>
    </row>
    <row r="420" spans="1:11" x14ac:dyDescent="0.35">
      <c r="A420">
        <f t="shared" si="6"/>
        <v>419</v>
      </c>
      <c r="B420">
        <v>430</v>
      </c>
      <c r="C420" t="s">
        <v>3475</v>
      </c>
      <c r="D420" t="s">
        <v>379</v>
      </c>
      <c r="E420" t="s">
        <v>3476</v>
      </c>
      <c r="F420" t="s">
        <v>2159</v>
      </c>
      <c r="G420" t="s">
        <v>3477</v>
      </c>
      <c r="H420" t="s">
        <v>3703</v>
      </c>
      <c r="I420" t="s">
        <v>3704</v>
      </c>
      <c r="J420" t="str" cm="1">
        <f t="array" ref="J420">IF(SUM(COUNTIF(Text_Preprocessing__224[[#This Row],[full_text]],{"*makan siang gratis*";"*MBG*";"*makan gratis*";"*makan bergizi gratis*";"*makangratis*";"*makanan gratis*"})),"Relevan","Tidak Relevan")</f>
        <v>Relevan</v>
      </c>
    </row>
    <row r="421" spans="1:11" x14ac:dyDescent="0.35">
      <c r="A421">
        <f t="shared" si="6"/>
        <v>420</v>
      </c>
      <c r="B421">
        <v>431</v>
      </c>
      <c r="C421" t="s">
        <v>3479</v>
      </c>
      <c r="D421" t="s">
        <v>746</v>
      </c>
      <c r="E421" t="s">
        <v>3480</v>
      </c>
      <c r="F421" t="s">
        <v>3481</v>
      </c>
      <c r="G421" t="s">
        <v>3482</v>
      </c>
      <c r="H421" t="s">
        <v>3482</v>
      </c>
      <c r="I421" t="s">
        <v>3483</v>
      </c>
      <c r="J421" t="str" cm="1">
        <f t="array" ref="J421">IF(SUM(COUNTIF(Text_Preprocessing__224[[#This Row],[full_text]],{"*makan siang gratis*";"*MBG*";"*makan gratis*";"*makan bergizi gratis*";"*makangratis*";"*makanan gratis*"})),"Relevan","Tidak Relevan")</f>
        <v>Relevan</v>
      </c>
    </row>
    <row r="422" spans="1:11" x14ac:dyDescent="0.35">
      <c r="A422">
        <f t="shared" si="6"/>
        <v>421</v>
      </c>
      <c r="B422">
        <v>432</v>
      </c>
      <c r="C422" t="s">
        <v>3484</v>
      </c>
      <c r="D422" t="s">
        <v>748</v>
      </c>
      <c r="E422" t="s">
        <v>3485</v>
      </c>
      <c r="F422" t="s">
        <v>2069</v>
      </c>
      <c r="G422" t="s">
        <v>3486</v>
      </c>
      <c r="H422" t="s">
        <v>3487</v>
      </c>
      <c r="I422" t="s">
        <v>3488</v>
      </c>
      <c r="J422" t="str" cm="1">
        <f t="array" ref="J422">IF(SUM(COUNTIF(Text_Preprocessing__224[[#This Row],[full_text]],{"*makan siang gratis*";"*MBG*";"*makan gratis*";"*makan bergizi gratis*";"*makangratis*";"*makanan gratis*"})),"Relevan","Tidak Relevan")</f>
        <v>Relevan</v>
      </c>
    </row>
    <row r="423" spans="1:11" x14ac:dyDescent="0.35">
      <c r="A423">
        <f t="shared" si="6"/>
        <v>422</v>
      </c>
      <c r="B423">
        <v>433</v>
      </c>
      <c r="C423" t="s">
        <v>3489</v>
      </c>
      <c r="D423" t="s">
        <v>750</v>
      </c>
      <c r="E423" t="s">
        <v>3490</v>
      </c>
      <c r="F423" t="s">
        <v>1990</v>
      </c>
      <c r="G423" t="s">
        <v>3491</v>
      </c>
      <c r="H423" t="s">
        <v>3491</v>
      </c>
      <c r="I423" t="s">
        <v>3492</v>
      </c>
      <c r="J423" t="str" cm="1">
        <f t="array" ref="J423">IF(SUM(COUNTIF(Text_Preprocessing__224[[#This Row],[full_text]],{"*makan siang gratis*";"*MBG*";"*makan gratis*";"*makan bergizi gratis*";"*makangratis*";"*makanan gratis*"})),"Relevan","Tidak Relevan")</f>
        <v>Relevan</v>
      </c>
    </row>
    <row r="424" spans="1:11" x14ac:dyDescent="0.35">
      <c r="A424">
        <f t="shared" si="6"/>
        <v>423</v>
      </c>
      <c r="B424">
        <v>434</v>
      </c>
      <c r="C424" t="s">
        <v>3493</v>
      </c>
      <c r="D424" t="s">
        <v>752</v>
      </c>
      <c r="E424" t="s">
        <v>3494</v>
      </c>
      <c r="F424" t="s">
        <v>2229</v>
      </c>
      <c r="G424" t="s">
        <v>3495</v>
      </c>
      <c r="H424" t="s">
        <v>3495</v>
      </c>
      <c r="I424" t="s">
        <v>3496</v>
      </c>
      <c r="J424" t="str" cm="1">
        <f t="array" ref="J424">IF(SUM(COUNTIF(Text_Preprocessing__224[[#This Row],[full_text]],{"*makan siang gratis*";"*MBG*";"*makan gratis*";"*makan bergizi gratis*";"*makangratis*";"*makanan gratis*"})),"Relevan","Tidak Relevan")</f>
        <v>Relevan</v>
      </c>
    </row>
    <row r="425" spans="1:11" x14ac:dyDescent="0.35">
      <c r="A425">
        <f t="shared" si="6"/>
        <v>424</v>
      </c>
      <c r="B425">
        <v>435</v>
      </c>
      <c r="C425" t="s">
        <v>3497</v>
      </c>
      <c r="D425" t="s">
        <v>754</v>
      </c>
      <c r="E425" t="s">
        <v>3498</v>
      </c>
      <c r="F425" t="s">
        <v>2609</v>
      </c>
      <c r="G425" t="s">
        <v>3499</v>
      </c>
      <c r="H425" t="s">
        <v>3500</v>
      </c>
      <c r="I425" t="s">
        <v>3501</v>
      </c>
      <c r="J425" t="str" cm="1">
        <f t="array" ref="J425">IF(SUM(COUNTIF(Text_Preprocessing__224[[#This Row],[full_text]],{"*makan siang gratis*";"*MBG*";"*makan gratis*";"*makan bergizi gratis*";"*makangratis*";"*makanan gratis*"})),"Relevan","Tidak Relevan")</f>
        <v>Relevan</v>
      </c>
    </row>
    <row r="426" spans="1:11" x14ac:dyDescent="0.35">
      <c r="A426">
        <f t="shared" si="6"/>
        <v>425</v>
      </c>
      <c r="B426">
        <v>436</v>
      </c>
      <c r="C426" t="s">
        <v>3502</v>
      </c>
      <c r="D426" t="s">
        <v>754</v>
      </c>
      <c r="E426" t="s">
        <v>3503</v>
      </c>
      <c r="F426" t="s">
        <v>2299</v>
      </c>
      <c r="G426" t="s">
        <v>3504</v>
      </c>
      <c r="H426" t="s">
        <v>3505</v>
      </c>
      <c r="I426" t="s">
        <v>3506</v>
      </c>
      <c r="J426" t="str" cm="1">
        <f t="array" ref="J426">IF(SUM(COUNTIF(Text_Preprocessing__224[[#This Row],[full_text]],{"*makan siang gratis*";"*MBG*";"*makan gratis*";"*makan bergizi gratis*";"*makangratis*";"*makanan gratis*"})),"Relevan","Tidak Relevan")</f>
        <v>Relevan</v>
      </c>
    </row>
    <row r="427" spans="1:11" x14ac:dyDescent="0.35">
      <c r="A427">
        <f t="shared" si="6"/>
        <v>426</v>
      </c>
      <c r="B427">
        <v>437</v>
      </c>
      <c r="C427" t="s">
        <v>3507</v>
      </c>
      <c r="D427" t="s">
        <v>757</v>
      </c>
      <c r="E427" t="s">
        <v>3508</v>
      </c>
      <c r="F427" t="s">
        <v>2782</v>
      </c>
      <c r="G427" t="s">
        <v>3509</v>
      </c>
      <c r="H427" t="s">
        <v>3510</v>
      </c>
      <c r="I427" t="s">
        <v>3511</v>
      </c>
      <c r="J427" t="str" cm="1">
        <f t="array" ref="J427">IF(SUM(COUNTIF(Text_Preprocessing__224[[#This Row],[full_text]],{"*makan siang gratis*";"*MBG*";"*makan gratis*";"*makan bergizi gratis*";"*makangratis*";"*makanan gratis*"})),"Relevan","Tidak Relevan")</f>
        <v>Tidak Relevan</v>
      </c>
      <c r="K427" t="s">
        <v>3622</v>
      </c>
    </row>
    <row r="428" spans="1:11" x14ac:dyDescent="0.35">
      <c r="A428">
        <f t="shared" si="6"/>
        <v>427</v>
      </c>
      <c r="B428">
        <v>438</v>
      </c>
      <c r="C428" t="s">
        <v>3512</v>
      </c>
      <c r="D428" t="s">
        <v>442</v>
      </c>
      <c r="E428" t="s">
        <v>3513</v>
      </c>
      <c r="F428" t="s">
        <v>1652</v>
      </c>
      <c r="G428" t="s">
        <v>3514</v>
      </c>
      <c r="H428" t="s">
        <v>3514</v>
      </c>
      <c r="I428" t="s">
        <v>3515</v>
      </c>
      <c r="J428" t="str" cm="1">
        <f t="array" ref="J428">IF(SUM(COUNTIF(Text_Preprocessing__224[[#This Row],[full_text]],{"*makan siang gratis*";"*MBG*";"*makan gratis*";"*makan bergizi gratis*";"*makangratis*";"*makanan gratis*"})),"Relevan","Tidak Relevan")</f>
        <v>Relevan</v>
      </c>
    </row>
    <row r="429" spans="1:11" x14ac:dyDescent="0.35">
      <c r="A429">
        <f t="shared" si="6"/>
        <v>428</v>
      </c>
      <c r="B429">
        <v>439</v>
      </c>
      <c r="C429" t="s">
        <v>3516</v>
      </c>
      <c r="D429" t="s">
        <v>760</v>
      </c>
      <c r="E429" t="s">
        <v>3517</v>
      </c>
      <c r="F429" t="s">
        <v>1624</v>
      </c>
      <c r="G429" t="s">
        <v>3518</v>
      </c>
      <c r="H429" t="s">
        <v>3519</v>
      </c>
      <c r="I429" t="s">
        <v>3520</v>
      </c>
      <c r="J429" t="str" cm="1">
        <f t="array" ref="J429">IF(SUM(COUNTIF(Text_Preprocessing__224[[#This Row],[full_text]],{"*makan siang gratis*";"*MBG*";"*makan gratis*";"*makan bergizi gratis*";"*makangratis*";"*makanan gratis*"})),"Relevan","Tidak Relevan")</f>
        <v>Tidak Relevan</v>
      </c>
      <c r="K429" t="s">
        <v>3622</v>
      </c>
    </row>
    <row r="430" spans="1:11" x14ac:dyDescent="0.35">
      <c r="A430">
        <f t="shared" si="6"/>
        <v>429</v>
      </c>
      <c r="B430">
        <v>440</v>
      </c>
      <c r="C430" t="s">
        <v>3521</v>
      </c>
      <c r="D430" t="s">
        <v>762</v>
      </c>
      <c r="E430" t="s">
        <v>3522</v>
      </c>
      <c r="F430" t="s">
        <v>2272</v>
      </c>
      <c r="G430" t="s">
        <v>3523</v>
      </c>
      <c r="H430" t="s">
        <v>3523</v>
      </c>
      <c r="I430" t="s">
        <v>3524</v>
      </c>
      <c r="J430" t="str" cm="1">
        <f t="array" ref="J430">IF(SUM(COUNTIF(Text_Preprocessing__224[[#This Row],[full_text]],{"*makan siang gratis*";"*MBG*";"*makan gratis*";"*makan bergizi gratis*";"*makangratis*";"*makanan gratis*"})),"Relevan","Tidak Relevan")</f>
        <v>Relevan</v>
      </c>
    </row>
    <row r="431" spans="1:11" x14ac:dyDescent="0.35">
      <c r="A431">
        <f t="shared" si="6"/>
        <v>430</v>
      </c>
      <c r="B431">
        <v>441</v>
      </c>
      <c r="C431" t="s">
        <v>3525</v>
      </c>
      <c r="D431" t="s">
        <v>764</v>
      </c>
      <c r="E431" t="s">
        <v>3526</v>
      </c>
      <c r="F431" t="s">
        <v>1707</v>
      </c>
      <c r="G431" t="s">
        <v>3527</v>
      </c>
      <c r="H431" t="s">
        <v>3527</v>
      </c>
      <c r="I431" t="s">
        <v>3528</v>
      </c>
      <c r="J431" t="str" cm="1">
        <f t="array" ref="J431">IF(SUM(COUNTIF(Text_Preprocessing__224[[#This Row],[full_text]],{"*makan siang gratis*";"*MBG*";"*makan gratis*";"*makan bergizi gratis*";"*makangratis*";"*makanan gratis*"})),"Relevan","Tidak Relevan")</f>
        <v>Relevan</v>
      </c>
    </row>
    <row r="432" spans="1:11" x14ac:dyDescent="0.35">
      <c r="A432">
        <f t="shared" si="6"/>
        <v>431</v>
      </c>
      <c r="B432">
        <v>442</v>
      </c>
      <c r="C432" t="s">
        <v>3529</v>
      </c>
      <c r="D432" t="s">
        <v>766</v>
      </c>
      <c r="E432" t="s">
        <v>3530</v>
      </c>
      <c r="F432" t="s">
        <v>1758</v>
      </c>
      <c r="G432" t="s">
        <v>3531</v>
      </c>
      <c r="H432" t="s">
        <v>3531</v>
      </c>
      <c r="I432" t="s">
        <v>3532</v>
      </c>
      <c r="J432" t="str" cm="1">
        <f t="array" ref="J432">IF(SUM(COUNTIF(Text_Preprocessing__224[[#This Row],[full_text]],{"*makan siang gratis*";"*MBG*";"*makan gratis*";"*makan bergizi gratis*";"*makangratis*";"*makanan gratis*"})),"Relevan","Tidak Relevan")</f>
        <v>Relevan</v>
      </c>
    </row>
    <row r="433" spans="1:11" x14ac:dyDescent="0.35">
      <c r="A433">
        <f t="shared" si="6"/>
        <v>432</v>
      </c>
      <c r="B433">
        <v>443</v>
      </c>
      <c r="C433" t="s">
        <v>3533</v>
      </c>
      <c r="D433" t="s">
        <v>561</v>
      </c>
      <c r="E433" t="s">
        <v>3534</v>
      </c>
      <c r="F433" t="s">
        <v>2335</v>
      </c>
      <c r="G433" t="s">
        <v>3535</v>
      </c>
      <c r="H433" t="s">
        <v>3535</v>
      </c>
      <c r="I433" t="s">
        <v>3536</v>
      </c>
      <c r="J433" t="str" cm="1">
        <f t="array" ref="J433">IF(SUM(COUNTIF(Text_Preprocessing__224[[#This Row],[full_text]],{"*makan siang gratis*";"*MBG*";"*makan gratis*";"*makan bergizi gratis*";"*makangratis*";"*makanan gratis*"})),"Relevan","Tidak Relevan")</f>
        <v>Relevan</v>
      </c>
    </row>
    <row r="434" spans="1:11" x14ac:dyDescent="0.35">
      <c r="A434">
        <f t="shared" si="6"/>
        <v>433</v>
      </c>
      <c r="B434">
        <v>444</v>
      </c>
      <c r="C434" t="s">
        <v>3537</v>
      </c>
      <c r="D434" t="s">
        <v>76</v>
      </c>
      <c r="E434" t="s">
        <v>3538</v>
      </c>
      <c r="F434" t="s">
        <v>3539</v>
      </c>
      <c r="G434" t="s">
        <v>3540</v>
      </c>
      <c r="H434" t="s">
        <v>3540</v>
      </c>
      <c r="I434" t="s">
        <v>3541</v>
      </c>
      <c r="J434" t="str" cm="1">
        <f t="array" ref="J434">IF(SUM(COUNTIF(Text_Preprocessing__224[[#This Row],[full_text]],{"*makan siang gratis*";"*MBG*";"*makan gratis*";"*makan bergizi gratis*";"*makangratis*";"*makanan gratis*"})),"Relevan","Tidak Relevan")</f>
        <v>Relevan</v>
      </c>
    </row>
    <row r="435" spans="1:11" x14ac:dyDescent="0.35">
      <c r="A435">
        <f t="shared" si="6"/>
        <v>434</v>
      </c>
      <c r="B435">
        <v>445</v>
      </c>
      <c r="C435" t="s">
        <v>3542</v>
      </c>
      <c r="D435" t="s">
        <v>772</v>
      </c>
      <c r="E435" t="s">
        <v>3543</v>
      </c>
      <c r="F435" t="s">
        <v>1888</v>
      </c>
      <c r="G435" t="s">
        <v>3544</v>
      </c>
      <c r="H435" t="s">
        <v>3544</v>
      </c>
      <c r="I435" t="s">
        <v>3545</v>
      </c>
      <c r="J435" t="str" cm="1">
        <f t="array" ref="J435">IF(SUM(COUNTIF(Text_Preprocessing__224[[#This Row],[full_text]],{"*makan siang gratis*";"*MBG*";"*makan gratis*";"*makan bergizi gratis*";"*makangratis*";"*makanan gratis*"})),"Relevan","Tidak Relevan")</f>
        <v>Relevan</v>
      </c>
    </row>
    <row r="436" spans="1:11" x14ac:dyDescent="0.35">
      <c r="A436">
        <f t="shared" si="6"/>
        <v>435</v>
      </c>
      <c r="B436">
        <v>446</v>
      </c>
      <c r="C436" t="s">
        <v>3546</v>
      </c>
      <c r="D436" t="s">
        <v>772</v>
      </c>
      <c r="E436" t="s">
        <v>3547</v>
      </c>
      <c r="F436" t="s">
        <v>3548</v>
      </c>
      <c r="G436" t="s">
        <v>3549</v>
      </c>
      <c r="H436" t="s">
        <v>3549</v>
      </c>
      <c r="I436" t="s">
        <v>3550</v>
      </c>
      <c r="J436" t="str" cm="1">
        <f t="array" ref="J436">IF(SUM(COUNTIF(Text_Preprocessing__224[[#This Row],[full_text]],{"*makan siang gratis*";"*MBG*";"*makan gratis*";"*makan bergizi gratis*";"*makangratis*";"*makanan gratis*"})),"Relevan","Tidak Relevan")</f>
        <v>Relevan</v>
      </c>
    </row>
    <row r="437" spans="1:11" x14ac:dyDescent="0.35">
      <c r="A437">
        <f t="shared" si="6"/>
        <v>436</v>
      </c>
      <c r="B437">
        <v>447</v>
      </c>
      <c r="C437" t="s">
        <v>3551</v>
      </c>
      <c r="D437" t="s">
        <v>772</v>
      </c>
      <c r="E437" t="s">
        <v>3552</v>
      </c>
      <c r="F437" t="s">
        <v>2234</v>
      </c>
      <c r="G437" t="s">
        <v>3553</v>
      </c>
      <c r="H437" t="s">
        <v>3553</v>
      </c>
      <c r="I437" t="s">
        <v>3554</v>
      </c>
      <c r="J437" t="str" cm="1">
        <f t="array" ref="J437">IF(SUM(COUNTIF(Text_Preprocessing__224[[#This Row],[full_text]],{"*makan siang gratis*";"*MBG*";"*makan gratis*";"*makan bergizi gratis*";"*makangratis*";"*makanan gratis*"})),"Relevan","Tidak Relevan")</f>
        <v>Relevan</v>
      </c>
    </row>
    <row r="438" spans="1:11" x14ac:dyDescent="0.35">
      <c r="A438">
        <f t="shared" si="6"/>
        <v>437</v>
      </c>
      <c r="B438">
        <v>448</v>
      </c>
      <c r="C438" t="s">
        <v>3555</v>
      </c>
      <c r="D438" t="s">
        <v>772</v>
      </c>
      <c r="E438" t="s">
        <v>3556</v>
      </c>
      <c r="F438" t="s">
        <v>1844</v>
      </c>
      <c r="G438" t="s">
        <v>3557</v>
      </c>
      <c r="H438" t="s">
        <v>3557</v>
      </c>
      <c r="I438" t="s">
        <v>3558</v>
      </c>
      <c r="J438" t="str" cm="1">
        <f t="array" ref="J438">IF(SUM(COUNTIF(Text_Preprocessing__224[[#This Row],[full_text]],{"*makan siang gratis*";"*MBG*";"*makan gratis*";"*makan bergizi gratis*";"*makangratis*";"*makanan gratis*"})),"Relevan","Tidak Relevan")</f>
        <v>Relevan</v>
      </c>
    </row>
    <row r="439" spans="1:11" x14ac:dyDescent="0.35">
      <c r="A439">
        <f t="shared" si="6"/>
        <v>438</v>
      </c>
      <c r="B439">
        <v>449</v>
      </c>
      <c r="C439" t="s">
        <v>3559</v>
      </c>
      <c r="D439" t="s">
        <v>772</v>
      </c>
      <c r="E439" t="s">
        <v>3560</v>
      </c>
      <c r="F439" t="s">
        <v>3561</v>
      </c>
      <c r="G439" t="s">
        <v>3562</v>
      </c>
      <c r="H439" t="s">
        <v>3562</v>
      </c>
      <c r="I439" t="s">
        <v>3563</v>
      </c>
      <c r="J439" t="str" cm="1">
        <f t="array" ref="J439">IF(SUM(COUNTIF(Text_Preprocessing__224[[#This Row],[full_text]],{"*makan siang gratis*";"*MBG*";"*makan gratis*";"*makan bergizi gratis*";"*makangratis*";"*makanan gratis*"})),"Relevan","Tidak Relevan")</f>
        <v>Relevan</v>
      </c>
    </row>
    <row r="440" spans="1:11" x14ac:dyDescent="0.35">
      <c r="A440">
        <f t="shared" si="6"/>
        <v>439</v>
      </c>
      <c r="B440">
        <v>450</v>
      </c>
      <c r="C440" t="s">
        <v>3564</v>
      </c>
      <c r="D440" t="s">
        <v>594</v>
      </c>
      <c r="E440" t="s">
        <v>3565</v>
      </c>
      <c r="F440" t="s">
        <v>2977</v>
      </c>
      <c r="G440" t="s">
        <v>3566</v>
      </c>
      <c r="H440" t="s">
        <v>3566</v>
      </c>
      <c r="I440" t="s">
        <v>3567</v>
      </c>
      <c r="J440" t="str" cm="1">
        <f t="array" ref="J440">IF(SUM(COUNTIF(Text_Preprocessing__224[[#This Row],[full_text]],{"*makan siang gratis*";"*MBG*";"*makan gratis*";"*makan bergizi gratis*";"*makangratis*";"*makanan gratis*"})),"Relevan","Tidak Relevan")</f>
        <v>Relevan</v>
      </c>
    </row>
    <row r="441" spans="1:11" x14ac:dyDescent="0.35">
      <c r="A441">
        <f t="shared" si="6"/>
        <v>440</v>
      </c>
      <c r="B441">
        <v>451</v>
      </c>
      <c r="C441" t="s">
        <v>3568</v>
      </c>
      <c r="D441" t="s">
        <v>781</v>
      </c>
      <c r="E441" t="s">
        <v>3569</v>
      </c>
      <c r="F441" t="s">
        <v>1618</v>
      </c>
      <c r="G441" t="s">
        <v>3570</v>
      </c>
      <c r="H441" t="s">
        <v>3705</v>
      </c>
      <c r="I441" t="s">
        <v>3706</v>
      </c>
      <c r="J441" t="str" cm="1">
        <f t="array" ref="J441">IF(SUM(COUNTIF(Text_Preprocessing__224[[#This Row],[full_text]],{"*makan siang gratis*";"*MBG*";"*makan gratis*";"*makan bergizi gratis*";"*makangratis*";"*makanan gratis*"})),"Relevan","Tidak Relevan")</f>
        <v>Relevan</v>
      </c>
    </row>
    <row r="442" spans="1:11" x14ac:dyDescent="0.35">
      <c r="A442">
        <f t="shared" si="6"/>
        <v>441</v>
      </c>
      <c r="B442">
        <v>452</v>
      </c>
      <c r="C442" t="s">
        <v>3573</v>
      </c>
      <c r="D442" t="s">
        <v>783</v>
      </c>
      <c r="E442" t="s">
        <v>3574</v>
      </c>
      <c r="F442" t="s">
        <v>3575</v>
      </c>
      <c r="G442" t="s">
        <v>3576</v>
      </c>
      <c r="H442" t="s">
        <v>3707</v>
      </c>
      <c r="I442" t="s">
        <v>3708</v>
      </c>
      <c r="J442" t="str" cm="1">
        <f t="array" ref="J442">IF(SUM(COUNTIF(Text_Preprocessing__224[[#This Row],[full_text]],{"*makan siang gratis*";"*MBG*";"*makan gratis*";"*makan bergizi gratis*";"*makangratis*";"*makanan gratis*"})),"Relevan","Tidak Relevan")</f>
        <v>Relevan</v>
      </c>
    </row>
    <row r="443" spans="1:11" x14ac:dyDescent="0.35">
      <c r="A443">
        <f t="shared" si="6"/>
        <v>442</v>
      </c>
      <c r="B443">
        <v>453</v>
      </c>
      <c r="C443" t="s">
        <v>3578</v>
      </c>
      <c r="D443" t="s">
        <v>785</v>
      </c>
      <c r="E443" t="s">
        <v>3579</v>
      </c>
      <c r="F443" t="s">
        <v>2229</v>
      </c>
      <c r="G443" t="s">
        <v>3580</v>
      </c>
      <c r="H443" t="s">
        <v>3580</v>
      </c>
      <c r="I443" t="s">
        <v>3581</v>
      </c>
      <c r="J443" t="str" cm="1">
        <f t="array" ref="J443">IF(SUM(COUNTIF(Text_Preprocessing__224[[#This Row],[full_text]],{"*makan siang gratis*";"*MBG*";"*makan gratis*";"*makan bergizi gratis*";"*makangratis*";"*makanan gratis*"})),"Relevan","Tidak Relevan")</f>
        <v>Relevan</v>
      </c>
    </row>
    <row r="444" spans="1:11" x14ac:dyDescent="0.35">
      <c r="A444">
        <f t="shared" si="6"/>
        <v>443</v>
      </c>
      <c r="B444">
        <v>454</v>
      </c>
      <c r="C444" t="s">
        <v>3582</v>
      </c>
      <c r="D444" t="s">
        <v>785</v>
      </c>
      <c r="E444" t="s">
        <v>3583</v>
      </c>
      <c r="F444" t="s">
        <v>1929</v>
      </c>
      <c r="G444" t="s">
        <v>3584</v>
      </c>
      <c r="H444" t="s">
        <v>3584</v>
      </c>
      <c r="I444" t="s">
        <v>3585</v>
      </c>
      <c r="J444" t="str" cm="1">
        <f t="array" ref="J444">IF(SUM(COUNTIF(Text_Preprocessing__224[[#This Row],[full_text]],{"*makan siang gratis*";"*MBG*";"*makan gratis*";"*makan bergizi gratis*";"*makangratis*";"*makanan gratis*"})),"Relevan","Tidak Relevan")</f>
        <v>Tidak Relevan</v>
      </c>
      <c r="K444" t="s">
        <v>3622</v>
      </c>
    </row>
    <row r="445" spans="1:11" x14ac:dyDescent="0.35">
      <c r="A445">
        <f t="shared" si="6"/>
        <v>444</v>
      </c>
      <c r="B445">
        <v>455</v>
      </c>
      <c r="C445" t="s">
        <v>3586</v>
      </c>
      <c r="D445" t="s">
        <v>788</v>
      </c>
      <c r="E445" t="s">
        <v>3587</v>
      </c>
      <c r="F445" t="s">
        <v>3588</v>
      </c>
      <c r="G445" t="s">
        <v>3589</v>
      </c>
      <c r="H445" t="s">
        <v>3709</v>
      </c>
      <c r="I445" t="s">
        <v>3709</v>
      </c>
      <c r="J445" t="str" cm="1">
        <f t="array" ref="J445">IF(SUM(COUNTIF(Text_Preprocessing__224[[#This Row],[full_text]],{"*makan siang gratis*";"*MBG*";"*makan gratis*";"*makan bergizi gratis*";"*makangratis*";"*makanan gratis*"})),"Relevan","Tidak Relevan")</f>
        <v>Relevan</v>
      </c>
    </row>
    <row r="446" spans="1:11" x14ac:dyDescent="0.35">
      <c r="A446">
        <f t="shared" si="6"/>
        <v>445</v>
      </c>
      <c r="B446">
        <v>456</v>
      </c>
      <c r="C446" t="s">
        <v>3591</v>
      </c>
      <c r="D446" t="s">
        <v>790</v>
      </c>
      <c r="E446" t="s">
        <v>3592</v>
      </c>
      <c r="F446" t="s">
        <v>3593</v>
      </c>
      <c r="G446" t="s">
        <v>3594</v>
      </c>
      <c r="H446" t="s">
        <v>3595</v>
      </c>
      <c r="I446" t="s">
        <v>3596</v>
      </c>
      <c r="J446" t="str" cm="1">
        <f t="array" ref="J446">IF(SUM(COUNTIF(Text_Preprocessing__224[[#This Row],[full_text]],{"*makan siang gratis*";"*MBG*";"*makan gratis*";"*makan bergizi gratis*";"*makangratis*";"*makanan gratis*"})),"Relevan","Tidak Relevan")</f>
        <v>Relevan</v>
      </c>
    </row>
    <row r="447" spans="1:11" x14ac:dyDescent="0.35">
      <c r="A447">
        <f t="shared" si="6"/>
        <v>446</v>
      </c>
      <c r="B447">
        <v>457</v>
      </c>
      <c r="C447" t="s">
        <v>3597</v>
      </c>
      <c r="D447" t="s">
        <v>792</v>
      </c>
      <c r="E447" t="s">
        <v>3598</v>
      </c>
      <c r="F447" t="s">
        <v>1929</v>
      </c>
      <c r="G447" t="s">
        <v>3599</v>
      </c>
      <c r="H447" t="s">
        <v>3599</v>
      </c>
      <c r="I447" t="s">
        <v>3600</v>
      </c>
      <c r="J447" t="str" cm="1">
        <f t="array" ref="J447">IF(SUM(COUNTIF(Text_Preprocessing__224[[#This Row],[full_text]],{"*makan siang gratis*";"*MBG*";"*makan gratis*";"*makan bergizi gratis*";"*makangratis*";"*makanan gratis*"})),"Relevan","Tidak Relevan")</f>
        <v>Relevan</v>
      </c>
    </row>
    <row r="448" spans="1:11" x14ac:dyDescent="0.35">
      <c r="A448">
        <f t="shared" si="6"/>
        <v>447</v>
      </c>
      <c r="B448">
        <v>458</v>
      </c>
      <c r="C448" t="s">
        <v>3601</v>
      </c>
      <c r="D448" t="s">
        <v>794</v>
      </c>
      <c r="E448" t="s">
        <v>3602</v>
      </c>
      <c r="F448" t="s">
        <v>2186</v>
      </c>
      <c r="G448" t="s">
        <v>3603</v>
      </c>
      <c r="H448" t="s">
        <v>3603</v>
      </c>
      <c r="I448" t="s">
        <v>3604</v>
      </c>
      <c r="J448" t="str" cm="1">
        <f t="array" ref="J448">IF(SUM(COUNTIF(Text_Preprocessing__224[[#This Row],[full_text]],{"*makan siang gratis*";"*MBG*";"*makan gratis*";"*makan bergizi gratis*";"*makangratis*";"*makanan gratis*"})),"Relevan","Tidak Relevan")</f>
        <v>Relevan</v>
      </c>
    </row>
    <row r="449" spans="1:10" x14ac:dyDescent="0.35">
      <c r="A449">
        <f t="shared" si="6"/>
        <v>448</v>
      </c>
      <c r="B449">
        <v>459</v>
      </c>
      <c r="C449" t="s">
        <v>3605</v>
      </c>
      <c r="D449" t="s">
        <v>796</v>
      </c>
      <c r="E449" t="s">
        <v>3606</v>
      </c>
      <c r="F449" t="s">
        <v>1741</v>
      </c>
      <c r="G449" t="s">
        <v>3607</v>
      </c>
      <c r="H449" t="s">
        <v>3710</v>
      </c>
      <c r="I449" t="s">
        <v>3711</v>
      </c>
      <c r="J449" t="str" cm="1">
        <f t="array" ref="J449">IF(SUM(COUNTIF(Text_Preprocessing__224[[#This Row],[full_text]],{"*makan siang gratis*";"*MBG*";"*makan gratis*";"*makan bergizi gratis*";"*makangratis*";"*makanan gratis*"})),"Relevan","Tidak Relevan")</f>
        <v>Relevan</v>
      </c>
    </row>
    <row r="450" spans="1:10" x14ac:dyDescent="0.35">
      <c r="A450">
        <f t="shared" si="6"/>
        <v>449</v>
      </c>
      <c r="B450">
        <v>460</v>
      </c>
      <c r="C450" t="s">
        <v>3609</v>
      </c>
      <c r="D450" t="s">
        <v>798</v>
      </c>
      <c r="E450" t="s">
        <v>3610</v>
      </c>
      <c r="F450" t="s">
        <v>2604</v>
      </c>
      <c r="G450" t="s">
        <v>3611</v>
      </c>
      <c r="H450" t="s">
        <v>3611</v>
      </c>
      <c r="I450" t="s">
        <v>3612</v>
      </c>
      <c r="J450" t="str" cm="1">
        <f t="array" ref="J450">IF(SUM(COUNTIF(Text_Preprocessing__224[[#This Row],[full_text]],{"*makan siang gratis*";"*MBG*";"*makan gratis*";"*makan bergizi gratis*";"*makangratis*";"*makanan gratis*"})),"Relevan","Tidak Relevan")</f>
        <v>Relevan</v>
      </c>
    </row>
    <row r="451" spans="1:10" x14ac:dyDescent="0.35">
      <c r="A451">
        <f t="shared" si="6"/>
        <v>450</v>
      </c>
      <c r="B451">
        <v>461</v>
      </c>
      <c r="C451" t="s">
        <v>3613</v>
      </c>
      <c r="D451" t="s">
        <v>798</v>
      </c>
      <c r="E451" t="s">
        <v>3614</v>
      </c>
      <c r="F451" t="s">
        <v>1735</v>
      </c>
      <c r="G451" t="s">
        <v>3615</v>
      </c>
      <c r="H451" t="s">
        <v>3615</v>
      </c>
      <c r="I451" t="s">
        <v>3616</v>
      </c>
      <c r="J451" t="str" cm="1">
        <f t="array" ref="J451">IF(SUM(COUNTIF(Text_Preprocessing__224[[#This Row],[full_text]],{"*makan siang gratis*";"*MBG*";"*makan gratis*";"*makan bergizi gratis*";"*makangratis*";"*makanan gratis*"})),"Relevan","Tidak Relevan")</f>
        <v>Relevan</v>
      </c>
    </row>
    <row r="452" spans="1:10" x14ac:dyDescent="0.35">
      <c r="A452">
        <f t="shared" ref="A452" si="7">SUM(A451+1)</f>
        <v>451</v>
      </c>
      <c r="B452">
        <v>462</v>
      </c>
      <c r="C452" t="s">
        <v>3617</v>
      </c>
      <c r="D452" t="s">
        <v>801</v>
      </c>
      <c r="E452" t="s">
        <v>3618</v>
      </c>
      <c r="F452" t="s">
        <v>1785</v>
      </c>
      <c r="G452" t="s">
        <v>3619</v>
      </c>
      <c r="H452" t="s">
        <v>3619</v>
      </c>
      <c r="I452" t="s">
        <v>3620</v>
      </c>
      <c r="J452" t="str" cm="1">
        <f t="array" ref="J452">IF(SUM(COUNTIF(Text_Preprocessing__224[[#This Row],[full_text]],{"*makan siang gratis*";"*MBG*";"*makan gratis*";"*makan bergizi gratis*";"*makangratis*";"*makanan gratis*"})),"Relevan","Tidak Relevan")</f>
        <v>Relevan</v>
      </c>
    </row>
  </sheetData>
  <conditionalFormatting sqref="C2:C452">
    <cfRule type="duplicateValues" dxfId="8" priority="2"/>
  </conditionalFormatting>
  <conditionalFormatting sqref="I1:I1048576">
    <cfRule type="duplicateValues" dxfId="7"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34270-0176-4C81-93B2-0228643A9094}">
  <dimension ref="A1:N452"/>
  <sheetViews>
    <sheetView topLeftCell="H1" workbookViewId="0">
      <selection activeCell="A3" sqref="A3"/>
    </sheetView>
  </sheetViews>
  <sheetFormatPr defaultRowHeight="14.5" x14ac:dyDescent="0.35"/>
  <cols>
    <col min="1" max="1" width="5.453125" bestFit="1" customWidth="1"/>
    <col min="2" max="2" width="80.7265625" bestFit="1" customWidth="1"/>
    <col min="3" max="3" width="17.1796875" bestFit="1" customWidth="1"/>
    <col min="4" max="4" width="80.7265625" bestFit="1" customWidth="1"/>
    <col min="5" max="5" width="38.90625" bestFit="1" customWidth="1"/>
    <col min="6" max="8" width="80.7265625" bestFit="1" customWidth="1"/>
    <col min="9" max="9" width="12.26953125" bestFit="1" customWidth="1"/>
    <col min="10" max="10" width="25.1796875" bestFit="1" customWidth="1"/>
    <col min="12" max="12" width="9.7265625" bestFit="1" customWidth="1"/>
    <col min="13" max="13" width="7.36328125" bestFit="1" customWidth="1"/>
    <col min="14" max="14" width="12.26953125" bestFit="1" customWidth="1"/>
  </cols>
  <sheetData>
    <row r="1" spans="1:14" x14ac:dyDescent="0.35">
      <c r="A1" t="s">
        <v>0</v>
      </c>
      <c r="B1" t="s">
        <v>1</v>
      </c>
      <c r="C1" t="s">
        <v>2</v>
      </c>
      <c r="D1" t="s">
        <v>1589</v>
      </c>
      <c r="E1" t="s">
        <v>1590</v>
      </c>
      <c r="F1" t="s">
        <v>1591</v>
      </c>
      <c r="G1" t="s">
        <v>1592</v>
      </c>
      <c r="H1" t="s">
        <v>1593</v>
      </c>
      <c r="I1" t="s">
        <v>1588</v>
      </c>
      <c r="J1" t="s">
        <v>3621</v>
      </c>
    </row>
    <row r="2" spans="1:14" ht="58" x14ac:dyDescent="0.35">
      <c r="A2" s="1">
        <v>1</v>
      </c>
      <c r="B2" s="1" t="s">
        <v>1599</v>
      </c>
      <c r="C2" s="1" t="s">
        <v>6</v>
      </c>
      <c r="D2" s="1" t="s">
        <v>1600</v>
      </c>
      <c r="E2" s="1" t="s">
        <v>1601</v>
      </c>
      <c r="F2" s="1" t="s">
        <v>1602</v>
      </c>
      <c r="G2" s="1" t="s">
        <v>1603</v>
      </c>
      <c r="H2" s="1" t="s">
        <v>1604</v>
      </c>
      <c r="I2" s="7" t="str" cm="1">
        <f t="array" ref="I2">IF(SUM(COUNTIF(Text_Preprocessing__2247[[#This Row],[full_text]],{"*makan siang gratis*";"*MBG*";"*makan gratis*";"*makan bergizi gratis*";"*makangratis*";"*makanan gratis*"})),"Relevan","Tidak Relevan")</f>
        <v>Relevan</v>
      </c>
      <c r="J2" s="1"/>
    </row>
    <row r="3" spans="1:14" ht="43.5" x14ac:dyDescent="0.35">
      <c r="A3" s="1">
        <f t="shared" ref="A3:A66" si="0">SUM(A2+1)</f>
        <v>2</v>
      </c>
      <c r="B3" s="1" t="s">
        <v>1605</v>
      </c>
      <c r="C3" s="1" t="s">
        <v>8</v>
      </c>
      <c r="D3" s="1" t="s">
        <v>1606</v>
      </c>
      <c r="E3" s="1" t="s">
        <v>1607</v>
      </c>
      <c r="F3" s="1" t="s">
        <v>1608</v>
      </c>
      <c r="G3" s="1" t="s">
        <v>1609</v>
      </c>
      <c r="H3" s="1" t="s">
        <v>1610</v>
      </c>
      <c r="I3" s="7" t="str" cm="1">
        <f t="array" ref="I3">IF(SUM(COUNTIF(Text_Preprocessing__2247[[#This Row],[full_text]],{"*makan siang gratis*";"*MBG*";"*makan gratis*";"*makan bergizi gratis*";"*makangratis*";"*makanan gratis*"})),"Relevan","Tidak Relevan")</f>
        <v>Relevan</v>
      </c>
      <c r="J3" s="1"/>
    </row>
    <row r="4" spans="1:14" ht="29" x14ac:dyDescent="0.35">
      <c r="A4" s="1">
        <f t="shared" si="0"/>
        <v>3</v>
      </c>
      <c r="B4" s="1" t="s">
        <v>1611</v>
      </c>
      <c r="C4" s="1" t="s">
        <v>10</v>
      </c>
      <c r="D4" s="1" t="s">
        <v>1612</v>
      </c>
      <c r="E4" s="1" t="s">
        <v>1613</v>
      </c>
      <c r="F4" s="1" t="s">
        <v>1614</v>
      </c>
      <c r="G4" s="1" t="s">
        <v>1614</v>
      </c>
      <c r="H4" s="1" t="s">
        <v>1615</v>
      </c>
      <c r="I4" s="7" t="str" cm="1">
        <f t="array" ref="I4">IF(SUM(COUNTIF(Text_Preprocessing__2247[[#This Row],[full_text]],{"*makan siang gratis*";"*MBG*";"*makan gratis*";"*makan bergizi gratis*";"*makangratis*";"*makanan gratis*"})),"Relevan","Tidak Relevan")</f>
        <v>Relevan</v>
      </c>
      <c r="J4" s="1"/>
    </row>
    <row r="5" spans="1:14" ht="58" x14ac:dyDescent="0.35">
      <c r="A5" s="1">
        <f t="shared" si="0"/>
        <v>4</v>
      </c>
      <c r="B5" s="1" t="s">
        <v>1616</v>
      </c>
      <c r="C5" s="1" t="s">
        <v>12</v>
      </c>
      <c r="D5" s="1" t="s">
        <v>1617</v>
      </c>
      <c r="E5" s="1" t="s">
        <v>1618</v>
      </c>
      <c r="F5" s="1" t="s">
        <v>1619</v>
      </c>
      <c r="G5" s="1" t="s">
        <v>1620</v>
      </c>
      <c r="H5" s="1" t="s">
        <v>1621</v>
      </c>
      <c r="I5" s="7" t="str" cm="1">
        <f t="array" ref="I5">IF(SUM(COUNTIF(Text_Preprocessing__2247[[#This Row],[full_text]],{"*makan siang gratis*";"*MBG*";"*makan gratis*";"*makan bergizi gratis*";"*makangratis*";"*makanan gratis*"})),"Relevan","Tidak Relevan")</f>
        <v>Relevan</v>
      </c>
      <c r="J5" s="1"/>
    </row>
    <row r="6" spans="1:14" ht="43.5" x14ac:dyDescent="0.35">
      <c r="A6" s="1">
        <f t="shared" si="0"/>
        <v>5</v>
      </c>
      <c r="B6" s="1" t="s">
        <v>1622</v>
      </c>
      <c r="C6" s="1" t="s">
        <v>14</v>
      </c>
      <c r="D6" s="1" t="s">
        <v>1623</v>
      </c>
      <c r="E6" s="1" t="s">
        <v>1624</v>
      </c>
      <c r="F6" s="1" t="s">
        <v>1625</v>
      </c>
      <c r="G6" s="1" t="s">
        <v>1625</v>
      </c>
      <c r="H6" s="1" t="s">
        <v>1626</v>
      </c>
      <c r="I6" s="7" t="str" cm="1">
        <f t="array" ref="I6">IF(SUM(COUNTIF(Text_Preprocessing__2247[[#This Row],[full_text]],{"*makan siang gratis*";"*MBG*";"*makan gratis*";"*makan bergizi gratis*";"*makangratis*";"*makanan gratis*"})),"Relevan","Tidak Relevan")</f>
        <v>Relevan</v>
      </c>
      <c r="J6" s="1"/>
      <c r="M6" t="s">
        <v>3622</v>
      </c>
      <c r="N6" t="s">
        <v>3623</v>
      </c>
    </row>
    <row r="7" spans="1:14" ht="58" x14ac:dyDescent="0.35">
      <c r="A7" s="1">
        <f t="shared" si="0"/>
        <v>6</v>
      </c>
      <c r="B7" s="1" t="s">
        <v>1627</v>
      </c>
      <c r="C7" s="1" t="s">
        <v>16</v>
      </c>
      <c r="D7" s="1" t="s">
        <v>1628</v>
      </c>
      <c r="E7" s="1" t="s">
        <v>1629</v>
      </c>
      <c r="F7" s="1" t="s">
        <v>1630</v>
      </c>
      <c r="G7" s="1" t="s">
        <v>1630</v>
      </c>
      <c r="H7" s="1" t="s">
        <v>1631</v>
      </c>
      <c r="I7" s="7" t="str" cm="1">
        <f t="array" ref="I7">IF(SUM(COUNTIF(Text_Preprocessing__2247[[#This Row],[full_text]],{"*makan siang gratis*";"*MBG*";"*makan gratis*";"*makan bergizi gratis*";"*makangratis*";"*makanan gratis*"})),"Relevan","Tidak Relevan")</f>
        <v>Relevan</v>
      </c>
      <c r="J7" s="1"/>
      <c r="L7" t="s">
        <v>3624</v>
      </c>
      <c r="M7">
        <f>COUNTIF($I2:$I452, "Relevan")</f>
        <v>421</v>
      </c>
      <c r="N7">
        <f>COUNTIF($I2:$I452, "Tidak Relevan")</f>
        <v>30</v>
      </c>
    </row>
    <row r="8" spans="1:14" ht="58" x14ac:dyDescent="0.35">
      <c r="A8" s="1">
        <f t="shared" si="0"/>
        <v>7</v>
      </c>
      <c r="B8" s="1" t="s">
        <v>1632</v>
      </c>
      <c r="C8" s="1" t="s">
        <v>18</v>
      </c>
      <c r="D8" s="1" t="s">
        <v>1633</v>
      </c>
      <c r="E8" s="1" t="s">
        <v>1634</v>
      </c>
      <c r="F8" s="1" t="s">
        <v>1635</v>
      </c>
      <c r="G8" s="1" t="s">
        <v>1636</v>
      </c>
      <c r="H8" s="1" t="s">
        <v>1637</v>
      </c>
      <c r="I8" s="7" t="str" cm="1">
        <f t="array" ref="I8">IF(SUM(COUNTIF(Text_Preprocessing__2247[[#This Row],[full_text]],{"*makan siang gratis*";"*MBG*";"*makan gratis*";"*makan bergizi gratis*";"*makangratis*";"*makanan gratis*"})),"Relevan","Tidak Relevan")</f>
        <v>Tidak Relevan</v>
      </c>
      <c r="J8" s="1" t="s">
        <v>3622</v>
      </c>
      <c r="L8" t="s">
        <v>3625</v>
      </c>
      <c r="M8">
        <f>COUNTIF($J2:$J452, "Relevan")</f>
        <v>30</v>
      </c>
      <c r="N8">
        <f>COUNTIF($J2:$J452, "Tidak Relevan")</f>
        <v>0</v>
      </c>
    </row>
    <row r="9" spans="1:14" ht="58" x14ac:dyDescent="0.35">
      <c r="A9" s="1">
        <f t="shared" si="0"/>
        <v>8</v>
      </c>
      <c r="B9" s="1" t="s">
        <v>1638</v>
      </c>
      <c r="C9" s="1" t="s">
        <v>20</v>
      </c>
      <c r="D9" s="1" t="s">
        <v>1639</v>
      </c>
      <c r="E9" s="1" t="s">
        <v>1640</v>
      </c>
      <c r="F9" s="1" t="s">
        <v>1641</v>
      </c>
      <c r="G9" s="1" t="s">
        <v>1642</v>
      </c>
      <c r="H9" s="1" t="s">
        <v>1643</v>
      </c>
      <c r="I9" s="7" t="str" cm="1">
        <f t="array" ref="I9">IF(SUM(COUNTIF(Text_Preprocessing__2247[[#This Row],[full_text]],{"*makan siang gratis*";"*MBG*";"*makan gratis*";"*makan bergizi gratis*";"*makangratis*";"*makanan gratis*"})),"Relevan","Tidak Relevan")</f>
        <v>Tidak Relevan</v>
      </c>
      <c r="J9" s="1" t="s">
        <v>3622</v>
      </c>
      <c r="L9" t="s">
        <v>3626</v>
      </c>
      <c r="M9">
        <f>SUM(M7:M8)</f>
        <v>451</v>
      </c>
      <c r="N9">
        <f>N8</f>
        <v>0</v>
      </c>
    </row>
    <row r="10" spans="1:14" ht="58" x14ac:dyDescent="0.35">
      <c r="A10" s="1">
        <f t="shared" si="0"/>
        <v>9</v>
      </c>
      <c r="B10" s="1" t="s">
        <v>1644</v>
      </c>
      <c r="C10" s="1" t="s">
        <v>22</v>
      </c>
      <c r="D10" s="1" t="s">
        <v>1645</v>
      </c>
      <c r="E10" s="1" t="s">
        <v>1646</v>
      </c>
      <c r="F10" s="1" t="s">
        <v>1647</v>
      </c>
      <c r="G10" s="1" t="s">
        <v>1648</v>
      </c>
      <c r="H10" s="1" t="s">
        <v>1649</v>
      </c>
      <c r="I10" s="7" t="str" cm="1">
        <f t="array" ref="I10">IF(SUM(COUNTIF(Text_Preprocessing__2247[[#This Row],[full_text]],{"*makan siang gratis*";"*MBG*";"*makan gratis*";"*makan bergizi gratis*";"*makangratis*";"*makanan gratis*"})),"Relevan","Tidak Relevan")</f>
        <v>Relevan</v>
      </c>
      <c r="J10" s="1"/>
    </row>
    <row r="11" spans="1:14" ht="43.5" x14ac:dyDescent="0.35">
      <c r="A11" s="1">
        <f t="shared" si="0"/>
        <v>10</v>
      </c>
      <c r="B11" s="1" t="s">
        <v>1650</v>
      </c>
      <c r="C11" s="1" t="s">
        <v>24</v>
      </c>
      <c r="D11" s="1" t="s">
        <v>1651</v>
      </c>
      <c r="E11" s="1" t="s">
        <v>1652</v>
      </c>
      <c r="F11" s="1" t="s">
        <v>1653</v>
      </c>
      <c r="G11" s="1" t="s">
        <v>1653</v>
      </c>
      <c r="H11" s="1" t="s">
        <v>1654</v>
      </c>
      <c r="I11" s="7" t="str" cm="1">
        <f t="array" ref="I11">IF(SUM(COUNTIF(Text_Preprocessing__2247[[#This Row],[full_text]],{"*makan siang gratis*";"*MBG*";"*makan gratis*";"*makan bergizi gratis*";"*makangratis*";"*makanan gratis*"})),"Relevan","Tidak Relevan")</f>
        <v>Relevan</v>
      </c>
      <c r="J11" s="1"/>
    </row>
    <row r="12" spans="1:14" ht="58" x14ac:dyDescent="0.35">
      <c r="A12" s="1">
        <f t="shared" si="0"/>
        <v>11</v>
      </c>
      <c r="B12" s="1" t="s">
        <v>1655</v>
      </c>
      <c r="C12" s="1" t="s">
        <v>26</v>
      </c>
      <c r="D12" s="1" t="s">
        <v>1656</v>
      </c>
      <c r="E12" s="1" t="s">
        <v>1657</v>
      </c>
      <c r="F12" s="1" t="s">
        <v>1658</v>
      </c>
      <c r="G12" s="1" t="s">
        <v>1659</v>
      </c>
      <c r="H12" s="1" t="s">
        <v>1660</v>
      </c>
      <c r="I12" s="7" t="str" cm="1">
        <f t="array" ref="I12">IF(SUM(COUNTIF(Text_Preprocessing__2247[[#This Row],[full_text]],{"*makan siang gratis*";"*MBG*";"*makan gratis*";"*makan bergizi gratis*";"*makangratis*";"*makanan gratis*"})),"Relevan","Tidak Relevan")</f>
        <v>Tidak Relevan</v>
      </c>
      <c r="J12" s="1" t="s">
        <v>3622</v>
      </c>
    </row>
    <row r="13" spans="1:14" ht="43.5" x14ac:dyDescent="0.35">
      <c r="A13" s="1">
        <f t="shared" si="0"/>
        <v>12</v>
      </c>
      <c r="B13" s="1" t="s">
        <v>1661</v>
      </c>
      <c r="C13" s="1" t="s">
        <v>28</v>
      </c>
      <c r="D13" s="1" t="s">
        <v>1662</v>
      </c>
      <c r="E13" s="1" t="s">
        <v>1663</v>
      </c>
      <c r="F13" s="1" t="s">
        <v>1664</v>
      </c>
      <c r="G13" s="1" t="s">
        <v>1665</v>
      </c>
      <c r="H13" s="1" t="s">
        <v>1666</v>
      </c>
      <c r="I13" s="7" t="str" cm="1">
        <f t="array" ref="I13">IF(SUM(COUNTIF(Text_Preprocessing__2247[[#This Row],[full_text]],{"*makan siang gratis*";"*MBG*";"*makan gratis*";"*makan bergizi gratis*";"*makangratis*";"*makanan gratis*"})),"Relevan","Tidak Relevan")</f>
        <v>Tidak Relevan</v>
      </c>
      <c r="J13" s="1" t="s">
        <v>3622</v>
      </c>
    </row>
    <row r="14" spans="1:14" ht="43.5" x14ac:dyDescent="0.35">
      <c r="A14" s="1">
        <f t="shared" si="0"/>
        <v>13</v>
      </c>
      <c r="B14" s="1" t="s">
        <v>1667</v>
      </c>
      <c r="C14" s="1" t="s">
        <v>32</v>
      </c>
      <c r="D14" s="1" t="s">
        <v>1668</v>
      </c>
      <c r="E14" s="1" t="s">
        <v>1669</v>
      </c>
      <c r="F14" s="1" t="s">
        <v>1670</v>
      </c>
      <c r="G14" s="1" t="s">
        <v>1670</v>
      </c>
      <c r="H14" s="1" t="s">
        <v>1671</v>
      </c>
      <c r="I14" s="7" t="str" cm="1">
        <f t="array" ref="I14">IF(SUM(COUNTIF(Text_Preprocessing__2247[[#This Row],[full_text]],{"*makan siang gratis*";"*MBG*";"*makan gratis*";"*makan bergizi gratis*";"*makangratis*";"*makanan gratis*"})),"Relevan","Tidak Relevan")</f>
        <v>Relevan</v>
      </c>
      <c r="J14" s="1"/>
    </row>
    <row r="15" spans="1:14" ht="58" x14ac:dyDescent="0.35">
      <c r="A15" s="1">
        <f t="shared" si="0"/>
        <v>14</v>
      </c>
      <c r="B15" s="1" t="s">
        <v>1672</v>
      </c>
      <c r="C15" s="1" t="s">
        <v>34</v>
      </c>
      <c r="D15" s="1" t="s">
        <v>1673</v>
      </c>
      <c r="E15" s="1" t="s">
        <v>1674</v>
      </c>
      <c r="F15" s="1" t="s">
        <v>1675</v>
      </c>
      <c r="G15" s="1" t="s">
        <v>1676</v>
      </c>
      <c r="H15" s="1" t="s">
        <v>1677</v>
      </c>
      <c r="I15" s="7" t="str" cm="1">
        <f t="array" ref="I15">IF(SUM(COUNTIF(Text_Preprocessing__2247[[#This Row],[full_text]],{"*makan siang gratis*";"*MBG*";"*makan gratis*";"*makan bergizi gratis*";"*makangratis*";"*makanan gratis*"})),"Relevan","Tidak Relevan")</f>
        <v>Tidak Relevan</v>
      </c>
      <c r="J15" s="1" t="s">
        <v>3622</v>
      </c>
    </row>
    <row r="16" spans="1:14" ht="72.5" x14ac:dyDescent="0.35">
      <c r="A16" s="1">
        <f t="shared" si="0"/>
        <v>15</v>
      </c>
      <c r="B16" s="1" t="s">
        <v>1678</v>
      </c>
      <c r="C16" s="1" t="s">
        <v>36</v>
      </c>
      <c r="D16" s="1" t="s">
        <v>1679</v>
      </c>
      <c r="E16" s="1" t="s">
        <v>1680</v>
      </c>
      <c r="F16" s="1" t="s">
        <v>1681</v>
      </c>
      <c r="G16" s="1" t="s">
        <v>1682</v>
      </c>
      <c r="H16" s="1" t="s">
        <v>1683</v>
      </c>
      <c r="I16" s="7" t="str" cm="1">
        <f t="array" ref="I16">IF(SUM(COUNTIF(Text_Preprocessing__2247[[#This Row],[full_text]],{"*makan siang gratis*";"*MBG*";"*makan gratis*";"*makan bergizi gratis*";"*makangratis*";"*makanan gratis*"})),"Relevan","Tidak Relevan")</f>
        <v>Relevan</v>
      </c>
      <c r="J16" s="1"/>
    </row>
    <row r="17" spans="1:10" ht="29" x14ac:dyDescent="0.35">
      <c r="A17" s="1">
        <f t="shared" si="0"/>
        <v>16</v>
      </c>
      <c r="B17" s="1" t="s">
        <v>1684</v>
      </c>
      <c r="C17" s="1" t="s">
        <v>38</v>
      </c>
      <c r="D17" s="1" t="s">
        <v>1685</v>
      </c>
      <c r="E17" s="1" t="s">
        <v>1686</v>
      </c>
      <c r="F17" s="1" t="s">
        <v>1687</v>
      </c>
      <c r="G17" s="1" t="s">
        <v>1688</v>
      </c>
      <c r="H17" s="1" t="s">
        <v>1689</v>
      </c>
      <c r="I17" s="7" t="str" cm="1">
        <f t="array" ref="I17">IF(SUM(COUNTIF(Text_Preprocessing__2247[[#This Row],[full_text]],{"*makan siang gratis*";"*MBG*";"*makan gratis*";"*makan bergizi gratis*";"*makangratis*";"*makanan gratis*"})),"Relevan","Tidak Relevan")</f>
        <v>Relevan</v>
      </c>
      <c r="J17" s="1"/>
    </row>
    <row r="18" spans="1:10" ht="29" x14ac:dyDescent="0.35">
      <c r="A18" s="1">
        <f t="shared" si="0"/>
        <v>17</v>
      </c>
      <c r="B18" s="1" t="s">
        <v>1690</v>
      </c>
      <c r="C18" s="1" t="s">
        <v>40</v>
      </c>
      <c r="D18" s="1" t="s">
        <v>1691</v>
      </c>
      <c r="E18" s="1" t="s">
        <v>1692</v>
      </c>
      <c r="F18" s="1" t="s">
        <v>1693</v>
      </c>
      <c r="G18" s="1" t="s">
        <v>1693</v>
      </c>
      <c r="H18" s="1" t="s">
        <v>1694</v>
      </c>
      <c r="I18" s="7" t="str" cm="1">
        <f t="array" ref="I18">IF(SUM(COUNTIF(Text_Preprocessing__2247[[#This Row],[full_text]],{"*makan siang gratis*";"*MBG*";"*makan gratis*";"*makan bergizi gratis*";"*makangratis*";"*makanan gratis*"})),"Relevan","Tidak Relevan")</f>
        <v>Tidak Relevan</v>
      </c>
      <c r="J18" s="1" t="s">
        <v>3622</v>
      </c>
    </row>
    <row r="19" spans="1:10" ht="29" x14ac:dyDescent="0.35">
      <c r="A19" s="1">
        <f t="shared" si="0"/>
        <v>18</v>
      </c>
      <c r="B19" s="1" t="s">
        <v>1695</v>
      </c>
      <c r="C19" s="1" t="s">
        <v>42</v>
      </c>
      <c r="D19" s="1" t="s">
        <v>1696</v>
      </c>
      <c r="E19" s="1" t="s">
        <v>1697</v>
      </c>
      <c r="F19" s="1" t="s">
        <v>1698</v>
      </c>
      <c r="G19" s="1" t="s">
        <v>1698</v>
      </c>
      <c r="H19" s="1" t="s">
        <v>1699</v>
      </c>
      <c r="I19" s="7" t="str" cm="1">
        <f t="array" ref="I19">IF(SUM(COUNTIF(Text_Preprocessing__2247[[#This Row],[full_text]],{"*makan siang gratis*";"*MBG*";"*makan gratis*";"*makan bergizi gratis*";"*makangratis*";"*makanan gratis*"})),"Relevan","Tidak Relevan")</f>
        <v>Tidak Relevan</v>
      </c>
      <c r="J19" s="1" t="s">
        <v>3622</v>
      </c>
    </row>
    <row r="20" spans="1:10" ht="43.5" x14ac:dyDescent="0.35">
      <c r="A20" s="1">
        <f t="shared" si="0"/>
        <v>19</v>
      </c>
      <c r="B20" s="1" t="s">
        <v>1700</v>
      </c>
      <c r="C20" s="1" t="s">
        <v>44</v>
      </c>
      <c r="D20" s="1" t="s">
        <v>1701</v>
      </c>
      <c r="E20" s="1" t="s">
        <v>1702</v>
      </c>
      <c r="F20" s="1" t="s">
        <v>1703</v>
      </c>
      <c r="G20" s="1" t="s">
        <v>1703</v>
      </c>
      <c r="H20" s="1" t="s">
        <v>1704</v>
      </c>
      <c r="I20" s="7" t="str" cm="1">
        <f t="array" ref="I20">IF(SUM(COUNTIF(Text_Preprocessing__2247[[#This Row],[full_text]],{"*makan siang gratis*";"*MBG*";"*makan gratis*";"*makan bergizi gratis*";"*makangratis*";"*makanan gratis*"})),"Relevan","Tidak Relevan")</f>
        <v>Tidak Relevan</v>
      </c>
      <c r="J20" s="1" t="s">
        <v>3622</v>
      </c>
    </row>
    <row r="21" spans="1:10" ht="58" x14ac:dyDescent="0.35">
      <c r="A21" s="1">
        <f t="shared" si="0"/>
        <v>20</v>
      </c>
      <c r="B21" s="1" t="s">
        <v>1705</v>
      </c>
      <c r="C21" s="1" t="s">
        <v>20</v>
      </c>
      <c r="D21" s="1" t="s">
        <v>1706</v>
      </c>
      <c r="E21" s="1" t="s">
        <v>1707</v>
      </c>
      <c r="F21" s="1" t="s">
        <v>1708</v>
      </c>
      <c r="G21" s="1" t="s">
        <v>1709</v>
      </c>
      <c r="H21" s="1" t="s">
        <v>1710</v>
      </c>
      <c r="I21" s="7" t="str" cm="1">
        <f t="array" ref="I21">IF(SUM(COUNTIF(Text_Preprocessing__2247[[#This Row],[full_text]],{"*makan siang gratis*";"*MBG*";"*makan gratis*";"*makan bergizi gratis*";"*makangratis*";"*makanan gratis*"})),"Relevan","Tidak Relevan")</f>
        <v>Relevan</v>
      </c>
      <c r="J21" s="1"/>
    </row>
    <row r="22" spans="1:10" ht="58" x14ac:dyDescent="0.35">
      <c r="A22" s="1">
        <f t="shared" si="0"/>
        <v>21</v>
      </c>
      <c r="B22" s="1" t="s">
        <v>1711</v>
      </c>
      <c r="C22" s="1" t="s">
        <v>47</v>
      </c>
      <c r="D22" s="1" t="s">
        <v>1712</v>
      </c>
      <c r="E22" s="1" t="s">
        <v>1713</v>
      </c>
      <c r="F22" s="1" t="s">
        <v>1714</v>
      </c>
      <c r="G22" s="1" t="s">
        <v>1715</v>
      </c>
      <c r="H22" s="1" t="s">
        <v>1716</v>
      </c>
      <c r="I22" s="7" t="str" cm="1">
        <f t="array" ref="I22">IF(SUM(COUNTIF(Text_Preprocessing__2247[[#This Row],[full_text]],{"*makan siang gratis*";"*MBG*";"*makan gratis*";"*makan bergizi gratis*";"*makangratis*";"*makanan gratis*"})),"Relevan","Tidak Relevan")</f>
        <v>Tidak Relevan</v>
      </c>
      <c r="J22" s="1" t="s">
        <v>3622</v>
      </c>
    </row>
    <row r="23" spans="1:10" ht="43.5" x14ac:dyDescent="0.35">
      <c r="A23" s="1">
        <f t="shared" si="0"/>
        <v>22</v>
      </c>
      <c r="B23" s="1" t="s">
        <v>1717</v>
      </c>
      <c r="C23" s="1" t="s">
        <v>49</v>
      </c>
      <c r="D23" s="1" t="s">
        <v>1718</v>
      </c>
      <c r="E23" s="1" t="s">
        <v>1719</v>
      </c>
      <c r="F23" s="1" t="s">
        <v>1720</v>
      </c>
      <c r="G23" s="1" t="s">
        <v>1720</v>
      </c>
      <c r="H23" s="1" t="s">
        <v>1721</v>
      </c>
      <c r="I23" s="7" t="str" cm="1">
        <f t="array" ref="I23">IF(SUM(COUNTIF(Text_Preprocessing__2247[[#This Row],[full_text]],{"*makan siang gratis*";"*MBG*";"*makan gratis*";"*makan bergizi gratis*";"*makangratis*";"*makanan gratis*"})),"Relevan","Tidak Relevan")</f>
        <v>Relevan</v>
      </c>
      <c r="J23" s="1"/>
    </row>
    <row r="24" spans="1:10" ht="29" x14ac:dyDescent="0.35">
      <c r="A24" s="1">
        <f t="shared" si="0"/>
        <v>23</v>
      </c>
      <c r="B24" s="1" t="s">
        <v>1722</v>
      </c>
      <c r="C24" s="1" t="s">
        <v>20</v>
      </c>
      <c r="D24" s="1" t="s">
        <v>1723</v>
      </c>
      <c r="E24" s="1" t="s">
        <v>1724</v>
      </c>
      <c r="F24" s="1" t="s">
        <v>1725</v>
      </c>
      <c r="G24" s="1" t="s">
        <v>1726</v>
      </c>
      <c r="H24" s="1" t="s">
        <v>1727</v>
      </c>
      <c r="I24" s="7" t="str" cm="1">
        <f t="array" ref="I24">IF(SUM(COUNTIF(Text_Preprocessing__2247[[#This Row],[full_text]],{"*makan siang gratis*";"*MBG*";"*makan gratis*";"*makan bergizi gratis*";"*makangratis*";"*makanan gratis*"})),"Relevan","Tidak Relevan")</f>
        <v>Tidak Relevan</v>
      </c>
      <c r="J24" s="1" t="s">
        <v>3622</v>
      </c>
    </row>
    <row r="25" spans="1:10" ht="29" x14ac:dyDescent="0.35">
      <c r="A25" s="1">
        <f t="shared" si="0"/>
        <v>24</v>
      </c>
      <c r="B25" s="1" t="s">
        <v>1728</v>
      </c>
      <c r="C25" s="1" t="s">
        <v>52</v>
      </c>
      <c r="D25" s="1" t="s">
        <v>1729</v>
      </c>
      <c r="E25" s="1" t="s">
        <v>1730</v>
      </c>
      <c r="F25" s="1" t="s">
        <v>1731</v>
      </c>
      <c r="G25" s="1" t="s">
        <v>1731</v>
      </c>
      <c r="H25" s="1" t="s">
        <v>1732</v>
      </c>
      <c r="I25" s="7" t="str" cm="1">
        <f t="array" ref="I25">IF(SUM(COUNTIF(Text_Preprocessing__2247[[#This Row],[full_text]],{"*makan siang gratis*";"*MBG*";"*makan gratis*";"*makan bergizi gratis*";"*makangratis*";"*makanan gratis*"})),"Relevan","Tidak Relevan")</f>
        <v>Relevan</v>
      </c>
      <c r="J25" s="1"/>
    </row>
    <row r="26" spans="1:10" ht="29" x14ac:dyDescent="0.35">
      <c r="A26" s="1">
        <f t="shared" si="0"/>
        <v>25</v>
      </c>
      <c r="B26" s="1" t="s">
        <v>1733</v>
      </c>
      <c r="C26" s="1" t="s">
        <v>54</v>
      </c>
      <c r="D26" s="1" t="s">
        <v>1734</v>
      </c>
      <c r="E26" s="1" t="s">
        <v>1735</v>
      </c>
      <c r="F26" s="1" t="s">
        <v>1736</v>
      </c>
      <c r="G26" s="1" t="s">
        <v>1737</v>
      </c>
      <c r="H26" s="1" t="s">
        <v>1738</v>
      </c>
      <c r="I26" s="7" t="str" cm="1">
        <f t="array" ref="I26">IF(SUM(COUNTIF(Text_Preprocessing__2247[[#This Row],[full_text]],{"*makan siang gratis*";"*MBG*";"*makan gratis*";"*makan bergizi gratis*";"*makangratis*";"*makanan gratis*"})),"Relevan","Tidak Relevan")</f>
        <v>Relevan</v>
      </c>
      <c r="J26" s="1"/>
    </row>
    <row r="27" spans="1:10" ht="58" x14ac:dyDescent="0.35">
      <c r="A27" s="1">
        <f t="shared" si="0"/>
        <v>26</v>
      </c>
      <c r="B27" s="1" t="s">
        <v>1739</v>
      </c>
      <c r="C27" s="1" t="s">
        <v>56</v>
      </c>
      <c r="D27" s="1" t="s">
        <v>1740</v>
      </c>
      <c r="E27" s="1" t="s">
        <v>1741</v>
      </c>
      <c r="F27" s="1" t="s">
        <v>1742</v>
      </c>
      <c r="G27" s="1" t="s">
        <v>1743</v>
      </c>
      <c r="H27" s="1" t="s">
        <v>1744</v>
      </c>
      <c r="I27" s="7" t="str" cm="1">
        <f t="array" ref="I27">IF(SUM(COUNTIF(Text_Preprocessing__2247[[#This Row],[full_text]],{"*makan siang gratis*";"*MBG*";"*makan gratis*";"*makan bergizi gratis*";"*makangratis*";"*makanan gratis*"})),"Relevan","Tidak Relevan")</f>
        <v>Relevan</v>
      </c>
      <c r="J27" s="1"/>
    </row>
    <row r="28" spans="1:10" ht="43.5" x14ac:dyDescent="0.35">
      <c r="A28" s="1">
        <f t="shared" si="0"/>
        <v>27</v>
      </c>
      <c r="B28" s="1" t="s">
        <v>1745</v>
      </c>
      <c r="C28" s="1" t="s">
        <v>58</v>
      </c>
      <c r="D28" s="1" t="s">
        <v>1746</v>
      </c>
      <c r="E28" s="1" t="s">
        <v>1747</v>
      </c>
      <c r="F28" s="1" t="s">
        <v>1748</v>
      </c>
      <c r="G28" s="1" t="s">
        <v>1748</v>
      </c>
      <c r="H28" s="1" t="s">
        <v>1749</v>
      </c>
      <c r="I28" s="7" t="str" cm="1">
        <f t="array" ref="I28">IF(SUM(COUNTIF(Text_Preprocessing__2247[[#This Row],[full_text]],{"*makan siang gratis*";"*MBG*";"*makan gratis*";"*makan bergizi gratis*";"*makangratis*";"*makanan gratis*"})),"Relevan","Tidak Relevan")</f>
        <v>Relevan</v>
      </c>
      <c r="J28" s="1"/>
    </row>
    <row r="29" spans="1:10" ht="58" x14ac:dyDescent="0.35">
      <c r="A29" s="1">
        <f t="shared" si="0"/>
        <v>28</v>
      </c>
      <c r="B29" s="1" t="s">
        <v>1750</v>
      </c>
      <c r="C29" s="1" t="s">
        <v>60</v>
      </c>
      <c r="D29" s="1" t="s">
        <v>1751</v>
      </c>
      <c r="E29" s="1" t="s">
        <v>1752</v>
      </c>
      <c r="F29" s="1" t="s">
        <v>1753</v>
      </c>
      <c r="G29" s="1" t="s">
        <v>1754</v>
      </c>
      <c r="H29" s="1" t="s">
        <v>1755</v>
      </c>
      <c r="I29" s="7" t="str" cm="1">
        <f t="array" ref="I29">IF(SUM(COUNTIF(Text_Preprocessing__2247[[#This Row],[full_text]],{"*makan siang gratis*";"*MBG*";"*makan gratis*";"*makan bergizi gratis*";"*makangratis*";"*makanan gratis*"})),"Relevan","Tidak Relevan")</f>
        <v>Relevan</v>
      </c>
      <c r="J29" s="1"/>
    </row>
    <row r="30" spans="1:10" ht="72.5" x14ac:dyDescent="0.35">
      <c r="A30" s="1">
        <f t="shared" si="0"/>
        <v>29</v>
      </c>
      <c r="B30" s="1" t="s">
        <v>1756</v>
      </c>
      <c r="C30" s="1" t="s">
        <v>62</v>
      </c>
      <c r="D30" s="1" t="s">
        <v>1757</v>
      </c>
      <c r="E30" s="1" t="s">
        <v>1758</v>
      </c>
      <c r="F30" s="1" t="s">
        <v>1759</v>
      </c>
      <c r="G30" s="1" t="s">
        <v>1760</v>
      </c>
      <c r="H30" s="1" t="s">
        <v>1761</v>
      </c>
      <c r="I30" s="7" t="str" cm="1">
        <f t="array" ref="I30">IF(SUM(COUNTIF(Text_Preprocessing__2247[[#This Row],[full_text]],{"*makan siang gratis*";"*MBG*";"*makan gratis*";"*makan bergizi gratis*";"*makangratis*";"*makanan gratis*"})),"Relevan","Tidak Relevan")</f>
        <v>Relevan</v>
      </c>
      <c r="J30" s="1"/>
    </row>
    <row r="31" spans="1:10" ht="43.5" x14ac:dyDescent="0.35">
      <c r="A31" s="1">
        <f t="shared" si="0"/>
        <v>30</v>
      </c>
      <c r="B31" s="1" t="s">
        <v>1762</v>
      </c>
      <c r="C31" s="1" t="s">
        <v>64</v>
      </c>
      <c r="D31" s="1" t="s">
        <v>1763</v>
      </c>
      <c r="E31" s="1" t="s">
        <v>1764</v>
      </c>
      <c r="F31" s="1" t="s">
        <v>1765</v>
      </c>
      <c r="G31" s="1" t="s">
        <v>1766</v>
      </c>
      <c r="H31" s="1" t="s">
        <v>1767</v>
      </c>
      <c r="I31" s="7" t="str" cm="1">
        <f t="array" ref="I31">IF(SUM(COUNTIF(Text_Preprocessing__2247[[#This Row],[full_text]],{"*makan siang gratis*";"*MBG*";"*makan gratis*";"*makan bergizi gratis*";"*makangratis*";"*makanan gratis*"})),"Relevan","Tidak Relevan")</f>
        <v>Relevan</v>
      </c>
      <c r="J31" s="1"/>
    </row>
    <row r="32" spans="1:10" ht="58" x14ac:dyDescent="0.35">
      <c r="A32" s="1">
        <f t="shared" si="0"/>
        <v>31</v>
      </c>
      <c r="B32" s="1" t="s">
        <v>1768</v>
      </c>
      <c r="C32" s="1" t="s">
        <v>66</v>
      </c>
      <c r="D32" s="1" t="s">
        <v>1769</v>
      </c>
      <c r="E32" s="1" t="s">
        <v>1770</v>
      </c>
      <c r="F32" s="1" t="s">
        <v>1771</v>
      </c>
      <c r="G32" s="1" t="s">
        <v>1771</v>
      </c>
      <c r="H32" s="1" t="s">
        <v>1772</v>
      </c>
      <c r="I32" s="7" t="str" cm="1">
        <f t="array" ref="I32">IF(SUM(COUNTIF(Text_Preprocessing__2247[[#This Row],[full_text]],{"*makan siang gratis*";"*MBG*";"*makan gratis*";"*makan bergizi gratis*";"*makangratis*";"*makanan gratis*"})),"Relevan","Tidak Relevan")</f>
        <v>Relevan</v>
      </c>
      <c r="J32" s="1"/>
    </row>
    <row r="33" spans="1:10" ht="43.5" x14ac:dyDescent="0.35">
      <c r="A33" s="1">
        <f t="shared" si="0"/>
        <v>32</v>
      </c>
      <c r="B33" s="1" t="s">
        <v>1773</v>
      </c>
      <c r="C33" s="1" t="s">
        <v>68</v>
      </c>
      <c r="D33" s="1" t="s">
        <v>1774</v>
      </c>
      <c r="E33" s="1" t="s">
        <v>1775</v>
      </c>
      <c r="F33" s="1" t="s">
        <v>1776</v>
      </c>
      <c r="G33" s="1" t="s">
        <v>1776</v>
      </c>
      <c r="H33" s="1" t="s">
        <v>1777</v>
      </c>
      <c r="I33" s="7" t="str" cm="1">
        <f t="array" ref="I33">IF(SUM(COUNTIF(Text_Preprocessing__2247[[#This Row],[full_text]],{"*makan siang gratis*";"*MBG*";"*makan gratis*";"*makan bergizi gratis*";"*makangratis*";"*makanan gratis*"})),"Relevan","Tidak Relevan")</f>
        <v>Relevan</v>
      </c>
      <c r="J33" s="1"/>
    </row>
    <row r="34" spans="1:10" ht="58" x14ac:dyDescent="0.35">
      <c r="A34" s="1">
        <f t="shared" si="0"/>
        <v>33</v>
      </c>
      <c r="B34" s="1" t="s">
        <v>1778</v>
      </c>
      <c r="C34" s="1" t="s">
        <v>70</v>
      </c>
      <c r="D34" s="1" t="s">
        <v>1779</v>
      </c>
      <c r="E34" s="1" t="s">
        <v>1780</v>
      </c>
      <c r="F34" s="1" t="s">
        <v>1781</v>
      </c>
      <c r="G34" s="1" t="s">
        <v>1781</v>
      </c>
      <c r="H34" s="1" t="s">
        <v>1782</v>
      </c>
      <c r="I34" s="7" t="str" cm="1">
        <f t="array" ref="I34">IF(SUM(COUNTIF(Text_Preprocessing__2247[[#This Row],[full_text]],{"*makan siang gratis*";"*MBG*";"*makan gratis*";"*makan bergizi gratis*";"*makangratis*";"*makanan gratis*"})),"Relevan","Tidak Relevan")</f>
        <v>Tidak Relevan</v>
      </c>
      <c r="J34" s="1" t="s">
        <v>3622</v>
      </c>
    </row>
    <row r="35" spans="1:10" ht="29" x14ac:dyDescent="0.35">
      <c r="A35" s="1">
        <f t="shared" si="0"/>
        <v>34</v>
      </c>
      <c r="B35" s="1" t="s">
        <v>1783</v>
      </c>
      <c r="C35" s="1" t="s">
        <v>72</v>
      </c>
      <c r="D35" s="1" t="s">
        <v>1784</v>
      </c>
      <c r="E35" s="1" t="s">
        <v>1785</v>
      </c>
      <c r="F35" s="1" t="s">
        <v>1786</v>
      </c>
      <c r="G35" s="1" t="s">
        <v>1786</v>
      </c>
      <c r="H35" s="1" t="s">
        <v>1787</v>
      </c>
      <c r="I35" s="7" t="str" cm="1">
        <f t="array" ref="I35">IF(SUM(COUNTIF(Text_Preprocessing__2247[[#This Row],[full_text]],{"*makan siang gratis*";"*MBG*";"*makan gratis*";"*makan bergizi gratis*";"*makangratis*";"*makanan gratis*"})),"Relevan","Tidak Relevan")</f>
        <v>Tidak Relevan</v>
      </c>
      <c r="J35" s="1" t="s">
        <v>3622</v>
      </c>
    </row>
    <row r="36" spans="1:10" ht="29" x14ac:dyDescent="0.35">
      <c r="A36" s="1">
        <f t="shared" si="0"/>
        <v>35</v>
      </c>
      <c r="B36" s="1" t="s">
        <v>1788</v>
      </c>
      <c r="C36" s="1" t="s">
        <v>74</v>
      </c>
      <c r="D36" s="1" t="s">
        <v>1789</v>
      </c>
      <c r="E36" s="1" t="s">
        <v>1730</v>
      </c>
      <c r="F36" s="1" t="s">
        <v>1790</v>
      </c>
      <c r="G36" s="1" t="s">
        <v>1790</v>
      </c>
      <c r="H36" s="1" t="s">
        <v>1791</v>
      </c>
      <c r="I36" s="7" t="str" cm="1">
        <f t="array" ref="I36">IF(SUM(COUNTIF(Text_Preprocessing__2247[[#This Row],[full_text]],{"*makan siang gratis*";"*MBG*";"*makan gratis*";"*makan bergizi gratis*";"*makangratis*";"*makanan gratis*"})),"Relevan","Tidak Relevan")</f>
        <v>Relevan</v>
      </c>
      <c r="J36" s="1"/>
    </row>
    <row r="37" spans="1:10" ht="58" x14ac:dyDescent="0.35">
      <c r="A37" s="1">
        <f t="shared" si="0"/>
        <v>36</v>
      </c>
      <c r="B37" s="1" t="s">
        <v>1792</v>
      </c>
      <c r="C37" s="1" t="s">
        <v>76</v>
      </c>
      <c r="D37" s="1" t="s">
        <v>1793</v>
      </c>
      <c r="E37" s="1" t="s">
        <v>1794</v>
      </c>
      <c r="F37" s="1" t="s">
        <v>1795</v>
      </c>
      <c r="G37" s="1" t="s">
        <v>1795</v>
      </c>
      <c r="H37" s="1" t="s">
        <v>1796</v>
      </c>
      <c r="I37" s="7" t="str" cm="1">
        <f t="array" ref="I37">IF(SUM(COUNTIF(Text_Preprocessing__2247[[#This Row],[full_text]],{"*makan siang gratis*";"*MBG*";"*makan gratis*";"*makan bergizi gratis*";"*makangratis*";"*makanan gratis*"})),"Relevan","Tidak Relevan")</f>
        <v>Relevan</v>
      </c>
      <c r="J37" s="1"/>
    </row>
    <row r="38" spans="1:10" ht="29" x14ac:dyDescent="0.35">
      <c r="A38" s="1">
        <f t="shared" si="0"/>
        <v>37</v>
      </c>
      <c r="B38" s="1" t="s">
        <v>1797</v>
      </c>
      <c r="C38" s="1" t="s">
        <v>78</v>
      </c>
      <c r="D38" s="1" t="s">
        <v>1798</v>
      </c>
      <c r="E38" s="1" t="s">
        <v>1799</v>
      </c>
      <c r="F38" s="1" t="s">
        <v>1800</v>
      </c>
      <c r="G38" s="1" t="s">
        <v>1800</v>
      </c>
      <c r="H38" s="1" t="s">
        <v>1801</v>
      </c>
      <c r="I38" s="7" t="str" cm="1">
        <f t="array" ref="I38">IF(SUM(COUNTIF(Text_Preprocessing__2247[[#This Row],[full_text]],{"*makan siang gratis*";"*MBG*";"*makan gratis*";"*makan bergizi gratis*";"*makangratis*";"*makanan gratis*"})),"Relevan","Tidak Relevan")</f>
        <v>Relevan</v>
      </c>
      <c r="J38" s="1"/>
    </row>
    <row r="39" spans="1:10" x14ac:dyDescent="0.35">
      <c r="A39" s="1">
        <f t="shared" si="0"/>
        <v>38</v>
      </c>
      <c r="B39" s="1" t="s">
        <v>1802</v>
      </c>
      <c r="C39" s="1" t="s">
        <v>80</v>
      </c>
      <c r="D39" s="1" t="s">
        <v>1803</v>
      </c>
      <c r="E39" s="1" t="s">
        <v>1804</v>
      </c>
      <c r="F39" s="1" t="s">
        <v>1805</v>
      </c>
      <c r="G39" s="1" t="s">
        <v>1805</v>
      </c>
      <c r="H39" s="1" t="s">
        <v>1806</v>
      </c>
      <c r="I39" s="7" t="str" cm="1">
        <f t="array" ref="I39">IF(SUM(COUNTIF(Text_Preprocessing__2247[[#This Row],[full_text]],{"*makan siang gratis*";"*MBG*";"*makan gratis*";"*makan bergizi gratis*";"*makangratis*";"*makanan gratis*"})),"Relevan","Tidak Relevan")</f>
        <v>Relevan</v>
      </c>
      <c r="J39" s="1"/>
    </row>
    <row r="40" spans="1:10" x14ac:dyDescent="0.35">
      <c r="A40" s="1">
        <f t="shared" si="0"/>
        <v>39</v>
      </c>
      <c r="B40" s="1" t="s">
        <v>1807</v>
      </c>
      <c r="C40" s="1" t="s">
        <v>82</v>
      </c>
      <c r="D40" s="1" t="s">
        <v>1808</v>
      </c>
      <c r="E40" s="1" t="s">
        <v>1809</v>
      </c>
      <c r="F40" s="1" t="s">
        <v>1810</v>
      </c>
      <c r="G40" s="1" t="s">
        <v>1810</v>
      </c>
      <c r="H40" s="1" t="s">
        <v>1811</v>
      </c>
      <c r="I40" s="7" t="str" cm="1">
        <f t="array" ref="I40">IF(SUM(COUNTIF(Text_Preprocessing__2247[[#This Row],[full_text]],{"*makan siang gratis*";"*MBG*";"*makan gratis*";"*makan bergizi gratis*";"*makangratis*";"*makanan gratis*"})),"Relevan","Tidak Relevan")</f>
        <v>Relevan</v>
      </c>
      <c r="J40" s="1"/>
    </row>
    <row r="41" spans="1:10" ht="29" x14ac:dyDescent="0.35">
      <c r="A41" s="1">
        <f t="shared" si="0"/>
        <v>40</v>
      </c>
      <c r="B41" s="1" t="s">
        <v>1812</v>
      </c>
      <c r="C41" s="1" t="s">
        <v>84</v>
      </c>
      <c r="D41" s="1" t="s">
        <v>1813</v>
      </c>
      <c r="E41" s="1" t="s">
        <v>1692</v>
      </c>
      <c r="F41" s="1" t="s">
        <v>1814</v>
      </c>
      <c r="G41" s="1" t="s">
        <v>1814</v>
      </c>
      <c r="H41" s="1" t="s">
        <v>1815</v>
      </c>
      <c r="I41" s="7" t="str" cm="1">
        <f t="array" ref="I41">IF(SUM(COUNTIF(Text_Preprocessing__2247[[#This Row],[full_text]],{"*makan siang gratis*";"*MBG*";"*makan gratis*";"*makan bergizi gratis*";"*makangratis*";"*makanan gratis*"})),"Relevan","Tidak Relevan")</f>
        <v>Tidak Relevan</v>
      </c>
      <c r="J41" s="1" t="s">
        <v>3622</v>
      </c>
    </row>
    <row r="42" spans="1:10" ht="58" x14ac:dyDescent="0.35">
      <c r="A42" s="1">
        <f t="shared" si="0"/>
        <v>41</v>
      </c>
      <c r="B42" s="1" t="s">
        <v>1816</v>
      </c>
      <c r="C42" s="1" t="s">
        <v>76</v>
      </c>
      <c r="D42" s="1" t="s">
        <v>1817</v>
      </c>
      <c r="E42" s="1" t="s">
        <v>1818</v>
      </c>
      <c r="F42" s="1" t="s">
        <v>1819</v>
      </c>
      <c r="G42" s="1" t="s">
        <v>1819</v>
      </c>
      <c r="H42" s="1" t="s">
        <v>1820</v>
      </c>
      <c r="I42" s="7" t="str" cm="1">
        <f t="array" ref="I42">IF(SUM(COUNTIF(Text_Preprocessing__2247[[#This Row],[full_text]],{"*makan siang gratis*";"*MBG*";"*makan gratis*";"*makan bergizi gratis*";"*makangratis*";"*makanan gratis*"})),"Relevan","Tidak Relevan")</f>
        <v>Relevan</v>
      </c>
      <c r="J42" s="1"/>
    </row>
    <row r="43" spans="1:10" ht="43.5" x14ac:dyDescent="0.35">
      <c r="A43" s="1">
        <f t="shared" si="0"/>
        <v>42</v>
      </c>
      <c r="B43" s="1" t="s">
        <v>1821</v>
      </c>
      <c r="C43" s="1" t="s">
        <v>87</v>
      </c>
      <c r="D43" s="1" t="s">
        <v>1822</v>
      </c>
      <c r="E43" s="1" t="s">
        <v>1823</v>
      </c>
      <c r="F43" s="1" t="s">
        <v>1824</v>
      </c>
      <c r="G43" s="1" t="s">
        <v>1825</v>
      </c>
      <c r="H43" s="1" t="s">
        <v>1826</v>
      </c>
      <c r="I43" s="7" t="str" cm="1">
        <f t="array" ref="I43">IF(SUM(COUNTIF(Text_Preprocessing__2247[[#This Row],[full_text]],{"*makan siang gratis*";"*MBG*";"*makan gratis*";"*makan bergizi gratis*";"*makangratis*";"*makanan gratis*"})),"Relevan","Tidak Relevan")</f>
        <v>Relevan</v>
      </c>
      <c r="J43" s="1"/>
    </row>
    <row r="44" spans="1:10" ht="29" x14ac:dyDescent="0.35">
      <c r="A44" s="1">
        <f t="shared" si="0"/>
        <v>43</v>
      </c>
      <c r="B44" s="1" t="s">
        <v>1827</v>
      </c>
      <c r="C44" s="1" t="s">
        <v>84</v>
      </c>
      <c r="D44" s="1" t="s">
        <v>1828</v>
      </c>
      <c r="E44" s="1" t="s">
        <v>1829</v>
      </c>
      <c r="F44" s="1" t="s">
        <v>1830</v>
      </c>
      <c r="G44" s="1" t="s">
        <v>1830</v>
      </c>
      <c r="H44" s="1" t="s">
        <v>1831</v>
      </c>
      <c r="I44" s="7" t="str" cm="1">
        <f t="array" ref="I44">IF(SUM(COUNTIF(Text_Preprocessing__2247[[#This Row],[full_text]],{"*makan siang gratis*";"*MBG*";"*makan gratis*";"*makan bergizi gratis*";"*makangratis*";"*makanan gratis*"})),"Relevan","Tidak Relevan")</f>
        <v>Relevan</v>
      </c>
      <c r="J44" s="1"/>
    </row>
    <row r="45" spans="1:10" ht="58" x14ac:dyDescent="0.35">
      <c r="A45" s="1">
        <f t="shared" si="0"/>
        <v>44</v>
      </c>
      <c r="B45" s="1" t="s">
        <v>1832</v>
      </c>
      <c r="C45" s="1" t="s">
        <v>76</v>
      </c>
      <c r="D45" s="1" t="s">
        <v>1833</v>
      </c>
      <c r="E45" s="1" t="s">
        <v>1834</v>
      </c>
      <c r="F45" s="1" t="s">
        <v>1835</v>
      </c>
      <c r="G45" s="1" t="s">
        <v>1835</v>
      </c>
      <c r="H45" s="1" t="s">
        <v>1836</v>
      </c>
      <c r="I45" s="7" t="str" cm="1">
        <f t="array" ref="I45">IF(SUM(COUNTIF(Text_Preprocessing__2247[[#This Row],[full_text]],{"*makan siang gratis*";"*MBG*";"*makan gratis*";"*makan bergizi gratis*";"*makangratis*";"*makanan gratis*"})),"Relevan","Tidak Relevan")</f>
        <v>Relevan</v>
      </c>
      <c r="J45" s="1"/>
    </row>
    <row r="46" spans="1:10" ht="58" x14ac:dyDescent="0.35">
      <c r="A46" s="1">
        <f t="shared" si="0"/>
        <v>45</v>
      </c>
      <c r="B46" s="1" t="s">
        <v>1837</v>
      </c>
      <c r="C46" s="1" t="s">
        <v>91</v>
      </c>
      <c r="D46" s="1" t="s">
        <v>1838</v>
      </c>
      <c r="E46" s="1" t="s">
        <v>1839</v>
      </c>
      <c r="F46" s="1" t="s">
        <v>1840</v>
      </c>
      <c r="G46" s="1" t="s">
        <v>1840</v>
      </c>
      <c r="H46" s="1" t="s">
        <v>1841</v>
      </c>
      <c r="I46" s="7" t="str" cm="1">
        <f t="array" ref="I46">IF(SUM(COUNTIF(Text_Preprocessing__2247[[#This Row],[full_text]],{"*makan siang gratis*";"*MBG*";"*makan gratis*";"*makan bergizi gratis*";"*makangratis*";"*makanan gratis*"})),"Relevan","Tidak Relevan")</f>
        <v>Relevan</v>
      </c>
      <c r="J46" s="1"/>
    </row>
    <row r="47" spans="1:10" ht="29" x14ac:dyDescent="0.35">
      <c r="A47" s="1">
        <f t="shared" si="0"/>
        <v>46</v>
      </c>
      <c r="B47" s="1" t="s">
        <v>1842</v>
      </c>
      <c r="C47" s="1" t="s">
        <v>93</v>
      </c>
      <c r="D47" s="1" t="s">
        <v>1843</v>
      </c>
      <c r="E47" s="1" t="s">
        <v>1844</v>
      </c>
      <c r="F47" s="1" t="s">
        <v>1845</v>
      </c>
      <c r="G47" s="1" t="s">
        <v>1845</v>
      </c>
      <c r="H47" s="1" t="s">
        <v>1846</v>
      </c>
      <c r="I47" s="7" t="str" cm="1">
        <f t="array" ref="I47">IF(SUM(COUNTIF(Text_Preprocessing__2247[[#This Row],[full_text]],{"*makan siang gratis*";"*MBG*";"*makan gratis*";"*makan bergizi gratis*";"*makangratis*";"*makanan gratis*"})),"Relevan","Tidak Relevan")</f>
        <v>Relevan</v>
      </c>
      <c r="J47" s="1"/>
    </row>
    <row r="48" spans="1:10" x14ac:dyDescent="0.35">
      <c r="A48" s="1">
        <f t="shared" si="0"/>
        <v>47</v>
      </c>
      <c r="B48" s="1" t="s">
        <v>1847</v>
      </c>
      <c r="C48" s="1" t="s">
        <v>93</v>
      </c>
      <c r="D48" s="1" t="s">
        <v>1848</v>
      </c>
      <c r="E48" s="1" t="s">
        <v>1804</v>
      </c>
      <c r="F48" s="1" t="s">
        <v>1849</v>
      </c>
      <c r="G48" s="1" t="s">
        <v>1849</v>
      </c>
      <c r="H48" s="1" t="s">
        <v>1850</v>
      </c>
      <c r="I48" s="7" t="str" cm="1">
        <f t="array" ref="I48">IF(SUM(COUNTIF(Text_Preprocessing__2247[[#This Row],[full_text]],{"*makan siang gratis*";"*MBG*";"*makan gratis*";"*makan bergizi gratis*";"*makangratis*";"*makanan gratis*"})),"Relevan","Tidak Relevan")</f>
        <v>Relevan</v>
      </c>
      <c r="J48" s="1"/>
    </row>
    <row r="49" spans="1:10" ht="58" x14ac:dyDescent="0.35">
      <c r="A49" s="1">
        <f t="shared" si="0"/>
        <v>48</v>
      </c>
      <c r="B49" s="1" t="s">
        <v>1851</v>
      </c>
      <c r="C49" s="1" t="s">
        <v>76</v>
      </c>
      <c r="D49" s="1" t="s">
        <v>1852</v>
      </c>
      <c r="E49" s="1" t="s">
        <v>1853</v>
      </c>
      <c r="F49" s="1" t="s">
        <v>1854</v>
      </c>
      <c r="G49" s="1" t="s">
        <v>1854</v>
      </c>
      <c r="H49" s="1" t="s">
        <v>1855</v>
      </c>
      <c r="I49" s="7" t="str" cm="1">
        <f t="array" ref="I49">IF(SUM(COUNTIF(Text_Preprocessing__2247[[#This Row],[full_text]],{"*makan siang gratis*";"*MBG*";"*makan gratis*";"*makan bergizi gratis*";"*makangratis*";"*makanan gratis*"})),"Relevan","Tidak Relevan")</f>
        <v>Relevan</v>
      </c>
      <c r="J49" s="1"/>
    </row>
    <row r="50" spans="1:10" ht="29" x14ac:dyDescent="0.35">
      <c r="A50" s="1">
        <f t="shared" si="0"/>
        <v>49</v>
      </c>
      <c r="B50" s="1" t="s">
        <v>1856</v>
      </c>
      <c r="C50" s="1" t="s">
        <v>93</v>
      </c>
      <c r="D50" s="1" t="s">
        <v>1857</v>
      </c>
      <c r="E50" s="1" t="s">
        <v>1596</v>
      </c>
      <c r="F50" s="1" t="s">
        <v>1858</v>
      </c>
      <c r="G50" s="1" t="s">
        <v>1858</v>
      </c>
      <c r="H50" s="1" t="s">
        <v>1859</v>
      </c>
      <c r="I50" s="7" t="str" cm="1">
        <f t="array" ref="I50">IF(SUM(COUNTIF(Text_Preprocessing__2247[[#This Row],[full_text]],{"*makan siang gratis*";"*MBG*";"*makan gratis*";"*makan bergizi gratis*";"*makangratis*";"*makanan gratis*"})),"Relevan","Tidak Relevan")</f>
        <v>Relevan</v>
      </c>
      <c r="J50" s="1"/>
    </row>
    <row r="51" spans="1:10" ht="29" x14ac:dyDescent="0.35">
      <c r="A51" s="1">
        <f t="shared" si="0"/>
        <v>50</v>
      </c>
      <c r="B51" s="1" t="s">
        <v>1860</v>
      </c>
      <c r="C51" s="1" t="s">
        <v>98</v>
      </c>
      <c r="D51" s="1" t="s">
        <v>1861</v>
      </c>
      <c r="E51" s="1" t="s">
        <v>1692</v>
      </c>
      <c r="F51" s="1" t="s">
        <v>1862</v>
      </c>
      <c r="G51" s="1" t="s">
        <v>1862</v>
      </c>
      <c r="H51" s="1" t="s">
        <v>1863</v>
      </c>
      <c r="I51" s="7" t="str" cm="1">
        <f t="array" ref="I51">IF(SUM(COUNTIF(Text_Preprocessing__2247[[#This Row],[full_text]],{"*makan siang gratis*";"*MBG*";"*makan gratis*";"*makan bergizi gratis*";"*makangratis*";"*makanan gratis*"})),"Relevan","Tidak Relevan")</f>
        <v>Relevan</v>
      </c>
      <c r="J51" s="1"/>
    </row>
    <row r="52" spans="1:10" ht="29" x14ac:dyDescent="0.35">
      <c r="A52" s="1">
        <f t="shared" si="0"/>
        <v>51</v>
      </c>
      <c r="B52" s="1" t="s">
        <v>1864</v>
      </c>
      <c r="C52" s="1" t="s">
        <v>100</v>
      </c>
      <c r="D52" s="1" t="s">
        <v>1865</v>
      </c>
      <c r="E52" s="1" t="s">
        <v>1730</v>
      </c>
      <c r="F52" s="1" t="s">
        <v>1866</v>
      </c>
      <c r="G52" s="1" t="s">
        <v>1866</v>
      </c>
      <c r="H52" s="1" t="s">
        <v>1867</v>
      </c>
      <c r="I52" s="7" t="str" cm="1">
        <f t="array" ref="I52">IF(SUM(COUNTIF(Text_Preprocessing__2247[[#This Row],[full_text]],{"*makan siang gratis*";"*MBG*";"*makan gratis*";"*makan bergizi gratis*";"*makangratis*";"*makanan gratis*"})),"Relevan","Tidak Relevan")</f>
        <v>Relevan</v>
      </c>
      <c r="J52" s="1"/>
    </row>
    <row r="53" spans="1:10" x14ac:dyDescent="0.35">
      <c r="A53" s="1">
        <f t="shared" si="0"/>
        <v>52</v>
      </c>
      <c r="B53" s="1" t="s">
        <v>1868</v>
      </c>
      <c r="C53" s="1" t="s">
        <v>102</v>
      </c>
      <c r="D53" s="1" t="s">
        <v>1869</v>
      </c>
      <c r="E53" s="1" t="s">
        <v>1596</v>
      </c>
      <c r="F53" s="1" t="s">
        <v>1870</v>
      </c>
      <c r="G53" s="1" t="s">
        <v>1871</v>
      </c>
      <c r="H53" s="1" t="s">
        <v>1872</v>
      </c>
      <c r="I53" s="7" t="str" cm="1">
        <f t="array" ref="I53">IF(SUM(COUNTIF(Text_Preprocessing__2247[[#This Row],[full_text]],{"*makan siang gratis*";"*MBG*";"*makan gratis*";"*makan bergizi gratis*";"*makangratis*";"*makanan gratis*"})),"Relevan","Tidak Relevan")</f>
        <v>Relevan</v>
      </c>
      <c r="J53" s="1"/>
    </row>
    <row r="54" spans="1:10" ht="29" x14ac:dyDescent="0.35">
      <c r="A54" s="1">
        <f t="shared" si="0"/>
        <v>53</v>
      </c>
      <c r="B54" s="1" t="s">
        <v>1873</v>
      </c>
      <c r="C54" s="1" t="s">
        <v>100</v>
      </c>
      <c r="D54" s="1" t="s">
        <v>1874</v>
      </c>
      <c r="E54" s="1" t="s">
        <v>1804</v>
      </c>
      <c r="F54" s="1" t="s">
        <v>1875</v>
      </c>
      <c r="G54" s="1" t="s">
        <v>1875</v>
      </c>
      <c r="H54" s="1" t="s">
        <v>1876</v>
      </c>
      <c r="I54" s="7" t="str" cm="1">
        <f t="array" ref="I54">IF(SUM(COUNTIF(Text_Preprocessing__2247[[#This Row],[full_text]],{"*makan siang gratis*";"*MBG*";"*makan gratis*";"*makan bergizi gratis*";"*makangratis*";"*makanan gratis*"})),"Relevan","Tidak Relevan")</f>
        <v>Relevan</v>
      </c>
      <c r="J54" s="1"/>
    </row>
    <row r="55" spans="1:10" ht="58" x14ac:dyDescent="0.35">
      <c r="A55" s="1">
        <f t="shared" si="0"/>
        <v>54</v>
      </c>
      <c r="B55" s="1" t="s">
        <v>1877</v>
      </c>
      <c r="C55" s="1" t="s">
        <v>105</v>
      </c>
      <c r="D55" s="1" t="s">
        <v>1878</v>
      </c>
      <c r="E55" s="1" t="s">
        <v>1879</v>
      </c>
      <c r="F55" s="1" t="s">
        <v>1880</v>
      </c>
      <c r="G55" s="1" t="s">
        <v>1880</v>
      </c>
      <c r="H55" s="1" t="s">
        <v>1881</v>
      </c>
      <c r="I55" s="7" t="str" cm="1">
        <f t="array" ref="I55">IF(SUM(COUNTIF(Text_Preprocessing__2247[[#This Row],[full_text]],{"*makan siang gratis*";"*MBG*";"*makan gratis*";"*makan bergizi gratis*";"*makangratis*";"*makanan gratis*"})),"Relevan","Tidak Relevan")</f>
        <v>Relevan</v>
      </c>
      <c r="J55" s="1"/>
    </row>
    <row r="56" spans="1:10" ht="29" x14ac:dyDescent="0.35">
      <c r="A56" s="1">
        <f t="shared" si="0"/>
        <v>55</v>
      </c>
      <c r="B56" s="1" t="s">
        <v>1882</v>
      </c>
      <c r="C56" s="1" t="s">
        <v>108</v>
      </c>
      <c r="D56" s="1" t="s">
        <v>1883</v>
      </c>
      <c r="E56" s="1" t="s">
        <v>1884</v>
      </c>
      <c r="F56" s="1" t="s">
        <v>1883</v>
      </c>
      <c r="G56" s="1" t="s">
        <v>1883</v>
      </c>
      <c r="H56" s="1" t="s">
        <v>1885</v>
      </c>
      <c r="I56" s="7" t="str" cm="1">
        <f t="array" ref="I56">IF(SUM(COUNTIF(Text_Preprocessing__2247[[#This Row],[full_text]],{"*makan siang gratis*";"*MBG*";"*makan gratis*";"*makan bergizi gratis*";"*makangratis*";"*makanan gratis*"})),"Relevan","Tidak Relevan")</f>
        <v>Relevan</v>
      </c>
      <c r="J56" s="1"/>
    </row>
    <row r="57" spans="1:10" x14ac:dyDescent="0.35">
      <c r="A57" s="1">
        <f t="shared" si="0"/>
        <v>56</v>
      </c>
      <c r="B57" s="1" t="s">
        <v>1886</v>
      </c>
      <c r="C57" s="1" t="s">
        <v>110</v>
      </c>
      <c r="D57" s="1" t="s">
        <v>1887</v>
      </c>
      <c r="E57" s="1" t="s">
        <v>1888</v>
      </c>
      <c r="F57" s="1" t="s">
        <v>1887</v>
      </c>
      <c r="G57" s="1" t="s">
        <v>1889</v>
      </c>
      <c r="H57" s="1" t="s">
        <v>1890</v>
      </c>
      <c r="I57" s="7" t="str" cm="1">
        <f t="array" ref="I57">IF(SUM(COUNTIF(Text_Preprocessing__2247[[#This Row],[full_text]],{"*makan siang gratis*";"*MBG*";"*makan gratis*";"*makan bergizi gratis*";"*makangratis*";"*makanan gratis*"})),"Relevan","Tidak Relevan")</f>
        <v>Relevan</v>
      </c>
      <c r="J57" s="1"/>
    </row>
    <row r="58" spans="1:10" ht="43.5" x14ac:dyDescent="0.35">
      <c r="A58" s="1">
        <f t="shared" si="0"/>
        <v>57</v>
      </c>
      <c r="B58" s="1" t="s">
        <v>1891</v>
      </c>
      <c r="C58" s="1" t="s">
        <v>112</v>
      </c>
      <c r="D58" s="1" t="s">
        <v>1892</v>
      </c>
      <c r="E58" s="1" t="s">
        <v>1893</v>
      </c>
      <c r="F58" s="1" t="s">
        <v>1894</v>
      </c>
      <c r="G58" s="1" t="s">
        <v>1894</v>
      </c>
      <c r="H58" s="1" t="s">
        <v>1895</v>
      </c>
      <c r="I58" s="7" t="str" cm="1">
        <f t="array" ref="I58">IF(SUM(COUNTIF(Text_Preprocessing__2247[[#This Row],[full_text]],{"*makan siang gratis*";"*MBG*";"*makan gratis*";"*makan bergizi gratis*";"*makangratis*";"*makanan gratis*"})),"Relevan","Tidak Relevan")</f>
        <v>Relevan</v>
      </c>
      <c r="J58" s="1"/>
    </row>
    <row r="59" spans="1:10" ht="29" x14ac:dyDescent="0.35">
      <c r="A59" s="1">
        <f t="shared" si="0"/>
        <v>58</v>
      </c>
      <c r="B59" s="1" t="s">
        <v>1896</v>
      </c>
      <c r="C59" s="1" t="s">
        <v>114</v>
      </c>
      <c r="D59" s="1" t="s">
        <v>1897</v>
      </c>
      <c r="E59" s="1" t="s">
        <v>1596</v>
      </c>
      <c r="F59" s="1" t="s">
        <v>1897</v>
      </c>
      <c r="G59" s="1" t="s">
        <v>1897</v>
      </c>
      <c r="H59" s="1" t="s">
        <v>1898</v>
      </c>
      <c r="I59" s="7" t="str" cm="1">
        <f t="array" ref="I59">IF(SUM(COUNTIF(Text_Preprocessing__2247[[#This Row],[full_text]],{"*makan siang gratis*";"*MBG*";"*makan gratis*";"*makan bergizi gratis*";"*makangratis*";"*makanan gratis*"})),"Relevan","Tidak Relevan")</f>
        <v>Relevan</v>
      </c>
      <c r="J59" s="1"/>
    </row>
    <row r="60" spans="1:10" ht="29" x14ac:dyDescent="0.35">
      <c r="A60" s="1">
        <f t="shared" si="0"/>
        <v>59</v>
      </c>
      <c r="B60" s="1" t="s">
        <v>1899</v>
      </c>
      <c r="C60" s="1" t="s">
        <v>116</v>
      </c>
      <c r="D60" s="1" t="s">
        <v>1900</v>
      </c>
      <c r="E60" s="1" t="s">
        <v>1829</v>
      </c>
      <c r="F60" s="1" t="s">
        <v>1901</v>
      </c>
      <c r="G60" s="1" t="s">
        <v>1902</v>
      </c>
      <c r="H60" s="1" t="s">
        <v>1903</v>
      </c>
      <c r="I60" s="7" t="str" cm="1">
        <f t="array" ref="I60">IF(SUM(COUNTIF(Text_Preprocessing__2247[[#This Row],[full_text]],{"*makan siang gratis*";"*MBG*";"*makan gratis*";"*makan bergizi gratis*";"*makangratis*";"*makanan gratis*"})),"Relevan","Tidak Relevan")</f>
        <v>Relevan</v>
      </c>
      <c r="J60" s="1"/>
    </row>
    <row r="61" spans="1:10" ht="58" x14ac:dyDescent="0.35">
      <c r="A61" s="1">
        <f t="shared" si="0"/>
        <v>60</v>
      </c>
      <c r="B61" s="1" t="s">
        <v>1904</v>
      </c>
      <c r="C61" s="1" t="s">
        <v>119</v>
      </c>
      <c r="D61" s="1" t="s">
        <v>1905</v>
      </c>
      <c r="E61" s="1" t="s">
        <v>1906</v>
      </c>
      <c r="F61" s="1" t="s">
        <v>1907</v>
      </c>
      <c r="G61" s="1" t="s">
        <v>1907</v>
      </c>
      <c r="H61" s="1" t="s">
        <v>1908</v>
      </c>
      <c r="I61" s="7" t="str" cm="1">
        <f t="array" ref="I61">IF(SUM(COUNTIF(Text_Preprocessing__2247[[#This Row],[full_text]],{"*makan siang gratis*";"*MBG*";"*makan gratis*";"*makan bergizi gratis*";"*makangratis*";"*makanan gratis*"})),"Relevan","Tidak Relevan")</f>
        <v>Relevan</v>
      </c>
      <c r="J61" s="1"/>
    </row>
    <row r="62" spans="1:10" ht="58" x14ac:dyDescent="0.35">
      <c r="A62" s="1">
        <f t="shared" si="0"/>
        <v>61</v>
      </c>
      <c r="B62" s="1" t="s">
        <v>1909</v>
      </c>
      <c r="C62" s="1" t="s">
        <v>121</v>
      </c>
      <c r="D62" s="1" t="s">
        <v>1910</v>
      </c>
      <c r="E62" s="1" t="s">
        <v>1652</v>
      </c>
      <c r="F62" s="1" t="s">
        <v>1911</v>
      </c>
      <c r="G62" s="1" t="s">
        <v>1911</v>
      </c>
      <c r="H62" s="1" t="s">
        <v>1912</v>
      </c>
      <c r="I62" s="7" t="str" cm="1">
        <f t="array" ref="I62">IF(SUM(COUNTIF(Text_Preprocessing__2247[[#This Row],[full_text]],{"*makan siang gratis*";"*MBG*";"*makan gratis*";"*makan bergizi gratis*";"*makangratis*";"*makanan gratis*"})),"Relevan","Tidak Relevan")</f>
        <v>Relevan</v>
      </c>
      <c r="J62" s="1"/>
    </row>
    <row r="63" spans="1:10" ht="43.5" x14ac:dyDescent="0.35">
      <c r="A63" s="1">
        <f t="shared" si="0"/>
        <v>62</v>
      </c>
      <c r="B63" s="1" t="s">
        <v>1913</v>
      </c>
      <c r="C63" s="1" t="s">
        <v>123</v>
      </c>
      <c r="D63" s="1" t="s">
        <v>1914</v>
      </c>
      <c r="E63" s="1" t="s">
        <v>1915</v>
      </c>
      <c r="F63" s="1" t="s">
        <v>1916</v>
      </c>
      <c r="G63" s="1" t="s">
        <v>1916</v>
      </c>
      <c r="H63" s="1" t="s">
        <v>1917</v>
      </c>
      <c r="I63" s="7" t="str" cm="1">
        <f t="array" ref="I63">IF(SUM(COUNTIF(Text_Preprocessing__2247[[#This Row],[full_text]],{"*makan siang gratis*";"*MBG*";"*makan gratis*";"*makan bergizi gratis*";"*makangratis*";"*makanan gratis*"})),"Relevan","Tidak Relevan")</f>
        <v>Relevan</v>
      </c>
      <c r="J63" s="1"/>
    </row>
    <row r="64" spans="1:10" ht="43.5" x14ac:dyDescent="0.35">
      <c r="A64" s="1">
        <f t="shared" si="0"/>
        <v>63</v>
      </c>
      <c r="B64" s="1" t="s">
        <v>1918</v>
      </c>
      <c r="C64" s="1" t="s">
        <v>125</v>
      </c>
      <c r="D64" s="1" t="s">
        <v>1919</v>
      </c>
      <c r="E64" s="1" t="s">
        <v>1920</v>
      </c>
      <c r="F64" s="1" t="s">
        <v>1921</v>
      </c>
      <c r="G64" s="1" t="s">
        <v>1921</v>
      </c>
      <c r="H64" s="1" t="s">
        <v>1922</v>
      </c>
      <c r="I64" s="7" t="str" cm="1">
        <f t="array" ref="I64">IF(SUM(COUNTIF(Text_Preprocessing__2247[[#This Row],[full_text]],{"*makan siang gratis*";"*MBG*";"*makan gratis*";"*makan bergizi gratis*";"*makangratis*";"*makanan gratis*"})),"Relevan","Tidak Relevan")</f>
        <v>Relevan</v>
      </c>
      <c r="J64" s="1"/>
    </row>
    <row r="65" spans="1:10" ht="58" x14ac:dyDescent="0.35">
      <c r="A65" s="1">
        <f t="shared" si="0"/>
        <v>64</v>
      </c>
      <c r="B65" s="1" t="s">
        <v>1923</v>
      </c>
      <c r="C65" s="1" t="s">
        <v>127</v>
      </c>
      <c r="D65" s="1" t="s">
        <v>1924</v>
      </c>
      <c r="E65" s="1" t="s">
        <v>1624</v>
      </c>
      <c r="F65" s="1" t="s">
        <v>1925</v>
      </c>
      <c r="G65" s="1" t="s">
        <v>1925</v>
      </c>
      <c r="H65" s="1" t="s">
        <v>1926</v>
      </c>
      <c r="I65" s="7" t="str" cm="1">
        <f t="array" ref="I65">IF(SUM(COUNTIF(Text_Preprocessing__2247[[#This Row],[full_text]],{"*makan siang gratis*";"*MBG*";"*makan gratis*";"*makan bergizi gratis*";"*makangratis*";"*makanan gratis*"})),"Relevan","Tidak Relevan")</f>
        <v>Relevan</v>
      </c>
      <c r="J65" s="1"/>
    </row>
    <row r="66" spans="1:10" ht="29" x14ac:dyDescent="0.35">
      <c r="A66" s="1">
        <f t="shared" si="0"/>
        <v>65</v>
      </c>
      <c r="B66" s="1" t="s">
        <v>1927</v>
      </c>
      <c r="C66" s="1" t="s">
        <v>129</v>
      </c>
      <c r="D66" s="1" t="s">
        <v>1928</v>
      </c>
      <c r="E66" s="1" t="s">
        <v>1929</v>
      </c>
      <c r="F66" s="1" t="s">
        <v>1930</v>
      </c>
      <c r="G66" s="1" t="s">
        <v>1931</v>
      </c>
      <c r="H66" s="1" t="s">
        <v>1932</v>
      </c>
      <c r="I66" s="7" t="str" cm="1">
        <f t="array" ref="I66">IF(SUM(COUNTIF(Text_Preprocessing__2247[[#This Row],[full_text]],{"*makan siang gratis*";"*MBG*";"*makan gratis*";"*makan bergizi gratis*";"*makangratis*";"*makanan gratis*"})),"Relevan","Tidak Relevan")</f>
        <v>Relevan</v>
      </c>
      <c r="J66" s="1"/>
    </row>
    <row r="67" spans="1:10" ht="29" x14ac:dyDescent="0.35">
      <c r="A67" s="1">
        <f t="shared" ref="A67:A130" si="1">SUM(A66+1)</f>
        <v>66</v>
      </c>
      <c r="B67" s="1" t="s">
        <v>1933</v>
      </c>
      <c r="C67" s="1" t="s">
        <v>93</v>
      </c>
      <c r="D67" s="1" t="s">
        <v>1934</v>
      </c>
      <c r="E67" s="1" t="s">
        <v>1596</v>
      </c>
      <c r="F67" s="1" t="s">
        <v>1935</v>
      </c>
      <c r="G67" s="1" t="s">
        <v>1935</v>
      </c>
      <c r="H67" s="1" t="s">
        <v>1936</v>
      </c>
      <c r="I67" s="7" t="str" cm="1">
        <f t="array" ref="I67">IF(SUM(COUNTIF(Text_Preprocessing__2247[[#This Row],[full_text]],{"*makan siang gratis*";"*MBG*";"*makan gratis*";"*makan bergizi gratis*";"*makangratis*";"*makanan gratis*"})),"Relevan","Tidak Relevan")</f>
        <v>Relevan</v>
      </c>
      <c r="J67" s="1"/>
    </row>
    <row r="68" spans="1:10" ht="29" x14ac:dyDescent="0.35">
      <c r="A68" s="1">
        <f t="shared" si="1"/>
        <v>67</v>
      </c>
      <c r="B68" s="1" t="s">
        <v>1937</v>
      </c>
      <c r="C68" s="1" t="s">
        <v>133</v>
      </c>
      <c r="D68" s="1" t="s">
        <v>1938</v>
      </c>
      <c r="E68" s="1" t="s">
        <v>1596</v>
      </c>
      <c r="F68" s="1" t="s">
        <v>1938</v>
      </c>
      <c r="G68" s="1" t="s">
        <v>1938</v>
      </c>
      <c r="H68" s="1" t="s">
        <v>1939</v>
      </c>
      <c r="I68" s="7" t="str" cm="1">
        <f t="array" ref="I68">IF(SUM(COUNTIF(Text_Preprocessing__2247[[#This Row],[full_text]],{"*makan siang gratis*";"*MBG*";"*makan gratis*";"*makan bergizi gratis*";"*makangratis*";"*makanan gratis*"})),"Relevan","Tidak Relevan")</f>
        <v>Relevan</v>
      </c>
      <c r="J68" s="1"/>
    </row>
    <row r="69" spans="1:10" ht="29" x14ac:dyDescent="0.35">
      <c r="A69" s="1">
        <f t="shared" si="1"/>
        <v>68</v>
      </c>
      <c r="B69" s="1" t="s">
        <v>1940</v>
      </c>
      <c r="C69" s="1" t="s">
        <v>135</v>
      </c>
      <c r="D69" s="1" t="s">
        <v>1941</v>
      </c>
      <c r="E69" s="1" t="s">
        <v>1692</v>
      </c>
      <c r="F69" s="1" t="s">
        <v>1942</v>
      </c>
      <c r="G69" s="1" t="s">
        <v>1942</v>
      </c>
      <c r="H69" s="1" t="s">
        <v>1943</v>
      </c>
      <c r="I69" s="7" t="str" cm="1">
        <f t="array" ref="I69">IF(SUM(COUNTIF(Text_Preprocessing__2247[[#This Row],[full_text]],{"*makan siang gratis*";"*MBG*";"*makan gratis*";"*makan bergizi gratis*";"*makangratis*";"*makanan gratis*"})),"Relevan","Tidak Relevan")</f>
        <v>Relevan</v>
      </c>
      <c r="J69" s="1"/>
    </row>
    <row r="70" spans="1:10" ht="58" x14ac:dyDescent="0.35">
      <c r="A70" s="1">
        <f t="shared" si="1"/>
        <v>69</v>
      </c>
      <c r="B70" s="1" t="s">
        <v>1944</v>
      </c>
      <c r="C70" s="1" t="s">
        <v>137</v>
      </c>
      <c r="D70" s="1" t="s">
        <v>1945</v>
      </c>
      <c r="E70" s="1" t="s">
        <v>1946</v>
      </c>
      <c r="F70" s="1" t="s">
        <v>1947</v>
      </c>
      <c r="G70" s="1" t="s">
        <v>1947</v>
      </c>
      <c r="H70" s="1" t="s">
        <v>1948</v>
      </c>
      <c r="I70" s="7" t="str" cm="1">
        <f t="array" ref="I70">IF(SUM(COUNTIF(Text_Preprocessing__2247[[#This Row],[full_text]],{"*makan siang gratis*";"*MBG*";"*makan gratis*";"*makan bergizi gratis*";"*makangratis*";"*makanan gratis*"})),"Relevan","Tidak Relevan")</f>
        <v>Relevan</v>
      </c>
      <c r="J70" s="1"/>
    </row>
    <row r="71" spans="1:10" ht="58" x14ac:dyDescent="0.35">
      <c r="A71" s="1">
        <f t="shared" si="1"/>
        <v>70</v>
      </c>
      <c r="B71" s="1" t="s">
        <v>1949</v>
      </c>
      <c r="C71" s="1" t="s">
        <v>139</v>
      </c>
      <c r="D71" s="1" t="s">
        <v>1950</v>
      </c>
      <c r="E71" s="1" t="s">
        <v>1951</v>
      </c>
      <c r="F71" s="1" t="s">
        <v>1952</v>
      </c>
      <c r="G71" s="1" t="s">
        <v>1952</v>
      </c>
      <c r="H71" s="1" t="s">
        <v>1953</v>
      </c>
      <c r="I71" s="7" t="str" cm="1">
        <f t="array" ref="I71">IF(SUM(COUNTIF(Text_Preprocessing__2247[[#This Row],[full_text]],{"*makan siang gratis*";"*MBG*";"*makan gratis*";"*makan bergizi gratis*";"*makangratis*";"*makanan gratis*"})),"Relevan","Tidak Relevan")</f>
        <v>Relevan</v>
      </c>
      <c r="J71" s="1"/>
    </row>
    <row r="72" spans="1:10" ht="29" x14ac:dyDescent="0.35">
      <c r="A72" s="1">
        <f t="shared" si="1"/>
        <v>71</v>
      </c>
      <c r="B72" s="1" t="s">
        <v>1954</v>
      </c>
      <c r="C72" s="1" t="s">
        <v>141</v>
      </c>
      <c r="D72" s="1" t="s">
        <v>1955</v>
      </c>
      <c r="E72" s="1" t="s">
        <v>1730</v>
      </c>
      <c r="F72" s="1" t="s">
        <v>1956</v>
      </c>
      <c r="G72" s="1" t="s">
        <v>1956</v>
      </c>
      <c r="H72" s="1" t="s">
        <v>1957</v>
      </c>
      <c r="I72" s="7" t="str" cm="1">
        <f t="array" ref="I72">IF(SUM(COUNTIF(Text_Preprocessing__2247[[#This Row],[full_text]],{"*makan siang gratis*";"*MBG*";"*makan gratis*";"*makan bergizi gratis*";"*makangratis*";"*makanan gratis*"})),"Relevan","Tidak Relevan")</f>
        <v>Relevan</v>
      </c>
      <c r="J72" s="1"/>
    </row>
    <row r="73" spans="1:10" ht="43.5" x14ac:dyDescent="0.35">
      <c r="A73" s="1">
        <f t="shared" si="1"/>
        <v>72</v>
      </c>
      <c r="B73" s="1" t="s">
        <v>1958</v>
      </c>
      <c r="C73" s="1" t="s">
        <v>143</v>
      </c>
      <c r="D73" s="1" t="s">
        <v>1959</v>
      </c>
      <c r="E73" s="1" t="s">
        <v>1893</v>
      </c>
      <c r="F73" s="1" t="s">
        <v>1960</v>
      </c>
      <c r="G73" s="1" t="s">
        <v>1960</v>
      </c>
      <c r="H73" s="1" t="s">
        <v>1961</v>
      </c>
      <c r="I73" s="7" t="str" cm="1">
        <f t="array" ref="I73">IF(SUM(COUNTIF(Text_Preprocessing__2247[[#This Row],[full_text]],{"*makan siang gratis*";"*MBG*";"*makan gratis*";"*makan bergizi gratis*";"*makangratis*";"*makanan gratis*"})),"Relevan","Tidak Relevan")</f>
        <v>Relevan</v>
      </c>
      <c r="J73" s="1"/>
    </row>
    <row r="74" spans="1:10" ht="29" x14ac:dyDescent="0.35">
      <c r="A74" s="1">
        <f t="shared" si="1"/>
        <v>73</v>
      </c>
      <c r="B74" s="1" t="s">
        <v>1962</v>
      </c>
      <c r="C74" s="1" t="s">
        <v>143</v>
      </c>
      <c r="D74" s="1" t="s">
        <v>1963</v>
      </c>
      <c r="E74" s="1" t="s">
        <v>1964</v>
      </c>
      <c r="F74" s="1" t="s">
        <v>1965</v>
      </c>
      <c r="G74" s="1" t="s">
        <v>1965</v>
      </c>
      <c r="H74" s="1" t="s">
        <v>1966</v>
      </c>
      <c r="I74" s="7" t="str" cm="1">
        <f t="array" ref="I74">IF(SUM(COUNTIF(Text_Preprocessing__2247[[#This Row],[full_text]],{"*makan siang gratis*";"*MBG*";"*makan gratis*";"*makan bergizi gratis*";"*makangratis*";"*makanan gratis*"})),"Relevan","Tidak Relevan")</f>
        <v>Relevan</v>
      </c>
      <c r="J74" s="1"/>
    </row>
    <row r="75" spans="1:10" ht="43.5" x14ac:dyDescent="0.35">
      <c r="A75" s="1">
        <f t="shared" si="1"/>
        <v>74</v>
      </c>
      <c r="B75" s="1" t="s">
        <v>1967</v>
      </c>
      <c r="C75" s="1" t="s">
        <v>143</v>
      </c>
      <c r="D75" s="1" t="s">
        <v>1968</v>
      </c>
      <c r="E75" s="1" t="s">
        <v>1893</v>
      </c>
      <c r="F75" s="1" t="s">
        <v>1969</v>
      </c>
      <c r="G75" s="1" t="s">
        <v>1969</v>
      </c>
      <c r="H75" s="1" t="s">
        <v>1970</v>
      </c>
      <c r="I75" s="7" t="str" cm="1">
        <f t="array" ref="I75">IF(SUM(COUNTIF(Text_Preprocessing__2247[[#This Row],[full_text]],{"*makan siang gratis*";"*MBG*";"*makan gratis*";"*makan bergizi gratis*";"*makangratis*";"*makanan gratis*"})),"Relevan","Tidak Relevan")</f>
        <v>Relevan</v>
      </c>
      <c r="J75" s="1"/>
    </row>
    <row r="76" spans="1:10" ht="43.5" x14ac:dyDescent="0.35">
      <c r="A76" s="1">
        <f t="shared" si="1"/>
        <v>75</v>
      </c>
      <c r="B76" s="1" t="s">
        <v>1971</v>
      </c>
      <c r="C76" s="1" t="s">
        <v>149</v>
      </c>
      <c r="D76" s="1" t="s">
        <v>1972</v>
      </c>
      <c r="E76" s="1" t="s">
        <v>1973</v>
      </c>
      <c r="F76" s="1" t="s">
        <v>1974</v>
      </c>
      <c r="G76" s="1" t="s">
        <v>1974</v>
      </c>
      <c r="H76" s="1" t="s">
        <v>1975</v>
      </c>
      <c r="I76" s="7" t="str" cm="1">
        <f t="array" ref="I76">IF(SUM(COUNTIF(Text_Preprocessing__2247[[#This Row],[full_text]],{"*makan siang gratis*";"*MBG*";"*makan gratis*";"*makan bergizi gratis*";"*makangratis*";"*makanan gratis*"})),"Relevan","Tidak Relevan")</f>
        <v>Relevan</v>
      </c>
      <c r="J76" s="1"/>
    </row>
    <row r="77" spans="1:10" ht="29" x14ac:dyDescent="0.35">
      <c r="A77" s="1">
        <f t="shared" si="1"/>
        <v>76</v>
      </c>
      <c r="B77" s="1" t="s">
        <v>1976</v>
      </c>
      <c r="C77" s="1" t="s">
        <v>143</v>
      </c>
      <c r="D77" s="1" t="s">
        <v>1977</v>
      </c>
      <c r="E77" s="1" t="s">
        <v>1724</v>
      </c>
      <c r="F77" s="1" t="s">
        <v>1978</v>
      </c>
      <c r="G77" s="1" t="s">
        <v>1978</v>
      </c>
      <c r="H77" s="1" t="s">
        <v>1979</v>
      </c>
      <c r="I77" s="7" t="str" cm="1">
        <f t="array" ref="I77">IF(SUM(COUNTIF(Text_Preprocessing__2247[[#This Row],[full_text]],{"*makan siang gratis*";"*MBG*";"*makan gratis*";"*makan bergizi gratis*";"*makangratis*";"*makanan gratis*"})),"Relevan","Tidak Relevan")</f>
        <v>Relevan</v>
      </c>
      <c r="J77" s="1"/>
    </row>
    <row r="78" spans="1:10" ht="29" x14ac:dyDescent="0.35">
      <c r="A78" s="1">
        <f t="shared" si="1"/>
        <v>77</v>
      </c>
      <c r="B78" s="1" t="s">
        <v>1980</v>
      </c>
      <c r="C78" s="1" t="s">
        <v>143</v>
      </c>
      <c r="D78" s="1" t="s">
        <v>1981</v>
      </c>
      <c r="E78" s="1" t="s">
        <v>1692</v>
      </c>
      <c r="F78" s="1" t="s">
        <v>1982</v>
      </c>
      <c r="G78" s="1" t="s">
        <v>1982</v>
      </c>
      <c r="H78" s="1" t="s">
        <v>1983</v>
      </c>
      <c r="I78" s="7" t="str" cm="1">
        <f t="array" ref="I78">IF(SUM(COUNTIF(Text_Preprocessing__2247[[#This Row],[full_text]],{"*makan siang gratis*";"*MBG*";"*makan gratis*";"*makan bergizi gratis*";"*makangratis*";"*makanan gratis*"})),"Relevan","Tidak Relevan")</f>
        <v>Relevan</v>
      </c>
      <c r="J78" s="1"/>
    </row>
    <row r="79" spans="1:10" x14ac:dyDescent="0.35">
      <c r="A79" s="1">
        <f t="shared" si="1"/>
        <v>78</v>
      </c>
      <c r="B79" s="1" t="s">
        <v>1984</v>
      </c>
      <c r="C79" s="1" t="s">
        <v>153</v>
      </c>
      <c r="D79" s="1" t="s">
        <v>1985</v>
      </c>
      <c r="E79" s="1" t="s">
        <v>1804</v>
      </c>
      <c r="F79" s="1" t="s">
        <v>1986</v>
      </c>
      <c r="G79" s="1" t="s">
        <v>1986</v>
      </c>
      <c r="H79" s="1" t="s">
        <v>1987</v>
      </c>
      <c r="I79" s="7" t="str" cm="1">
        <f t="array" ref="I79">IF(SUM(COUNTIF(Text_Preprocessing__2247[[#This Row],[full_text]],{"*makan siang gratis*";"*MBG*";"*makan gratis*";"*makan bergizi gratis*";"*makangratis*";"*makanan gratis*"})),"Relevan","Tidak Relevan")</f>
        <v>Relevan</v>
      </c>
      <c r="J79" s="1"/>
    </row>
    <row r="80" spans="1:10" ht="29" x14ac:dyDescent="0.35">
      <c r="A80" s="1">
        <f t="shared" si="1"/>
        <v>79</v>
      </c>
      <c r="B80" s="1" t="s">
        <v>1988</v>
      </c>
      <c r="C80" s="1" t="s">
        <v>157</v>
      </c>
      <c r="D80" s="1" t="s">
        <v>1989</v>
      </c>
      <c r="E80" s="1" t="s">
        <v>1990</v>
      </c>
      <c r="F80" s="1" t="s">
        <v>1991</v>
      </c>
      <c r="G80" s="1" t="s">
        <v>1991</v>
      </c>
      <c r="H80" s="1" t="s">
        <v>1992</v>
      </c>
      <c r="I80" s="7" t="str" cm="1">
        <f t="array" ref="I80">IF(SUM(COUNTIF(Text_Preprocessing__2247[[#This Row],[full_text]],{"*makan siang gratis*";"*MBG*";"*makan gratis*";"*makan bergizi gratis*";"*makangratis*";"*makanan gratis*"})),"Relevan","Tidak Relevan")</f>
        <v>Relevan</v>
      </c>
      <c r="J80" s="1"/>
    </row>
    <row r="81" spans="1:10" ht="29" x14ac:dyDescent="0.35">
      <c r="A81" s="1">
        <f t="shared" si="1"/>
        <v>80</v>
      </c>
      <c r="B81" s="1" t="s">
        <v>1993</v>
      </c>
      <c r="C81" s="1" t="s">
        <v>159</v>
      </c>
      <c r="D81" s="1" t="s">
        <v>1994</v>
      </c>
      <c r="E81" s="1" t="s">
        <v>1735</v>
      </c>
      <c r="F81" s="1" t="s">
        <v>1995</v>
      </c>
      <c r="G81" s="1" t="s">
        <v>1995</v>
      </c>
      <c r="H81" s="1" t="s">
        <v>1996</v>
      </c>
      <c r="I81" s="7" t="str" cm="1">
        <f t="array" ref="I81">IF(SUM(COUNTIF(Text_Preprocessing__2247[[#This Row],[full_text]],{"*makan siang gratis*";"*MBG*";"*makan gratis*";"*makan bergizi gratis*";"*makangratis*";"*makanan gratis*"})),"Relevan","Tidak Relevan")</f>
        <v>Relevan</v>
      </c>
      <c r="J81" s="1"/>
    </row>
    <row r="82" spans="1:10" ht="43.5" x14ac:dyDescent="0.35">
      <c r="A82" s="1">
        <f t="shared" si="1"/>
        <v>81</v>
      </c>
      <c r="B82" s="1" t="s">
        <v>1997</v>
      </c>
      <c r="C82" s="1" t="s">
        <v>161</v>
      </c>
      <c r="D82" s="1" t="s">
        <v>1998</v>
      </c>
      <c r="E82" s="1" t="s">
        <v>1999</v>
      </c>
      <c r="F82" s="1" t="s">
        <v>2000</v>
      </c>
      <c r="G82" s="1" t="s">
        <v>2000</v>
      </c>
      <c r="H82" s="1" t="s">
        <v>2001</v>
      </c>
      <c r="I82" s="7" t="str" cm="1">
        <f t="array" ref="I82">IF(SUM(COUNTIF(Text_Preprocessing__2247[[#This Row],[full_text]],{"*makan siang gratis*";"*MBG*";"*makan gratis*";"*makan bergizi gratis*";"*makangratis*";"*makanan gratis*"})),"Relevan","Tidak Relevan")</f>
        <v>Relevan</v>
      </c>
      <c r="J82" s="1"/>
    </row>
    <row r="83" spans="1:10" ht="29" x14ac:dyDescent="0.35">
      <c r="A83" s="1">
        <f t="shared" si="1"/>
        <v>82</v>
      </c>
      <c r="B83" s="1" t="s">
        <v>2002</v>
      </c>
      <c r="C83" s="1" t="s">
        <v>102</v>
      </c>
      <c r="D83" s="1" t="s">
        <v>2003</v>
      </c>
      <c r="E83" s="1" t="s">
        <v>1613</v>
      </c>
      <c r="F83" s="1" t="s">
        <v>2004</v>
      </c>
      <c r="G83" s="1" t="s">
        <v>2004</v>
      </c>
      <c r="H83" s="1" t="s">
        <v>2005</v>
      </c>
      <c r="I83" s="7" t="str" cm="1">
        <f t="array" ref="I83">IF(SUM(COUNTIF(Text_Preprocessing__2247[[#This Row],[full_text]],{"*makan siang gratis*";"*MBG*";"*makan gratis*";"*makan bergizi gratis*";"*makangratis*";"*makanan gratis*"})),"Relevan","Tidak Relevan")</f>
        <v>Relevan</v>
      </c>
      <c r="J83" s="1"/>
    </row>
    <row r="84" spans="1:10" ht="58" x14ac:dyDescent="0.35">
      <c r="A84" s="1">
        <f t="shared" si="1"/>
        <v>83</v>
      </c>
      <c r="B84" s="1" t="s">
        <v>2006</v>
      </c>
      <c r="C84" s="1" t="s">
        <v>125</v>
      </c>
      <c r="D84" s="1" t="s">
        <v>2007</v>
      </c>
      <c r="E84" s="1" t="s">
        <v>2008</v>
      </c>
      <c r="F84" s="1" t="s">
        <v>2009</v>
      </c>
      <c r="G84" s="1" t="s">
        <v>2009</v>
      </c>
      <c r="H84" s="1" t="s">
        <v>2010</v>
      </c>
      <c r="I84" s="7" t="str" cm="1">
        <f t="array" ref="I84">IF(SUM(COUNTIF(Text_Preprocessing__2247[[#This Row],[full_text]],{"*makan siang gratis*";"*MBG*";"*makan gratis*";"*makan bergizi gratis*";"*makangratis*";"*makanan gratis*"})),"Relevan","Tidak Relevan")</f>
        <v>Relevan</v>
      </c>
      <c r="J84" s="1"/>
    </row>
    <row r="85" spans="1:10" ht="29" x14ac:dyDescent="0.35">
      <c r="A85" s="1">
        <f t="shared" si="1"/>
        <v>84</v>
      </c>
      <c r="B85" s="1" t="s">
        <v>2011</v>
      </c>
      <c r="C85" s="1" t="s">
        <v>137</v>
      </c>
      <c r="D85" s="1" t="s">
        <v>2012</v>
      </c>
      <c r="E85" s="1" t="s">
        <v>1613</v>
      </c>
      <c r="F85" s="1" t="s">
        <v>2013</v>
      </c>
      <c r="G85" s="1" t="s">
        <v>2014</v>
      </c>
      <c r="H85" s="1" t="s">
        <v>2015</v>
      </c>
      <c r="I85" s="7" t="str" cm="1">
        <f t="array" ref="I85">IF(SUM(COUNTIF(Text_Preprocessing__2247[[#This Row],[full_text]],{"*makan siang gratis*";"*MBG*";"*makan gratis*";"*makan bergizi gratis*";"*makangratis*";"*makanan gratis*"})),"Relevan","Tidak Relevan")</f>
        <v>Tidak Relevan</v>
      </c>
      <c r="J85" s="1" t="s">
        <v>3622</v>
      </c>
    </row>
    <row r="86" spans="1:10" x14ac:dyDescent="0.35">
      <c r="A86" s="1">
        <f t="shared" si="1"/>
        <v>85</v>
      </c>
      <c r="B86" s="1" t="s">
        <v>2016</v>
      </c>
      <c r="C86" s="1" t="s">
        <v>166</v>
      </c>
      <c r="D86" s="1" t="s">
        <v>2017</v>
      </c>
      <c r="E86" s="1" t="s">
        <v>1844</v>
      </c>
      <c r="F86" s="1" t="s">
        <v>2018</v>
      </c>
      <c r="G86" s="1" t="s">
        <v>2018</v>
      </c>
      <c r="H86" s="1" t="s">
        <v>2019</v>
      </c>
      <c r="I86" s="7" t="str" cm="1">
        <f t="array" ref="I86">IF(SUM(COUNTIF(Text_Preprocessing__2247[[#This Row],[full_text]],{"*makan siang gratis*";"*MBG*";"*makan gratis*";"*makan bergizi gratis*";"*makangratis*";"*makanan gratis*"})),"Relevan","Tidak Relevan")</f>
        <v>Relevan</v>
      </c>
      <c r="J86" s="1"/>
    </row>
    <row r="87" spans="1:10" ht="58" x14ac:dyDescent="0.35">
      <c r="A87" s="1">
        <f t="shared" si="1"/>
        <v>86</v>
      </c>
      <c r="B87" s="1" t="s">
        <v>2020</v>
      </c>
      <c r="C87" s="1" t="s">
        <v>168</v>
      </c>
      <c r="D87" s="1" t="s">
        <v>2021</v>
      </c>
      <c r="E87" s="1" t="s">
        <v>2022</v>
      </c>
      <c r="F87" s="1" t="s">
        <v>2023</v>
      </c>
      <c r="G87" s="1" t="s">
        <v>2024</v>
      </c>
      <c r="H87" s="1" t="s">
        <v>2025</v>
      </c>
      <c r="I87" s="7" t="str" cm="1">
        <f t="array" ref="I87">IF(SUM(COUNTIF(Text_Preprocessing__2247[[#This Row],[full_text]],{"*makan siang gratis*";"*MBG*";"*makan gratis*";"*makan bergizi gratis*";"*makangratis*";"*makanan gratis*"})),"Relevan","Tidak Relevan")</f>
        <v>Relevan</v>
      </c>
      <c r="J87" s="1"/>
    </row>
    <row r="88" spans="1:10" ht="29" x14ac:dyDescent="0.35">
      <c r="A88" s="1">
        <f t="shared" si="1"/>
        <v>87</v>
      </c>
      <c r="B88" s="1" t="s">
        <v>2026</v>
      </c>
      <c r="C88" s="1" t="s">
        <v>170</v>
      </c>
      <c r="D88" s="1" t="s">
        <v>2027</v>
      </c>
      <c r="E88" s="1" t="s">
        <v>1596</v>
      </c>
      <c r="F88" s="1" t="s">
        <v>2028</v>
      </c>
      <c r="G88" s="1" t="s">
        <v>2028</v>
      </c>
      <c r="H88" s="1" t="s">
        <v>2029</v>
      </c>
      <c r="I88" s="7" t="str" cm="1">
        <f t="array" ref="I88">IF(SUM(COUNTIF(Text_Preprocessing__2247[[#This Row],[full_text]],{"*makan siang gratis*";"*MBG*";"*makan gratis*";"*makan bergizi gratis*";"*makangratis*";"*makanan gratis*"})),"Relevan","Tidak Relevan")</f>
        <v>Relevan</v>
      </c>
      <c r="J88" s="1"/>
    </row>
    <row r="89" spans="1:10" ht="58" x14ac:dyDescent="0.35">
      <c r="A89" s="1">
        <f t="shared" si="1"/>
        <v>88</v>
      </c>
      <c r="B89" s="1" t="s">
        <v>2030</v>
      </c>
      <c r="C89" s="1" t="s">
        <v>172</v>
      </c>
      <c r="D89" s="1" t="s">
        <v>2031</v>
      </c>
      <c r="E89" s="1" t="s">
        <v>1652</v>
      </c>
      <c r="F89" s="1" t="s">
        <v>2032</v>
      </c>
      <c r="G89" s="1" t="s">
        <v>2032</v>
      </c>
      <c r="H89" s="1" t="s">
        <v>2033</v>
      </c>
      <c r="I89" s="7" t="str" cm="1">
        <f t="array" ref="I89">IF(SUM(COUNTIF(Text_Preprocessing__2247[[#This Row],[full_text]],{"*makan siang gratis*";"*MBG*";"*makan gratis*";"*makan bergizi gratis*";"*makangratis*";"*makanan gratis*"})),"Relevan","Tidak Relevan")</f>
        <v>Tidak Relevan</v>
      </c>
      <c r="J89" s="1" t="s">
        <v>3622</v>
      </c>
    </row>
    <row r="90" spans="1:10" ht="58" x14ac:dyDescent="0.35">
      <c r="A90" s="1">
        <f t="shared" si="1"/>
        <v>89</v>
      </c>
      <c r="B90" s="1" t="s">
        <v>2034</v>
      </c>
      <c r="C90" s="1" t="s">
        <v>174</v>
      </c>
      <c r="D90" s="1" t="s">
        <v>2035</v>
      </c>
      <c r="E90" s="1" t="s">
        <v>2036</v>
      </c>
      <c r="F90" s="1" t="s">
        <v>2037</v>
      </c>
      <c r="G90" s="1" t="s">
        <v>2037</v>
      </c>
      <c r="H90" s="1" t="s">
        <v>2038</v>
      </c>
      <c r="I90" s="7" t="str" cm="1">
        <f t="array" ref="I90">IF(SUM(COUNTIF(Text_Preprocessing__2247[[#This Row],[full_text]],{"*makan siang gratis*";"*MBG*";"*makan gratis*";"*makan bergizi gratis*";"*makangratis*";"*makanan gratis*"})),"Relevan","Tidak Relevan")</f>
        <v>Relevan</v>
      </c>
      <c r="J90" s="1"/>
    </row>
    <row r="91" spans="1:10" ht="58" x14ac:dyDescent="0.35">
      <c r="A91" s="1">
        <f t="shared" si="1"/>
        <v>90</v>
      </c>
      <c r="B91" s="1" t="s">
        <v>2039</v>
      </c>
      <c r="C91" s="1" t="s">
        <v>176</v>
      </c>
      <c r="D91" s="1" t="s">
        <v>2040</v>
      </c>
      <c r="E91" s="1" t="s">
        <v>2041</v>
      </c>
      <c r="F91" s="1" t="s">
        <v>2042</v>
      </c>
      <c r="G91" s="1" t="s">
        <v>2043</v>
      </c>
      <c r="H91" s="1" t="s">
        <v>2044</v>
      </c>
      <c r="I91" s="7" t="str" cm="1">
        <f t="array" ref="I91">IF(SUM(COUNTIF(Text_Preprocessing__2247[[#This Row],[full_text]],{"*makan siang gratis*";"*MBG*";"*makan gratis*";"*makan bergizi gratis*";"*makangratis*";"*makanan gratis*"})),"Relevan","Tidak Relevan")</f>
        <v>Relevan</v>
      </c>
      <c r="J91" s="1"/>
    </row>
    <row r="92" spans="1:10" ht="29" x14ac:dyDescent="0.35">
      <c r="A92" s="1">
        <f t="shared" si="1"/>
        <v>91</v>
      </c>
      <c r="B92" s="1" t="s">
        <v>2045</v>
      </c>
      <c r="C92" s="1" t="s">
        <v>143</v>
      </c>
      <c r="D92" s="1" t="s">
        <v>2046</v>
      </c>
      <c r="E92" s="1" t="s">
        <v>1929</v>
      </c>
      <c r="F92" s="1" t="s">
        <v>2047</v>
      </c>
      <c r="G92" s="1" t="s">
        <v>2048</v>
      </c>
      <c r="H92" s="1" t="s">
        <v>2049</v>
      </c>
      <c r="I92" s="7" t="str" cm="1">
        <f t="array" ref="I92">IF(SUM(COUNTIF(Text_Preprocessing__2247[[#This Row],[full_text]],{"*makan siang gratis*";"*MBG*";"*makan gratis*";"*makan bergizi gratis*";"*makangratis*";"*makanan gratis*"})),"Relevan","Tidak Relevan")</f>
        <v>Relevan</v>
      </c>
      <c r="J92" s="1"/>
    </row>
    <row r="93" spans="1:10" ht="58" x14ac:dyDescent="0.35">
      <c r="A93" s="1">
        <f t="shared" si="1"/>
        <v>92</v>
      </c>
      <c r="B93" s="1" t="s">
        <v>2050</v>
      </c>
      <c r="C93" s="1" t="s">
        <v>137</v>
      </c>
      <c r="D93" s="1" t="s">
        <v>2051</v>
      </c>
      <c r="E93" s="1" t="s">
        <v>2052</v>
      </c>
      <c r="F93" s="1" t="s">
        <v>2053</v>
      </c>
      <c r="G93" s="1" t="s">
        <v>2053</v>
      </c>
      <c r="H93" s="1" t="s">
        <v>2054</v>
      </c>
      <c r="I93" s="7" t="str" cm="1">
        <f t="array" ref="I93">IF(SUM(COUNTIF(Text_Preprocessing__2247[[#This Row],[full_text]],{"*makan siang gratis*";"*MBG*";"*makan gratis*";"*makan bergizi gratis*";"*makangratis*";"*makanan gratis*"})),"Relevan","Tidak Relevan")</f>
        <v>Relevan</v>
      </c>
      <c r="J93" s="1"/>
    </row>
    <row r="94" spans="1:10" ht="58" x14ac:dyDescent="0.35">
      <c r="A94" s="1">
        <f t="shared" si="1"/>
        <v>93</v>
      </c>
      <c r="B94" s="1" t="s">
        <v>2055</v>
      </c>
      <c r="C94" s="1" t="s">
        <v>180</v>
      </c>
      <c r="D94" s="1" t="s">
        <v>2056</v>
      </c>
      <c r="E94" s="1" t="s">
        <v>2008</v>
      </c>
      <c r="F94" s="1" t="s">
        <v>2057</v>
      </c>
      <c r="G94" s="1" t="s">
        <v>2057</v>
      </c>
      <c r="H94" s="1" t="s">
        <v>2058</v>
      </c>
      <c r="I94" s="7" t="str" cm="1">
        <f t="array" ref="I94">IF(SUM(COUNTIF(Text_Preprocessing__2247[[#This Row],[full_text]],{"*makan siang gratis*";"*MBG*";"*makan gratis*";"*makan bergizi gratis*";"*makangratis*";"*makanan gratis*"})),"Relevan","Tidak Relevan")</f>
        <v>Relevan</v>
      </c>
      <c r="J94" s="1"/>
    </row>
    <row r="95" spans="1:10" ht="29" x14ac:dyDescent="0.35">
      <c r="A95" s="1">
        <f t="shared" si="1"/>
        <v>94</v>
      </c>
      <c r="B95" s="1" t="s">
        <v>2059</v>
      </c>
      <c r="C95" s="1" t="s">
        <v>182</v>
      </c>
      <c r="D95" s="1" t="s">
        <v>2060</v>
      </c>
      <c r="E95" s="1" t="s">
        <v>1692</v>
      </c>
      <c r="F95" s="1" t="s">
        <v>2061</v>
      </c>
      <c r="G95" s="1" t="s">
        <v>2061</v>
      </c>
      <c r="H95" s="1" t="s">
        <v>2062</v>
      </c>
      <c r="I95" s="7" t="str" cm="1">
        <f t="array" ref="I95">IF(SUM(COUNTIF(Text_Preprocessing__2247[[#This Row],[full_text]],{"*makan siang gratis*";"*MBG*";"*makan gratis*";"*makan bergizi gratis*";"*makangratis*";"*makanan gratis*"})),"Relevan","Tidak Relevan")</f>
        <v>Relevan</v>
      </c>
      <c r="J95" s="1"/>
    </row>
    <row r="96" spans="1:10" ht="58" x14ac:dyDescent="0.35">
      <c r="A96" s="1">
        <f t="shared" si="1"/>
        <v>95</v>
      </c>
      <c r="B96" s="1" t="s">
        <v>2063</v>
      </c>
      <c r="C96" s="1" t="s">
        <v>172</v>
      </c>
      <c r="D96" s="1" t="s">
        <v>2064</v>
      </c>
      <c r="E96" s="1" t="s">
        <v>1674</v>
      </c>
      <c r="F96" s="1" t="s">
        <v>2065</v>
      </c>
      <c r="G96" s="1" t="s">
        <v>2065</v>
      </c>
      <c r="H96" s="1" t="s">
        <v>2066</v>
      </c>
      <c r="I96" s="7" t="str" cm="1">
        <f t="array" ref="I96">IF(SUM(COUNTIF(Text_Preprocessing__2247[[#This Row],[full_text]],{"*makan siang gratis*";"*MBG*";"*makan gratis*";"*makan bergizi gratis*";"*makangratis*";"*makanan gratis*"})),"Relevan","Tidak Relevan")</f>
        <v>Relevan</v>
      </c>
      <c r="J96" s="1"/>
    </row>
    <row r="97" spans="1:10" ht="58" x14ac:dyDescent="0.35">
      <c r="A97" s="1">
        <f t="shared" si="1"/>
        <v>96</v>
      </c>
      <c r="B97" s="1" t="s">
        <v>2067</v>
      </c>
      <c r="C97" s="1" t="s">
        <v>185</v>
      </c>
      <c r="D97" s="1" t="s">
        <v>2068</v>
      </c>
      <c r="E97" s="1" t="s">
        <v>2069</v>
      </c>
      <c r="F97" s="1" t="s">
        <v>2070</v>
      </c>
      <c r="G97" s="1" t="s">
        <v>2070</v>
      </c>
      <c r="H97" s="1" t="s">
        <v>2071</v>
      </c>
      <c r="I97" s="7" t="str" cm="1">
        <f t="array" ref="I97">IF(SUM(COUNTIF(Text_Preprocessing__2247[[#This Row],[full_text]],{"*makan siang gratis*";"*MBG*";"*makan gratis*";"*makan bergizi gratis*";"*makangratis*";"*makanan gratis*"})),"Relevan","Tidak Relevan")</f>
        <v>Relevan</v>
      </c>
      <c r="J97" s="1"/>
    </row>
    <row r="98" spans="1:10" ht="58" x14ac:dyDescent="0.35">
      <c r="A98" s="1">
        <f t="shared" si="1"/>
        <v>97</v>
      </c>
      <c r="B98" s="1" t="s">
        <v>2072</v>
      </c>
      <c r="C98" s="1" t="s">
        <v>76</v>
      </c>
      <c r="D98" s="1" t="s">
        <v>2073</v>
      </c>
      <c r="E98" s="1" t="s">
        <v>2074</v>
      </c>
      <c r="F98" s="1" t="s">
        <v>2075</v>
      </c>
      <c r="G98" s="1" t="s">
        <v>2075</v>
      </c>
      <c r="H98" s="1" t="s">
        <v>2076</v>
      </c>
      <c r="I98" s="7" t="str" cm="1">
        <f t="array" ref="I98">IF(SUM(COUNTIF(Text_Preprocessing__2247[[#This Row],[full_text]],{"*makan siang gratis*";"*MBG*";"*makan gratis*";"*makan bergizi gratis*";"*makangratis*";"*makanan gratis*"})),"Relevan","Tidak Relevan")</f>
        <v>Relevan</v>
      </c>
      <c r="J98" s="1"/>
    </row>
    <row r="99" spans="1:10" x14ac:dyDescent="0.35">
      <c r="A99" s="1">
        <f t="shared" si="1"/>
        <v>98</v>
      </c>
      <c r="B99" s="1" t="s">
        <v>2077</v>
      </c>
      <c r="C99" s="1" t="s">
        <v>182</v>
      </c>
      <c r="D99" s="1" t="s">
        <v>2078</v>
      </c>
      <c r="E99" s="1" t="s">
        <v>1809</v>
      </c>
      <c r="F99" s="1" t="s">
        <v>2078</v>
      </c>
      <c r="G99" s="1" t="s">
        <v>2078</v>
      </c>
      <c r="H99" s="1" t="s">
        <v>2079</v>
      </c>
      <c r="I99" s="7" t="str" cm="1">
        <f t="array" ref="I99">IF(SUM(COUNTIF(Text_Preprocessing__2247[[#This Row],[full_text]],{"*makan siang gratis*";"*MBG*";"*makan gratis*";"*makan bergizi gratis*";"*makangratis*";"*makanan gratis*"})),"Relevan","Tidak Relevan")</f>
        <v>Relevan</v>
      </c>
      <c r="J99" s="1"/>
    </row>
    <row r="100" spans="1:10" ht="58" x14ac:dyDescent="0.35">
      <c r="A100" s="1">
        <f t="shared" si="1"/>
        <v>99</v>
      </c>
      <c r="B100" s="1" t="s">
        <v>2080</v>
      </c>
      <c r="C100" s="1" t="s">
        <v>189</v>
      </c>
      <c r="D100" s="1" t="s">
        <v>2081</v>
      </c>
      <c r="E100" s="1" t="s">
        <v>2082</v>
      </c>
      <c r="F100" s="1" t="s">
        <v>2083</v>
      </c>
      <c r="G100" s="1" t="s">
        <v>2084</v>
      </c>
      <c r="H100" s="1" t="s">
        <v>2085</v>
      </c>
      <c r="I100" s="7" t="str" cm="1">
        <f t="array" ref="I100">IF(SUM(COUNTIF(Text_Preprocessing__2247[[#This Row],[full_text]],{"*makan siang gratis*";"*MBG*";"*makan gratis*";"*makan bergizi gratis*";"*makangratis*";"*makanan gratis*"})),"Relevan","Tidak Relevan")</f>
        <v>Relevan</v>
      </c>
      <c r="J100" s="1"/>
    </row>
    <row r="101" spans="1:10" x14ac:dyDescent="0.35">
      <c r="A101" s="1">
        <f t="shared" si="1"/>
        <v>100</v>
      </c>
      <c r="B101" s="1" t="s">
        <v>2086</v>
      </c>
      <c r="C101" s="1" t="s">
        <v>93</v>
      </c>
      <c r="D101" s="1" t="s">
        <v>2087</v>
      </c>
      <c r="E101" s="1" t="s">
        <v>1596</v>
      </c>
      <c r="F101" s="1" t="s">
        <v>2088</v>
      </c>
      <c r="G101" s="1" t="s">
        <v>2088</v>
      </c>
      <c r="H101" s="1" t="s">
        <v>2089</v>
      </c>
      <c r="I101" s="7" t="str" cm="1">
        <f t="array" ref="I101">IF(SUM(COUNTIF(Text_Preprocessing__2247[[#This Row],[full_text]],{"*makan siang gratis*";"*MBG*";"*makan gratis*";"*makan bergizi gratis*";"*makangratis*";"*makanan gratis*"})),"Relevan","Tidak Relevan")</f>
        <v>Relevan</v>
      </c>
      <c r="J101" s="1"/>
    </row>
    <row r="102" spans="1:10" ht="58" x14ac:dyDescent="0.35">
      <c r="A102" s="1">
        <f t="shared" si="1"/>
        <v>101</v>
      </c>
      <c r="B102" s="1" t="s">
        <v>2090</v>
      </c>
      <c r="C102" s="1" t="s">
        <v>192</v>
      </c>
      <c r="D102" s="1" t="s">
        <v>2091</v>
      </c>
      <c r="E102" s="1" t="s">
        <v>2092</v>
      </c>
      <c r="F102" s="1" t="s">
        <v>2093</v>
      </c>
      <c r="G102" s="1" t="s">
        <v>2093</v>
      </c>
      <c r="H102" s="1" t="s">
        <v>2094</v>
      </c>
      <c r="I102" s="7" t="str" cm="1">
        <f t="array" ref="I102">IF(SUM(COUNTIF(Text_Preprocessing__2247[[#This Row],[full_text]],{"*makan siang gratis*";"*MBG*";"*makan gratis*";"*makan bergizi gratis*";"*makangratis*";"*makanan gratis*"})),"Relevan","Tidak Relevan")</f>
        <v>Relevan</v>
      </c>
      <c r="J102" s="1"/>
    </row>
    <row r="103" spans="1:10" ht="29" x14ac:dyDescent="0.35">
      <c r="A103" s="1">
        <f t="shared" si="1"/>
        <v>102</v>
      </c>
      <c r="B103" s="1" t="s">
        <v>2095</v>
      </c>
      <c r="C103" s="1" t="s">
        <v>93</v>
      </c>
      <c r="D103" s="1" t="s">
        <v>2096</v>
      </c>
      <c r="E103" s="1" t="s">
        <v>1730</v>
      </c>
      <c r="F103" s="1" t="s">
        <v>2097</v>
      </c>
      <c r="G103" s="1" t="s">
        <v>2097</v>
      </c>
      <c r="H103" s="1" t="s">
        <v>2098</v>
      </c>
      <c r="I103" s="7" t="str" cm="1">
        <f t="array" ref="I103">IF(SUM(COUNTIF(Text_Preprocessing__2247[[#This Row],[full_text]],{"*makan siang gratis*";"*MBG*";"*makan gratis*";"*makan bergizi gratis*";"*makangratis*";"*makanan gratis*"})),"Relevan","Tidak Relevan")</f>
        <v>Relevan</v>
      </c>
      <c r="J103" s="1"/>
    </row>
    <row r="104" spans="1:10" ht="58" x14ac:dyDescent="0.35">
      <c r="A104" s="1">
        <f t="shared" si="1"/>
        <v>103</v>
      </c>
      <c r="B104" s="1" t="s">
        <v>2099</v>
      </c>
      <c r="C104" s="1" t="s">
        <v>174</v>
      </c>
      <c r="D104" s="1" t="s">
        <v>2100</v>
      </c>
      <c r="E104" s="1" t="s">
        <v>1629</v>
      </c>
      <c r="F104" s="1" t="s">
        <v>2101</v>
      </c>
      <c r="G104" s="1" t="s">
        <v>2101</v>
      </c>
      <c r="H104" s="1" t="s">
        <v>2102</v>
      </c>
      <c r="I104" s="7" t="str" cm="1">
        <f t="array" ref="I104">IF(SUM(COUNTIF(Text_Preprocessing__2247[[#This Row],[full_text]],{"*makan siang gratis*";"*MBG*";"*makan gratis*";"*makan bergizi gratis*";"*makangratis*";"*makanan gratis*"})),"Relevan","Tidak Relevan")</f>
        <v>Relevan</v>
      </c>
      <c r="J104" s="1"/>
    </row>
    <row r="105" spans="1:10" ht="43.5" x14ac:dyDescent="0.35">
      <c r="A105" s="1">
        <f t="shared" si="1"/>
        <v>104</v>
      </c>
      <c r="B105" s="1" t="s">
        <v>2103</v>
      </c>
      <c r="C105" s="1" t="s">
        <v>196</v>
      </c>
      <c r="D105" s="1" t="s">
        <v>2104</v>
      </c>
      <c r="E105" s="1" t="s">
        <v>1735</v>
      </c>
      <c r="F105" s="1" t="s">
        <v>2105</v>
      </c>
      <c r="G105" s="1" t="s">
        <v>2105</v>
      </c>
      <c r="H105" s="1" t="s">
        <v>2106</v>
      </c>
      <c r="I105" s="7" t="str" cm="1">
        <f t="array" ref="I105">IF(SUM(COUNTIF(Text_Preprocessing__2247[[#This Row],[full_text]],{"*makan siang gratis*";"*MBG*";"*makan gratis*";"*makan bergizi gratis*";"*makangratis*";"*makanan gratis*"})),"Relevan","Tidak Relevan")</f>
        <v>Relevan</v>
      </c>
      <c r="J105" s="1"/>
    </row>
    <row r="106" spans="1:10" ht="58" x14ac:dyDescent="0.35">
      <c r="A106" s="1">
        <f t="shared" si="1"/>
        <v>105</v>
      </c>
      <c r="B106" s="1" t="s">
        <v>2107</v>
      </c>
      <c r="C106" s="1" t="s">
        <v>137</v>
      </c>
      <c r="D106" s="1" t="s">
        <v>2108</v>
      </c>
      <c r="E106" s="1" t="s">
        <v>2109</v>
      </c>
      <c r="F106" s="1" t="s">
        <v>2110</v>
      </c>
      <c r="G106" s="1" t="s">
        <v>2110</v>
      </c>
      <c r="H106" s="1" t="s">
        <v>2111</v>
      </c>
      <c r="I106" s="7" t="str" cm="1">
        <f t="array" ref="I106">IF(SUM(COUNTIF(Text_Preprocessing__2247[[#This Row],[full_text]],{"*makan siang gratis*";"*MBG*";"*makan gratis*";"*makan bergizi gratis*";"*makangratis*";"*makanan gratis*"})),"Relevan","Tidak Relevan")</f>
        <v>Relevan</v>
      </c>
      <c r="J106" s="1"/>
    </row>
    <row r="107" spans="1:10" ht="58" x14ac:dyDescent="0.35">
      <c r="A107" s="1">
        <f t="shared" si="1"/>
        <v>106</v>
      </c>
      <c r="B107" s="1" t="s">
        <v>2112</v>
      </c>
      <c r="C107" s="1" t="s">
        <v>137</v>
      </c>
      <c r="D107" s="1" t="s">
        <v>2113</v>
      </c>
      <c r="E107" s="1" t="s">
        <v>2114</v>
      </c>
      <c r="F107" s="1" t="s">
        <v>2115</v>
      </c>
      <c r="G107" s="1" t="s">
        <v>2115</v>
      </c>
      <c r="H107" s="1" t="s">
        <v>2116</v>
      </c>
      <c r="I107" s="7" t="str" cm="1">
        <f t="array" ref="I107">IF(SUM(COUNTIF(Text_Preprocessing__2247[[#This Row],[full_text]],{"*makan siang gratis*";"*MBG*";"*makan gratis*";"*makan bergizi gratis*";"*makangratis*";"*makanan gratis*"})),"Relevan","Tidak Relevan")</f>
        <v>Relevan</v>
      </c>
      <c r="J107" s="1"/>
    </row>
    <row r="108" spans="1:10" ht="29" x14ac:dyDescent="0.35">
      <c r="A108" s="1">
        <f t="shared" si="1"/>
        <v>107</v>
      </c>
      <c r="B108" s="1" t="s">
        <v>2117</v>
      </c>
      <c r="C108" s="1" t="s">
        <v>200</v>
      </c>
      <c r="D108" s="1" t="s">
        <v>2118</v>
      </c>
      <c r="E108" s="1" t="s">
        <v>1724</v>
      </c>
      <c r="F108" s="1" t="s">
        <v>2119</v>
      </c>
      <c r="G108" s="1" t="s">
        <v>2119</v>
      </c>
      <c r="H108" s="1" t="s">
        <v>2120</v>
      </c>
      <c r="I108" s="7" t="str" cm="1">
        <f t="array" ref="I108">IF(SUM(COUNTIF(Text_Preprocessing__2247[[#This Row],[full_text]],{"*makan siang gratis*";"*MBG*";"*makan gratis*";"*makan bergizi gratis*";"*makangratis*";"*makanan gratis*"})),"Relevan","Tidak Relevan")</f>
        <v>Relevan</v>
      </c>
      <c r="J108" s="1"/>
    </row>
    <row r="109" spans="1:10" ht="29" x14ac:dyDescent="0.35">
      <c r="A109" s="1">
        <f t="shared" si="1"/>
        <v>108</v>
      </c>
      <c r="B109" s="1" t="s">
        <v>2121</v>
      </c>
      <c r="C109" s="1" t="s">
        <v>202</v>
      </c>
      <c r="D109" s="1" t="s">
        <v>2122</v>
      </c>
      <c r="E109" s="1" t="s">
        <v>1596</v>
      </c>
      <c r="F109" s="1" t="s">
        <v>2123</v>
      </c>
      <c r="G109" s="1" t="s">
        <v>2123</v>
      </c>
      <c r="H109" s="1" t="s">
        <v>2124</v>
      </c>
      <c r="I109" s="7" t="str" cm="1">
        <f t="array" ref="I109">IF(SUM(COUNTIF(Text_Preprocessing__2247[[#This Row],[full_text]],{"*makan siang gratis*";"*MBG*";"*makan gratis*";"*makan bergizi gratis*";"*makangratis*";"*makanan gratis*"})),"Relevan","Tidak Relevan")</f>
        <v>Relevan</v>
      </c>
      <c r="J109" s="1"/>
    </row>
    <row r="110" spans="1:10" x14ac:dyDescent="0.35">
      <c r="A110" s="1">
        <f t="shared" si="1"/>
        <v>109</v>
      </c>
      <c r="B110" s="1" t="s">
        <v>2125</v>
      </c>
      <c r="C110" s="1" t="s">
        <v>202</v>
      </c>
      <c r="D110" s="1" t="s">
        <v>2126</v>
      </c>
      <c r="E110" s="1" t="s">
        <v>1888</v>
      </c>
      <c r="F110" s="1" t="s">
        <v>2126</v>
      </c>
      <c r="G110" s="1" t="s">
        <v>2126</v>
      </c>
      <c r="H110" s="1" t="s">
        <v>2127</v>
      </c>
      <c r="I110" s="7" t="str" cm="1">
        <f t="array" ref="I110">IF(SUM(COUNTIF(Text_Preprocessing__2247[[#This Row],[full_text]],{"*makan siang gratis*";"*MBG*";"*makan gratis*";"*makan bergizi gratis*";"*makangratis*";"*makanan gratis*"})),"Relevan","Tidak Relevan")</f>
        <v>Relevan</v>
      </c>
      <c r="J110" s="1"/>
    </row>
    <row r="111" spans="1:10" ht="29" x14ac:dyDescent="0.35">
      <c r="A111" s="1">
        <f t="shared" si="1"/>
        <v>110</v>
      </c>
      <c r="B111" s="1" t="s">
        <v>2128</v>
      </c>
      <c r="C111" s="1" t="s">
        <v>205</v>
      </c>
      <c r="D111" s="1" t="s">
        <v>2129</v>
      </c>
      <c r="E111" s="1" t="s">
        <v>1730</v>
      </c>
      <c r="F111" s="1" t="s">
        <v>2130</v>
      </c>
      <c r="G111" s="1" t="s">
        <v>2130</v>
      </c>
      <c r="H111" s="1" t="s">
        <v>2131</v>
      </c>
      <c r="I111" s="7" t="str" cm="1">
        <f t="array" ref="I111">IF(SUM(COUNTIF(Text_Preprocessing__2247[[#This Row],[full_text]],{"*makan siang gratis*";"*MBG*";"*makan gratis*";"*makan bergizi gratis*";"*makangratis*";"*makanan gratis*"})),"Relevan","Tidak Relevan")</f>
        <v>Relevan</v>
      </c>
      <c r="J111" s="1"/>
    </row>
    <row r="112" spans="1:10" ht="58" x14ac:dyDescent="0.35">
      <c r="A112" s="1">
        <f t="shared" si="1"/>
        <v>111</v>
      </c>
      <c r="B112" s="1" t="s">
        <v>2132</v>
      </c>
      <c r="C112" s="1" t="s">
        <v>207</v>
      </c>
      <c r="D112" s="1" t="s">
        <v>2133</v>
      </c>
      <c r="E112" s="1" t="s">
        <v>2134</v>
      </c>
      <c r="F112" s="1" t="s">
        <v>2135</v>
      </c>
      <c r="G112" s="1" t="s">
        <v>2135</v>
      </c>
      <c r="H112" s="1" t="s">
        <v>2136</v>
      </c>
      <c r="I112" s="7" t="str" cm="1">
        <f t="array" ref="I112">IF(SUM(COUNTIF(Text_Preprocessing__2247[[#This Row],[full_text]],{"*makan siang gratis*";"*MBG*";"*makan gratis*";"*makan bergizi gratis*";"*makangratis*";"*makanan gratis*"})),"Relevan","Tidak Relevan")</f>
        <v>Relevan</v>
      </c>
      <c r="J112" s="1"/>
    </row>
    <row r="113" spans="1:10" x14ac:dyDescent="0.35">
      <c r="A113" s="1">
        <f t="shared" si="1"/>
        <v>112</v>
      </c>
      <c r="B113" s="1" t="s">
        <v>2137</v>
      </c>
      <c r="C113" s="1" t="s">
        <v>209</v>
      </c>
      <c r="D113" s="1" t="s">
        <v>2138</v>
      </c>
      <c r="E113" s="1" t="s">
        <v>1844</v>
      </c>
      <c r="F113" s="1" t="s">
        <v>2139</v>
      </c>
      <c r="G113" s="1" t="s">
        <v>2139</v>
      </c>
      <c r="H113" s="1" t="s">
        <v>2140</v>
      </c>
      <c r="I113" s="7" t="str" cm="1">
        <f t="array" ref="I113">IF(SUM(COUNTIF(Text_Preprocessing__2247[[#This Row],[full_text]],{"*makan siang gratis*";"*MBG*";"*makan gratis*";"*makan bergizi gratis*";"*makangratis*";"*makanan gratis*"})),"Relevan","Tidak Relevan")</f>
        <v>Relevan</v>
      </c>
      <c r="J113" s="1"/>
    </row>
    <row r="114" spans="1:10" ht="43.5" x14ac:dyDescent="0.35">
      <c r="A114" s="1">
        <f t="shared" si="1"/>
        <v>113</v>
      </c>
      <c r="B114" s="1" t="s">
        <v>2141</v>
      </c>
      <c r="C114" s="1" t="s">
        <v>211</v>
      </c>
      <c r="D114" s="1" t="s">
        <v>2142</v>
      </c>
      <c r="E114" s="1" t="s">
        <v>2143</v>
      </c>
      <c r="F114" s="1" t="s">
        <v>2144</v>
      </c>
      <c r="G114" s="1" t="s">
        <v>2145</v>
      </c>
      <c r="H114" s="1" t="s">
        <v>2146</v>
      </c>
      <c r="I114" s="7" t="str" cm="1">
        <f t="array" ref="I114">IF(SUM(COUNTIF(Text_Preprocessing__2247[[#This Row],[full_text]],{"*makan siang gratis*";"*MBG*";"*makan gratis*";"*makan bergizi gratis*";"*makangratis*";"*makanan gratis*"})),"Relevan","Tidak Relevan")</f>
        <v>Relevan</v>
      </c>
      <c r="J114" s="1"/>
    </row>
    <row r="115" spans="1:10" ht="58" x14ac:dyDescent="0.35">
      <c r="A115" s="1">
        <f t="shared" si="1"/>
        <v>114</v>
      </c>
      <c r="B115" s="1" t="s">
        <v>2147</v>
      </c>
      <c r="C115" s="1" t="s">
        <v>213</v>
      </c>
      <c r="D115" s="1" t="s">
        <v>2148</v>
      </c>
      <c r="E115" s="1" t="s">
        <v>2149</v>
      </c>
      <c r="F115" s="1" t="s">
        <v>2150</v>
      </c>
      <c r="G115" s="1" t="s">
        <v>2150</v>
      </c>
      <c r="H115" s="1" t="s">
        <v>2151</v>
      </c>
      <c r="I115" s="7" t="str" cm="1">
        <f t="array" ref="I115">IF(SUM(COUNTIF(Text_Preprocessing__2247[[#This Row],[full_text]],{"*makan siang gratis*";"*MBG*";"*makan gratis*";"*makan bergizi gratis*";"*makangratis*";"*makanan gratis*"})),"Relevan","Tidak Relevan")</f>
        <v>Relevan</v>
      </c>
      <c r="J115" s="1"/>
    </row>
    <row r="116" spans="1:10" ht="58" x14ac:dyDescent="0.35">
      <c r="A116" s="1">
        <f t="shared" si="1"/>
        <v>115</v>
      </c>
      <c r="B116" s="1" t="s">
        <v>2152</v>
      </c>
      <c r="C116" s="1" t="s">
        <v>215</v>
      </c>
      <c r="D116" s="1" t="s">
        <v>2153</v>
      </c>
      <c r="E116" s="1" t="s">
        <v>2154</v>
      </c>
      <c r="F116" s="1" t="s">
        <v>2155</v>
      </c>
      <c r="G116" s="1" t="s">
        <v>2155</v>
      </c>
      <c r="H116" s="1" t="s">
        <v>2156</v>
      </c>
      <c r="I116" s="7" t="str" cm="1">
        <f t="array" ref="I116">IF(SUM(COUNTIF(Text_Preprocessing__2247[[#This Row],[full_text]],{"*makan siang gratis*";"*MBG*";"*makan gratis*";"*makan bergizi gratis*";"*makangratis*";"*makanan gratis*"})),"Relevan","Tidak Relevan")</f>
        <v>Relevan</v>
      </c>
      <c r="J116" s="1"/>
    </row>
    <row r="117" spans="1:10" ht="58" x14ac:dyDescent="0.35">
      <c r="A117" s="1">
        <f t="shared" si="1"/>
        <v>116</v>
      </c>
      <c r="B117" s="1" t="s">
        <v>2157</v>
      </c>
      <c r="C117" s="1" t="s">
        <v>217</v>
      </c>
      <c r="D117" s="1" t="s">
        <v>2158</v>
      </c>
      <c r="E117" s="1" t="s">
        <v>2159</v>
      </c>
      <c r="F117" s="1" t="s">
        <v>2160</v>
      </c>
      <c r="G117" s="1" t="s">
        <v>2160</v>
      </c>
      <c r="H117" s="1" t="s">
        <v>2161</v>
      </c>
      <c r="I117" s="7" t="str" cm="1">
        <f t="array" ref="I117">IF(SUM(COUNTIF(Text_Preprocessing__2247[[#This Row],[full_text]],{"*makan siang gratis*";"*MBG*";"*makan gratis*";"*makan bergizi gratis*";"*makangratis*";"*makanan gratis*"})),"Relevan","Tidak Relevan")</f>
        <v>Relevan</v>
      </c>
      <c r="J117" s="1"/>
    </row>
    <row r="118" spans="1:10" ht="43.5" x14ac:dyDescent="0.35">
      <c r="A118" s="1">
        <f t="shared" si="1"/>
        <v>117</v>
      </c>
      <c r="B118" s="1" t="s">
        <v>2162</v>
      </c>
      <c r="C118" s="1" t="s">
        <v>219</v>
      </c>
      <c r="D118" s="1" t="s">
        <v>2163</v>
      </c>
      <c r="E118" s="1" t="s">
        <v>2164</v>
      </c>
      <c r="F118" s="1" t="s">
        <v>2165</v>
      </c>
      <c r="G118" s="1" t="s">
        <v>2165</v>
      </c>
      <c r="H118" s="1" t="s">
        <v>2166</v>
      </c>
      <c r="I118" s="7" t="str" cm="1">
        <f t="array" ref="I118">IF(SUM(COUNTIF(Text_Preprocessing__2247[[#This Row],[full_text]],{"*makan siang gratis*";"*MBG*";"*makan gratis*";"*makan bergizi gratis*";"*makangratis*";"*makanan gratis*"})),"Relevan","Tidak Relevan")</f>
        <v>Relevan</v>
      </c>
      <c r="J118" s="1"/>
    </row>
    <row r="119" spans="1:10" x14ac:dyDescent="0.35">
      <c r="A119" s="1">
        <f t="shared" si="1"/>
        <v>118</v>
      </c>
      <c r="B119" s="1" t="s">
        <v>2167</v>
      </c>
      <c r="C119" s="1" t="s">
        <v>221</v>
      </c>
      <c r="D119" s="1" t="s">
        <v>2168</v>
      </c>
      <c r="E119" s="1" t="s">
        <v>1804</v>
      </c>
      <c r="F119" s="1" t="s">
        <v>2169</v>
      </c>
      <c r="G119" s="1" t="s">
        <v>2169</v>
      </c>
      <c r="H119" s="1" t="s">
        <v>2170</v>
      </c>
      <c r="I119" s="7" t="str" cm="1">
        <f t="array" ref="I119">IF(SUM(COUNTIF(Text_Preprocessing__2247[[#This Row],[full_text]],{"*makan siang gratis*";"*MBG*";"*makan gratis*";"*makan bergizi gratis*";"*makangratis*";"*makanan gratis*"})),"Relevan","Tidak Relevan")</f>
        <v>Relevan</v>
      </c>
      <c r="J119" s="1"/>
    </row>
    <row r="120" spans="1:10" ht="58" x14ac:dyDescent="0.35">
      <c r="A120" s="1">
        <f t="shared" si="1"/>
        <v>119</v>
      </c>
      <c r="B120" s="1" t="s">
        <v>2171</v>
      </c>
      <c r="C120" s="1" t="s">
        <v>223</v>
      </c>
      <c r="D120" s="1" t="s">
        <v>2172</v>
      </c>
      <c r="E120" s="1" t="s">
        <v>2109</v>
      </c>
      <c r="F120" s="1" t="s">
        <v>2173</v>
      </c>
      <c r="G120" s="1" t="s">
        <v>2173</v>
      </c>
      <c r="H120" s="1" t="s">
        <v>2174</v>
      </c>
      <c r="I120" s="7" t="str" cm="1">
        <f t="array" ref="I120">IF(SUM(COUNTIF(Text_Preprocessing__2247[[#This Row],[full_text]],{"*makan siang gratis*";"*MBG*";"*makan gratis*";"*makan bergizi gratis*";"*makangratis*";"*makanan gratis*"})),"Relevan","Tidak Relevan")</f>
        <v>Relevan</v>
      </c>
      <c r="J120" s="1"/>
    </row>
    <row r="121" spans="1:10" ht="58" x14ac:dyDescent="0.35">
      <c r="A121" s="1">
        <f t="shared" si="1"/>
        <v>120</v>
      </c>
      <c r="B121" s="1" t="s">
        <v>2175</v>
      </c>
      <c r="C121" s="1" t="s">
        <v>225</v>
      </c>
      <c r="D121" s="1" t="s">
        <v>2176</v>
      </c>
      <c r="E121" s="1" t="s">
        <v>2177</v>
      </c>
      <c r="F121" s="1" t="s">
        <v>2178</v>
      </c>
      <c r="G121" s="1" t="s">
        <v>2178</v>
      </c>
      <c r="H121" s="1" t="s">
        <v>2179</v>
      </c>
      <c r="I121" s="7" t="str" cm="1">
        <f t="array" ref="I121">IF(SUM(COUNTIF(Text_Preprocessing__2247[[#This Row],[full_text]],{"*makan siang gratis*";"*MBG*";"*makan gratis*";"*makan bergizi gratis*";"*makangratis*";"*makanan gratis*"})),"Relevan","Tidak Relevan")</f>
        <v>Relevan</v>
      </c>
      <c r="J121" s="1"/>
    </row>
    <row r="122" spans="1:10" x14ac:dyDescent="0.35">
      <c r="A122" s="1">
        <f t="shared" si="1"/>
        <v>121</v>
      </c>
      <c r="B122" s="1" t="s">
        <v>2180</v>
      </c>
      <c r="C122" s="1" t="s">
        <v>227</v>
      </c>
      <c r="D122" s="1" t="s">
        <v>2181</v>
      </c>
      <c r="E122" s="1" t="s">
        <v>1804</v>
      </c>
      <c r="F122" s="1" t="s">
        <v>2182</v>
      </c>
      <c r="G122" s="1" t="s">
        <v>2182</v>
      </c>
      <c r="H122" s="1" t="s">
        <v>2183</v>
      </c>
      <c r="I122" s="7" t="str" cm="1">
        <f t="array" ref="I122">IF(SUM(COUNTIF(Text_Preprocessing__2247[[#This Row],[full_text]],{"*makan siang gratis*";"*MBG*";"*makan gratis*";"*makan bergizi gratis*";"*makangratis*";"*makanan gratis*"})),"Relevan","Tidak Relevan")</f>
        <v>Relevan</v>
      </c>
      <c r="J122" s="1"/>
    </row>
    <row r="123" spans="1:10" ht="43.5" x14ac:dyDescent="0.35">
      <c r="A123" s="1">
        <f t="shared" si="1"/>
        <v>122</v>
      </c>
      <c r="B123" s="1" t="s">
        <v>2184</v>
      </c>
      <c r="C123" s="1" t="s">
        <v>229</v>
      </c>
      <c r="D123" s="1" t="s">
        <v>2185</v>
      </c>
      <c r="E123" s="1" t="s">
        <v>2186</v>
      </c>
      <c r="F123" s="1" t="s">
        <v>2187</v>
      </c>
      <c r="G123" s="1" t="s">
        <v>2187</v>
      </c>
      <c r="H123" s="1" t="s">
        <v>2188</v>
      </c>
      <c r="I123" s="7" t="str" cm="1">
        <f t="array" ref="I123">IF(SUM(COUNTIF(Text_Preprocessing__2247[[#This Row],[full_text]],{"*makan siang gratis*";"*MBG*";"*makan gratis*";"*makan bergizi gratis*";"*makangratis*";"*makanan gratis*"})),"Relevan","Tidak Relevan")</f>
        <v>Relevan</v>
      </c>
      <c r="J123" s="1"/>
    </row>
    <row r="124" spans="1:10" ht="58" x14ac:dyDescent="0.35">
      <c r="A124" s="1">
        <f t="shared" si="1"/>
        <v>123</v>
      </c>
      <c r="B124" s="1" t="s">
        <v>2189</v>
      </c>
      <c r="C124" s="1" t="s">
        <v>231</v>
      </c>
      <c r="D124" s="1" t="s">
        <v>2190</v>
      </c>
      <c r="E124" s="1" t="s">
        <v>2191</v>
      </c>
      <c r="F124" s="1" t="s">
        <v>2192</v>
      </c>
      <c r="G124" s="1" t="s">
        <v>2192</v>
      </c>
      <c r="H124" s="1" t="s">
        <v>2193</v>
      </c>
      <c r="I124" s="7" t="str" cm="1">
        <f t="array" ref="I124">IF(SUM(COUNTIF(Text_Preprocessing__2247[[#This Row],[full_text]],{"*makan siang gratis*";"*MBG*";"*makan gratis*";"*makan bergizi gratis*";"*makangratis*";"*makanan gratis*"})),"Relevan","Tidak Relevan")</f>
        <v>Relevan</v>
      </c>
      <c r="J124" s="1"/>
    </row>
    <row r="125" spans="1:10" ht="29" x14ac:dyDescent="0.35">
      <c r="A125" s="1">
        <f t="shared" si="1"/>
        <v>124</v>
      </c>
      <c r="B125" s="1" t="s">
        <v>2194</v>
      </c>
      <c r="C125" s="1" t="s">
        <v>233</v>
      </c>
      <c r="D125" s="1" t="s">
        <v>2195</v>
      </c>
      <c r="E125" s="1" t="s">
        <v>2196</v>
      </c>
      <c r="F125" s="1" t="s">
        <v>2197</v>
      </c>
      <c r="G125" s="1" t="s">
        <v>2197</v>
      </c>
      <c r="H125" s="1" t="s">
        <v>2198</v>
      </c>
      <c r="I125" s="7" t="str" cm="1">
        <f t="array" ref="I125">IF(SUM(COUNTIF(Text_Preprocessing__2247[[#This Row],[full_text]],{"*makan siang gratis*";"*MBG*";"*makan gratis*";"*makan bergizi gratis*";"*makangratis*";"*makanan gratis*"})),"Relevan","Tidak Relevan")</f>
        <v>Relevan</v>
      </c>
      <c r="J125" s="1"/>
    </row>
    <row r="126" spans="1:10" ht="29" x14ac:dyDescent="0.35">
      <c r="A126" s="1">
        <f t="shared" si="1"/>
        <v>125</v>
      </c>
      <c r="B126" s="1" t="s">
        <v>2199</v>
      </c>
      <c r="C126" s="1" t="s">
        <v>235</v>
      </c>
      <c r="D126" s="1" t="s">
        <v>2200</v>
      </c>
      <c r="E126" s="1" t="s">
        <v>1692</v>
      </c>
      <c r="F126" s="1" t="s">
        <v>2201</v>
      </c>
      <c r="G126" s="1" t="s">
        <v>2201</v>
      </c>
      <c r="H126" s="1" t="s">
        <v>2202</v>
      </c>
      <c r="I126" s="7" t="str" cm="1">
        <f t="array" ref="I126">IF(SUM(COUNTIF(Text_Preprocessing__2247[[#This Row],[full_text]],{"*makan siang gratis*";"*MBG*";"*makan gratis*";"*makan bergizi gratis*";"*makangratis*";"*makanan gratis*"})),"Relevan","Tidak Relevan")</f>
        <v>Relevan</v>
      </c>
      <c r="J126" s="1"/>
    </row>
    <row r="127" spans="1:10" ht="58" x14ac:dyDescent="0.35">
      <c r="A127" s="1">
        <f t="shared" si="1"/>
        <v>126</v>
      </c>
      <c r="B127" s="1" t="s">
        <v>2203</v>
      </c>
      <c r="C127" s="1" t="s">
        <v>237</v>
      </c>
      <c r="D127" s="1" t="s">
        <v>2204</v>
      </c>
      <c r="E127" s="1" t="s">
        <v>2205</v>
      </c>
      <c r="F127" s="1" t="s">
        <v>2206</v>
      </c>
      <c r="G127" s="1" t="s">
        <v>2206</v>
      </c>
      <c r="H127" s="1" t="s">
        <v>2207</v>
      </c>
      <c r="I127" s="7" t="str" cm="1">
        <f t="array" ref="I127">IF(SUM(COUNTIF(Text_Preprocessing__2247[[#This Row],[full_text]],{"*makan siang gratis*";"*MBG*";"*makan gratis*";"*makan bergizi gratis*";"*makangratis*";"*makanan gratis*"})),"Relevan","Tidak Relevan")</f>
        <v>Relevan</v>
      </c>
      <c r="J127" s="1"/>
    </row>
    <row r="128" spans="1:10" ht="43.5" x14ac:dyDescent="0.35">
      <c r="A128" s="1">
        <f t="shared" si="1"/>
        <v>127</v>
      </c>
      <c r="B128" s="1" t="s">
        <v>2208</v>
      </c>
      <c r="C128" s="1" t="s">
        <v>4</v>
      </c>
      <c r="D128" s="1" t="s">
        <v>2209</v>
      </c>
      <c r="E128" s="1" t="s">
        <v>2210</v>
      </c>
      <c r="F128" s="1" t="s">
        <v>2211</v>
      </c>
      <c r="G128" s="1" t="s">
        <v>2211</v>
      </c>
      <c r="H128" s="1" t="s">
        <v>2212</v>
      </c>
      <c r="I128" s="7" t="str" cm="1">
        <f t="array" ref="I128">IF(SUM(COUNTIF(Text_Preprocessing__2247[[#This Row],[full_text]],{"*makan siang gratis*";"*MBG*";"*makan gratis*";"*makan bergizi gratis*";"*makangratis*";"*makanan gratis*"})),"Relevan","Tidak Relevan")</f>
        <v>Relevan</v>
      </c>
      <c r="J128" s="1"/>
    </row>
    <row r="129" spans="1:10" ht="58" x14ac:dyDescent="0.35">
      <c r="A129" s="1">
        <f t="shared" si="1"/>
        <v>128</v>
      </c>
      <c r="B129" s="1" t="s">
        <v>2213</v>
      </c>
      <c r="C129" s="1" t="s">
        <v>242</v>
      </c>
      <c r="D129" s="1" t="s">
        <v>2214</v>
      </c>
      <c r="E129" s="1" t="s">
        <v>2215</v>
      </c>
      <c r="F129" s="1" t="s">
        <v>2216</v>
      </c>
      <c r="G129" s="1" t="s">
        <v>2216</v>
      </c>
      <c r="H129" s="1" t="s">
        <v>2217</v>
      </c>
      <c r="I129" s="7" t="str" cm="1">
        <f t="array" ref="I129">IF(SUM(COUNTIF(Text_Preprocessing__2247[[#This Row],[full_text]],{"*makan siang gratis*";"*MBG*";"*makan gratis*";"*makan bergizi gratis*";"*makangratis*";"*makanan gratis*"})),"Relevan","Tidak Relevan")</f>
        <v>Relevan</v>
      </c>
      <c r="J129" s="1"/>
    </row>
    <row r="130" spans="1:10" ht="43.5" x14ac:dyDescent="0.35">
      <c r="A130" s="1">
        <f t="shared" si="1"/>
        <v>129</v>
      </c>
      <c r="B130" s="1" t="s">
        <v>2218</v>
      </c>
      <c r="C130" s="1" t="s">
        <v>244</v>
      </c>
      <c r="D130" s="1" t="s">
        <v>2219</v>
      </c>
      <c r="E130" s="1" t="s">
        <v>1624</v>
      </c>
      <c r="F130" s="1" t="s">
        <v>2220</v>
      </c>
      <c r="G130" s="1" t="s">
        <v>2220</v>
      </c>
      <c r="H130" s="1" t="s">
        <v>2221</v>
      </c>
      <c r="I130" s="7" t="str" cm="1">
        <f t="array" ref="I130">IF(SUM(COUNTIF(Text_Preprocessing__2247[[#This Row],[full_text]],{"*makan siang gratis*";"*MBG*";"*makan gratis*";"*makan bergizi gratis*";"*makangratis*";"*makanan gratis*"})),"Relevan","Tidak Relevan")</f>
        <v>Relevan</v>
      </c>
      <c r="J130" s="1"/>
    </row>
    <row r="131" spans="1:10" ht="58" x14ac:dyDescent="0.35">
      <c r="A131" s="1">
        <f t="shared" ref="A131:A194" si="2">SUM(A130+1)</f>
        <v>130</v>
      </c>
      <c r="B131" s="1" t="s">
        <v>2222</v>
      </c>
      <c r="C131" s="1" t="s">
        <v>246</v>
      </c>
      <c r="D131" s="1" t="s">
        <v>2223</v>
      </c>
      <c r="E131" s="1" t="s">
        <v>2154</v>
      </c>
      <c r="F131" s="1" t="s">
        <v>2224</v>
      </c>
      <c r="G131" s="1" t="s">
        <v>2225</v>
      </c>
      <c r="H131" s="1" t="s">
        <v>2226</v>
      </c>
      <c r="I131" s="7" t="str" cm="1">
        <f t="array" ref="I131">IF(SUM(COUNTIF(Text_Preprocessing__2247[[#This Row],[full_text]],{"*makan siang gratis*";"*MBG*";"*makan gratis*";"*makan bergizi gratis*";"*makangratis*";"*makanan gratis*"})),"Relevan","Tidak Relevan")</f>
        <v>Relevan</v>
      </c>
      <c r="J131" s="1"/>
    </row>
    <row r="132" spans="1:10" ht="29" x14ac:dyDescent="0.35">
      <c r="A132" s="1">
        <f t="shared" si="2"/>
        <v>131</v>
      </c>
      <c r="B132" s="1" t="s">
        <v>2227</v>
      </c>
      <c r="C132" s="1" t="s">
        <v>137</v>
      </c>
      <c r="D132" s="1" t="s">
        <v>2228</v>
      </c>
      <c r="E132" s="1" t="s">
        <v>2229</v>
      </c>
      <c r="F132" s="1" t="s">
        <v>2230</v>
      </c>
      <c r="G132" s="1" t="s">
        <v>2230</v>
      </c>
      <c r="H132" s="1" t="s">
        <v>2231</v>
      </c>
      <c r="I132" s="7" t="str" cm="1">
        <f t="array" ref="I132">IF(SUM(COUNTIF(Text_Preprocessing__2247[[#This Row],[full_text]],{"*makan siang gratis*";"*MBG*";"*makan gratis*";"*makan bergizi gratis*";"*makangratis*";"*makanan gratis*"})),"Relevan","Tidak Relevan")</f>
        <v>Relevan</v>
      </c>
      <c r="J132" s="1"/>
    </row>
    <row r="133" spans="1:10" ht="43.5" x14ac:dyDescent="0.35">
      <c r="A133" s="1">
        <f t="shared" si="2"/>
        <v>132</v>
      </c>
      <c r="B133" s="1" t="s">
        <v>2232</v>
      </c>
      <c r="C133" s="1" t="s">
        <v>249</v>
      </c>
      <c r="D133" s="1" t="s">
        <v>2233</v>
      </c>
      <c r="E133" s="1" t="s">
        <v>2234</v>
      </c>
      <c r="F133" s="1" t="s">
        <v>2235</v>
      </c>
      <c r="G133" s="1" t="s">
        <v>2235</v>
      </c>
      <c r="H133" s="1" t="s">
        <v>2236</v>
      </c>
      <c r="I133" s="7" t="str" cm="1">
        <f t="array" ref="I133">IF(SUM(COUNTIF(Text_Preprocessing__2247[[#This Row],[full_text]],{"*makan siang gratis*";"*MBG*";"*makan gratis*";"*makan bergizi gratis*";"*makangratis*";"*makanan gratis*"})),"Relevan","Tidak Relevan")</f>
        <v>Relevan</v>
      </c>
      <c r="J133" s="1"/>
    </row>
    <row r="134" spans="1:10" ht="58" x14ac:dyDescent="0.35">
      <c r="A134" s="1">
        <f t="shared" si="2"/>
        <v>133</v>
      </c>
      <c r="B134" s="1" t="s">
        <v>2237</v>
      </c>
      <c r="C134" s="1" t="s">
        <v>251</v>
      </c>
      <c r="D134" s="1" t="s">
        <v>2238</v>
      </c>
      <c r="E134" s="1" t="s">
        <v>2082</v>
      </c>
      <c r="F134" s="1" t="s">
        <v>2239</v>
      </c>
      <c r="G134" s="1" t="s">
        <v>2240</v>
      </c>
      <c r="H134" s="1" t="s">
        <v>2241</v>
      </c>
      <c r="I134" s="7" t="str" cm="1">
        <f t="array" ref="I134">IF(SUM(COUNTIF(Text_Preprocessing__2247[[#This Row],[full_text]],{"*makan siang gratis*";"*MBG*";"*makan gratis*";"*makan bergizi gratis*";"*makangratis*";"*makanan gratis*"})),"Relevan","Tidak Relevan")</f>
        <v>Relevan</v>
      </c>
      <c r="J134" s="1"/>
    </row>
    <row r="135" spans="1:10" ht="29" x14ac:dyDescent="0.35">
      <c r="A135" s="1">
        <f t="shared" si="2"/>
        <v>134</v>
      </c>
      <c r="B135" s="1" t="s">
        <v>2242</v>
      </c>
      <c r="C135" s="1" t="s">
        <v>253</v>
      </c>
      <c r="D135" s="1" t="s">
        <v>2243</v>
      </c>
      <c r="E135" s="1" t="s">
        <v>2229</v>
      </c>
      <c r="F135" s="1" t="s">
        <v>2244</v>
      </c>
      <c r="G135" s="1" t="s">
        <v>2244</v>
      </c>
      <c r="H135" s="1" t="s">
        <v>2245</v>
      </c>
      <c r="I135" s="7" t="str" cm="1">
        <f t="array" ref="I135">IF(SUM(COUNTIF(Text_Preprocessing__2247[[#This Row],[full_text]],{"*makan siang gratis*";"*MBG*";"*makan gratis*";"*makan bergizi gratis*";"*makangratis*";"*makanan gratis*"})),"Relevan","Tidak Relevan")</f>
        <v>Relevan</v>
      </c>
      <c r="J135" s="1"/>
    </row>
    <row r="136" spans="1:10" ht="43.5" x14ac:dyDescent="0.35">
      <c r="A136" s="1">
        <f t="shared" si="2"/>
        <v>135</v>
      </c>
      <c r="B136" s="1" t="s">
        <v>2246</v>
      </c>
      <c r="C136" s="1" t="s">
        <v>255</v>
      </c>
      <c r="D136" s="1" t="s">
        <v>2247</v>
      </c>
      <c r="E136" s="1" t="s">
        <v>2248</v>
      </c>
      <c r="F136" s="1" t="s">
        <v>2249</v>
      </c>
      <c r="G136" s="1" t="s">
        <v>2249</v>
      </c>
      <c r="H136" s="1" t="s">
        <v>2250</v>
      </c>
      <c r="I136" s="7" t="str" cm="1">
        <f t="array" ref="I136">IF(SUM(COUNTIF(Text_Preprocessing__2247[[#This Row],[full_text]],{"*makan siang gratis*";"*MBG*";"*makan gratis*";"*makan bergizi gratis*";"*makangratis*";"*makanan gratis*"})),"Relevan","Tidak Relevan")</f>
        <v>Relevan</v>
      </c>
      <c r="J136" s="1"/>
    </row>
    <row r="137" spans="1:10" ht="43.5" x14ac:dyDescent="0.35">
      <c r="A137" s="1">
        <f t="shared" si="2"/>
        <v>136</v>
      </c>
      <c r="B137" s="1" t="s">
        <v>2251</v>
      </c>
      <c r="C137" s="1" t="s">
        <v>213</v>
      </c>
      <c r="D137" s="1" t="s">
        <v>2252</v>
      </c>
      <c r="E137" s="1" t="s">
        <v>2253</v>
      </c>
      <c r="F137" s="1" t="s">
        <v>2254</v>
      </c>
      <c r="G137" s="1" t="s">
        <v>2254</v>
      </c>
      <c r="H137" s="1" t="s">
        <v>2255</v>
      </c>
      <c r="I137" s="7" t="str" cm="1">
        <f t="array" ref="I137">IF(SUM(COUNTIF(Text_Preprocessing__2247[[#This Row],[full_text]],{"*makan siang gratis*";"*MBG*";"*makan gratis*";"*makan bergizi gratis*";"*makangratis*";"*makanan gratis*"})),"Relevan","Tidak Relevan")</f>
        <v>Relevan</v>
      </c>
      <c r="J137" s="1"/>
    </row>
    <row r="138" spans="1:10" ht="43.5" x14ac:dyDescent="0.35">
      <c r="A138" s="1">
        <f t="shared" si="2"/>
        <v>137</v>
      </c>
      <c r="B138" s="1" t="s">
        <v>2256</v>
      </c>
      <c r="C138" s="1" t="s">
        <v>213</v>
      </c>
      <c r="D138" s="1" t="s">
        <v>2257</v>
      </c>
      <c r="E138" s="1" t="s">
        <v>2258</v>
      </c>
      <c r="F138" s="1" t="s">
        <v>2259</v>
      </c>
      <c r="G138" s="1" t="s">
        <v>2259</v>
      </c>
      <c r="H138" s="1" t="s">
        <v>2260</v>
      </c>
      <c r="I138" s="7" t="str" cm="1">
        <f t="array" ref="I138">IF(SUM(COUNTIF(Text_Preprocessing__2247[[#This Row],[full_text]],{"*makan siang gratis*";"*MBG*";"*makan gratis*";"*makan bergizi gratis*";"*makangratis*";"*makanan gratis*"})),"Relevan","Tidak Relevan")</f>
        <v>Relevan</v>
      </c>
      <c r="J138" s="1"/>
    </row>
    <row r="139" spans="1:10" ht="58" x14ac:dyDescent="0.35">
      <c r="A139" s="1">
        <f t="shared" si="2"/>
        <v>138</v>
      </c>
      <c r="B139" s="1" t="s">
        <v>2261</v>
      </c>
      <c r="C139" s="1" t="s">
        <v>259</v>
      </c>
      <c r="D139" s="1" t="s">
        <v>2262</v>
      </c>
      <c r="E139" s="1" t="s">
        <v>2069</v>
      </c>
      <c r="F139" s="1" t="s">
        <v>2263</v>
      </c>
      <c r="G139" s="1" t="s">
        <v>2263</v>
      </c>
      <c r="H139" s="1" t="s">
        <v>2264</v>
      </c>
      <c r="I139" s="7" t="str" cm="1">
        <f t="array" ref="I139">IF(SUM(COUNTIF(Text_Preprocessing__2247[[#This Row],[full_text]],{"*makan siang gratis*";"*MBG*";"*makan gratis*";"*makan bergizi gratis*";"*makangratis*";"*makanan gratis*"})),"Relevan","Tidak Relevan")</f>
        <v>Relevan</v>
      </c>
      <c r="J139" s="1"/>
    </row>
    <row r="140" spans="1:10" ht="58" x14ac:dyDescent="0.35">
      <c r="A140" s="1">
        <f t="shared" si="2"/>
        <v>139</v>
      </c>
      <c r="B140" s="1" t="s">
        <v>2265</v>
      </c>
      <c r="C140" s="1" t="s">
        <v>261</v>
      </c>
      <c r="D140" s="1" t="s">
        <v>2266</v>
      </c>
      <c r="E140" s="1" t="s">
        <v>2267</v>
      </c>
      <c r="F140" s="1" t="s">
        <v>2268</v>
      </c>
      <c r="G140" s="1" t="s">
        <v>2268</v>
      </c>
      <c r="H140" s="1" t="s">
        <v>2269</v>
      </c>
      <c r="I140" s="7" t="str" cm="1">
        <f t="array" ref="I140">IF(SUM(COUNTIF(Text_Preprocessing__2247[[#This Row],[full_text]],{"*makan siang gratis*";"*MBG*";"*makan gratis*";"*makan bergizi gratis*";"*makangratis*";"*makanan gratis*"})),"Relevan","Tidak Relevan")</f>
        <v>Relevan</v>
      </c>
      <c r="J140" s="1"/>
    </row>
    <row r="141" spans="1:10" ht="58" x14ac:dyDescent="0.35">
      <c r="A141" s="1">
        <f t="shared" si="2"/>
        <v>140</v>
      </c>
      <c r="B141" s="1" t="s">
        <v>2270</v>
      </c>
      <c r="C141" s="1" t="s">
        <v>263</v>
      </c>
      <c r="D141" s="1" t="s">
        <v>2271</v>
      </c>
      <c r="E141" s="1" t="s">
        <v>2272</v>
      </c>
      <c r="F141" s="1" t="s">
        <v>2273</v>
      </c>
      <c r="G141" s="1" t="s">
        <v>2273</v>
      </c>
      <c r="H141" s="1" t="s">
        <v>2274</v>
      </c>
      <c r="I141" s="7" t="str" cm="1">
        <f t="array" ref="I141">IF(SUM(COUNTIF(Text_Preprocessing__2247[[#This Row],[full_text]],{"*makan siang gratis*";"*MBG*";"*makan gratis*";"*makan bergizi gratis*";"*makangratis*";"*makanan gratis*"})),"Relevan","Tidak Relevan")</f>
        <v>Relevan</v>
      </c>
      <c r="J141" s="1"/>
    </row>
    <row r="142" spans="1:10" ht="29" x14ac:dyDescent="0.35">
      <c r="A142" s="1">
        <f t="shared" si="2"/>
        <v>141</v>
      </c>
      <c r="B142" s="1" t="s">
        <v>2275</v>
      </c>
      <c r="C142" s="1" t="s">
        <v>265</v>
      </c>
      <c r="D142" s="1" t="s">
        <v>2276</v>
      </c>
      <c r="E142" s="1" t="s">
        <v>1596</v>
      </c>
      <c r="F142" s="1" t="s">
        <v>2277</v>
      </c>
      <c r="G142" s="1" t="s">
        <v>2277</v>
      </c>
      <c r="H142" s="1" t="s">
        <v>2278</v>
      </c>
      <c r="I142" s="7" t="str" cm="1">
        <f t="array" ref="I142">IF(SUM(COUNTIF(Text_Preprocessing__2247[[#This Row],[full_text]],{"*makan siang gratis*";"*MBG*";"*makan gratis*";"*makan bergizi gratis*";"*makangratis*";"*makanan gratis*"})),"Relevan","Tidak Relevan")</f>
        <v>Relevan</v>
      </c>
      <c r="J142" s="1"/>
    </row>
    <row r="143" spans="1:10" ht="58" x14ac:dyDescent="0.35">
      <c r="A143" s="1">
        <f t="shared" si="2"/>
        <v>142</v>
      </c>
      <c r="B143" s="1" t="s">
        <v>2279</v>
      </c>
      <c r="C143" s="1" t="s">
        <v>267</v>
      </c>
      <c r="D143" s="1" t="s">
        <v>2280</v>
      </c>
      <c r="E143" s="1" t="s">
        <v>1657</v>
      </c>
      <c r="F143" s="1" t="s">
        <v>2281</v>
      </c>
      <c r="G143" s="1" t="s">
        <v>2281</v>
      </c>
      <c r="H143" s="1" t="s">
        <v>2282</v>
      </c>
      <c r="I143" s="7" t="str" cm="1">
        <f t="array" ref="I143">IF(SUM(COUNTIF(Text_Preprocessing__2247[[#This Row],[full_text]],{"*makan siang gratis*";"*MBG*";"*makan gratis*";"*makan bergizi gratis*";"*makangratis*";"*makanan gratis*"})),"Relevan","Tidak Relevan")</f>
        <v>Relevan</v>
      </c>
      <c r="J143" s="1"/>
    </row>
    <row r="144" spans="1:10" ht="58" x14ac:dyDescent="0.35">
      <c r="A144" s="1">
        <f t="shared" si="2"/>
        <v>143</v>
      </c>
      <c r="B144" s="1" t="s">
        <v>2283</v>
      </c>
      <c r="C144" s="1" t="s">
        <v>269</v>
      </c>
      <c r="D144" s="1" t="s">
        <v>2284</v>
      </c>
      <c r="E144" s="1" t="s">
        <v>2285</v>
      </c>
      <c r="F144" s="1" t="s">
        <v>2286</v>
      </c>
      <c r="G144" s="1" t="s">
        <v>2286</v>
      </c>
      <c r="H144" s="1" t="s">
        <v>2287</v>
      </c>
      <c r="I144" s="7" t="str" cm="1">
        <f t="array" ref="I144">IF(SUM(COUNTIF(Text_Preprocessing__2247[[#This Row],[full_text]],{"*makan siang gratis*";"*MBG*";"*makan gratis*";"*makan bergizi gratis*";"*makangratis*";"*makanan gratis*"})),"Relevan","Tidak Relevan")</f>
        <v>Relevan</v>
      </c>
      <c r="J144" s="1"/>
    </row>
    <row r="145" spans="1:10" ht="29" x14ac:dyDescent="0.35">
      <c r="A145" s="1">
        <f t="shared" si="2"/>
        <v>144</v>
      </c>
      <c r="B145" s="1" t="s">
        <v>2288</v>
      </c>
      <c r="C145" s="1" t="s">
        <v>249</v>
      </c>
      <c r="D145" s="1" t="s">
        <v>2289</v>
      </c>
      <c r="E145" s="1" t="s">
        <v>2290</v>
      </c>
      <c r="F145" s="1" t="s">
        <v>2291</v>
      </c>
      <c r="G145" s="1" t="s">
        <v>2291</v>
      </c>
      <c r="H145" s="1" t="s">
        <v>2292</v>
      </c>
      <c r="I145" s="7" t="str" cm="1">
        <f t="array" ref="I145">IF(SUM(COUNTIF(Text_Preprocessing__2247[[#This Row],[full_text]],{"*makan siang gratis*";"*MBG*";"*makan gratis*";"*makan bergizi gratis*";"*makangratis*";"*makanan gratis*"})),"Relevan","Tidak Relevan")</f>
        <v>Relevan</v>
      </c>
      <c r="J145" s="1"/>
    </row>
    <row r="146" spans="1:10" x14ac:dyDescent="0.35">
      <c r="A146" s="1">
        <f t="shared" si="2"/>
        <v>145</v>
      </c>
      <c r="B146" s="1" t="s">
        <v>2293</v>
      </c>
      <c r="C146" s="1" t="s">
        <v>272</v>
      </c>
      <c r="D146" s="1" t="s">
        <v>2294</v>
      </c>
      <c r="E146" s="1" t="s">
        <v>1596</v>
      </c>
      <c r="F146" s="1" t="s">
        <v>2295</v>
      </c>
      <c r="G146" s="1" t="s">
        <v>2295</v>
      </c>
      <c r="H146" s="1" t="s">
        <v>2296</v>
      </c>
      <c r="I146" s="7" t="str" cm="1">
        <f t="array" ref="I146">IF(SUM(COUNTIF(Text_Preprocessing__2247[[#This Row],[full_text]],{"*makan siang gratis*";"*MBG*";"*makan gratis*";"*makan bergizi gratis*";"*makangratis*";"*makanan gratis*"})),"Relevan","Tidak Relevan")</f>
        <v>Relevan</v>
      </c>
      <c r="J146" s="1"/>
    </row>
    <row r="147" spans="1:10" ht="58" x14ac:dyDescent="0.35">
      <c r="A147" s="1">
        <f t="shared" si="2"/>
        <v>146</v>
      </c>
      <c r="B147" s="1" t="s">
        <v>2297</v>
      </c>
      <c r="C147" s="1" t="s">
        <v>274</v>
      </c>
      <c r="D147" s="1" t="s">
        <v>2298</v>
      </c>
      <c r="E147" s="1" t="s">
        <v>2299</v>
      </c>
      <c r="F147" s="1" t="s">
        <v>2300</v>
      </c>
      <c r="G147" s="1" t="s">
        <v>2300</v>
      </c>
      <c r="H147" s="1" t="s">
        <v>2301</v>
      </c>
      <c r="I147" s="7" t="str" cm="1">
        <f t="array" ref="I147">IF(SUM(COUNTIF(Text_Preprocessing__2247[[#This Row],[full_text]],{"*makan siang gratis*";"*MBG*";"*makan gratis*";"*makan bergizi gratis*";"*makangratis*";"*makanan gratis*"})),"Relevan","Tidak Relevan")</f>
        <v>Relevan</v>
      </c>
      <c r="J147" s="1"/>
    </row>
    <row r="148" spans="1:10" ht="58" x14ac:dyDescent="0.35">
      <c r="A148" s="1">
        <f t="shared" si="2"/>
        <v>147</v>
      </c>
      <c r="B148" s="1" t="s">
        <v>2302</v>
      </c>
      <c r="C148" s="1" t="s">
        <v>276</v>
      </c>
      <c r="D148" s="1" t="s">
        <v>2303</v>
      </c>
      <c r="E148" s="1" t="s">
        <v>1624</v>
      </c>
      <c r="F148" s="1" t="s">
        <v>2304</v>
      </c>
      <c r="G148" s="1" t="s">
        <v>2304</v>
      </c>
      <c r="H148" s="1" t="s">
        <v>2305</v>
      </c>
      <c r="I148" s="7" t="str" cm="1">
        <f t="array" ref="I148">IF(SUM(COUNTIF(Text_Preprocessing__2247[[#This Row],[full_text]],{"*makan siang gratis*";"*MBG*";"*makan gratis*";"*makan bergizi gratis*";"*makangratis*";"*makanan gratis*"})),"Relevan","Tidak Relevan")</f>
        <v>Relevan</v>
      </c>
      <c r="J148" s="1"/>
    </row>
    <row r="149" spans="1:10" ht="29" x14ac:dyDescent="0.35">
      <c r="A149" s="1">
        <f t="shared" si="2"/>
        <v>148</v>
      </c>
      <c r="B149" s="1" t="s">
        <v>2306</v>
      </c>
      <c r="C149" s="1" t="s">
        <v>143</v>
      </c>
      <c r="D149" s="1" t="s">
        <v>2307</v>
      </c>
      <c r="E149" s="1" t="s">
        <v>1735</v>
      </c>
      <c r="F149" s="1" t="s">
        <v>2308</v>
      </c>
      <c r="G149" s="1" t="s">
        <v>2308</v>
      </c>
      <c r="H149" s="1" t="s">
        <v>2309</v>
      </c>
      <c r="I149" s="7" t="str" cm="1">
        <f t="array" ref="I149">IF(SUM(COUNTIF(Text_Preprocessing__2247[[#This Row],[full_text]],{"*makan siang gratis*";"*MBG*";"*makan gratis*";"*makan bergizi gratis*";"*makangratis*";"*makanan gratis*"})),"Relevan","Tidak Relevan")</f>
        <v>Relevan</v>
      </c>
      <c r="J149" s="1"/>
    </row>
    <row r="150" spans="1:10" ht="58" x14ac:dyDescent="0.35">
      <c r="A150" s="1">
        <f t="shared" si="2"/>
        <v>149</v>
      </c>
      <c r="B150" s="1" t="s">
        <v>2310</v>
      </c>
      <c r="C150" s="1" t="s">
        <v>174</v>
      </c>
      <c r="D150" s="1" t="s">
        <v>2311</v>
      </c>
      <c r="E150" s="1" t="s">
        <v>2312</v>
      </c>
      <c r="F150" s="1" t="s">
        <v>2313</v>
      </c>
      <c r="G150" s="1" t="s">
        <v>2313</v>
      </c>
      <c r="H150" s="1" t="s">
        <v>2314</v>
      </c>
      <c r="I150" s="7" t="str" cm="1">
        <f t="array" ref="I150">IF(SUM(COUNTIF(Text_Preprocessing__2247[[#This Row],[full_text]],{"*makan siang gratis*";"*MBG*";"*makan gratis*";"*makan bergizi gratis*";"*makangratis*";"*makanan gratis*"})),"Relevan","Tidak Relevan")</f>
        <v>Relevan</v>
      </c>
      <c r="J150" s="1"/>
    </row>
    <row r="151" spans="1:10" ht="43.5" x14ac:dyDescent="0.35">
      <c r="A151" s="1">
        <f t="shared" si="2"/>
        <v>150</v>
      </c>
      <c r="B151" s="1" t="s">
        <v>2315</v>
      </c>
      <c r="C151" s="1" t="s">
        <v>280</v>
      </c>
      <c r="D151" s="1" t="s">
        <v>2316</v>
      </c>
      <c r="E151" s="1" t="s">
        <v>1893</v>
      </c>
      <c r="F151" s="1" t="s">
        <v>2317</v>
      </c>
      <c r="G151" s="1" t="s">
        <v>2317</v>
      </c>
      <c r="H151" s="1" t="s">
        <v>2318</v>
      </c>
      <c r="I151" s="7" t="str" cm="1">
        <f t="array" ref="I151">IF(SUM(COUNTIF(Text_Preprocessing__2247[[#This Row],[full_text]],{"*makan siang gratis*";"*MBG*";"*makan gratis*";"*makan bergizi gratis*";"*makangratis*";"*makanan gratis*"})),"Relevan","Tidak Relevan")</f>
        <v>Relevan</v>
      </c>
      <c r="J151" s="1"/>
    </row>
    <row r="152" spans="1:10" ht="29" x14ac:dyDescent="0.35">
      <c r="A152" s="1">
        <f t="shared" si="2"/>
        <v>151</v>
      </c>
      <c r="B152" s="1" t="s">
        <v>2319</v>
      </c>
      <c r="C152" s="1" t="s">
        <v>282</v>
      </c>
      <c r="D152" s="1" t="s">
        <v>2320</v>
      </c>
      <c r="E152" s="1" t="s">
        <v>1799</v>
      </c>
      <c r="F152" s="1" t="s">
        <v>2321</v>
      </c>
      <c r="G152" s="1" t="s">
        <v>2321</v>
      </c>
      <c r="H152" s="1" t="s">
        <v>2322</v>
      </c>
      <c r="I152" s="7" t="str" cm="1">
        <f t="array" ref="I152">IF(SUM(COUNTIF(Text_Preprocessing__2247[[#This Row],[full_text]],{"*makan siang gratis*";"*MBG*";"*makan gratis*";"*makan bergizi gratis*";"*makangratis*";"*makanan gratis*"})),"Relevan","Tidak Relevan")</f>
        <v>Relevan</v>
      </c>
      <c r="J152" s="1"/>
    </row>
    <row r="153" spans="1:10" ht="29" x14ac:dyDescent="0.35">
      <c r="A153" s="1">
        <f t="shared" si="2"/>
        <v>152</v>
      </c>
      <c r="B153" s="1" t="s">
        <v>2323</v>
      </c>
      <c r="C153" s="1" t="s">
        <v>143</v>
      </c>
      <c r="D153" s="1" t="s">
        <v>2324</v>
      </c>
      <c r="E153" s="1" t="s">
        <v>2325</v>
      </c>
      <c r="F153" s="1" t="s">
        <v>2326</v>
      </c>
      <c r="G153" s="1" t="s">
        <v>2326</v>
      </c>
      <c r="H153" s="1" t="s">
        <v>2327</v>
      </c>
      <c r="I153" s="7" t="str" cm="1">
        <f t="array" ref="I153">IF(SUM(COUNTIF(Text_Preprocessing__2247[[#This Row],[full_text]],{"*makan siang gratis*";"*MBG*";"*makan gratis*";"*makan bergizi gratis*";"*makangratis*";"*makanan gratis*"})),"Relevan","Tidak Relevan")</f>
        <v>Relevan</v>
      </c>
      <c r="J153" s="1"/>
    </row>
    <row r="154" spans="1:10" ht="29" x14ac:dyDescent="0.35">
      <c r="A154" s="1">
        <f t="shared" si="2"/>
        <v>153</v>
      </c>
      <c r="B154" s="1" t="s">
        <v>2328</v>
      </c>
      <c r="C154" s="1" t="s">
        <v>285</v>
      </c>
      <c r="D154" s="1" t="s">
        <v>2329</v>
      </c>
      <c r="E154" s="1" t="s">
        <v>1990</v>
      </c>
      <c r="F154" s="1" t="s">
        <v>2330</v>
      </c>
      <c r="G154" s="1" t="s">
        <v>2331</v>
      </c>
      <c r="H154" s="1" t="s">
        <v>2332</v>
      </c>
      <c r="I154" s="7" t="str" cm="1">
        <f t="array" ref="I154">IF(SUM(COUNTIF(Text_Preprocessing__2247[[#This Row],[full_text]],{"*makan siang gratis*";"*MBG*";"*makan gratis*";"*makan bergizi gratis*";"*makangratis*";"*makanan gratis*"})),"Relevan","Tidak Relevan")</f>
        <v>Relevan</v>
      </c>
      <c r="J154" s="1"/>
    </row>
    <row r="155" spans="1:10" ht="58" x14ac:dyDescent="0.35">
      <c r="A155" s="1">
        <f t="shared" si="2"/>
        <v>154</v>
      </c>
      <c r="B155" s="1" t="s">
        <v>2333</v>
      </c>
      <c r="C155" s="1" t="s">
        <v>223</v>
      </c>
      <c r="D155" s="1" t="s">
        <v>2334</v>
      </c>
      <c r="E155" s="1" t="s">
        <v>2335</v>
      </c>
      <c r="F155" s="1" t="s">
        <v>2336</v>
      </c>
      <c r="G155" s="1" t="s">
        <v>2336</v>
      </c>
      <c r="H155" s="1" t="s">
        <v>2337</v>
      </c>
      <c r="I155" s="7" t="str" cm="1">
        <f t="array" ref="I155">IF(SUM(COUNTIF(Text_Preprocessing__2247[[#This Row],[full_text]],{"*makan siang gratis*";"*MBG*";"*makan gratis*";"*makan bergizi gratis*";"*makangratis*";"*makanan gratis*"})),"Relevan","Tidak Relevan")</f>
        <v>Relevan</v>
      </c>
      <c r="J155" s="1"/>
    </row>
    <row r="156" spans="1:10" ht="29" x14ac:dyDescent="0.35">
      <c r="A156" s="1">
        <f t="shared" si="2"/>
        <v>155</v>
      </c>
      <c r="B156" s="1" t="s">
        <v>2338</v>
      </c>
      <c r="C156" s="1" t="s">
        <v>217</v>
      </c>
      <c r="D156" s="1" t="s">
        <v>2339</v>
      </c>
      <c r="E156" s="1" t="s">
        <v>1990</v>
      </c>
      <c r="F156" s="1" t="s">
        <v>2340</v>
      </c>
      <c r="G156" s="1" t="s">
        <v>2340</v>
      </c>
      <c r="H156" s="1" t="s">
        <v>2341</v>
      </c>
      <c r="I156" s="7" t="str" cm="1">
        <f t="array" ref="I156">IF(SUM(COUNTIF(Text_Preprocessing__2247[[#This Row],[full_text]],{"*makan siang gratis*";"*MBG*";"*makan gratis*";"*makan bergizi gratis*";"*makangratis*";"*makanan gratis*"})),"Relevan","Tidak Relevan")</f>
        <v>Relevan</v>
      </c>
      <c r="J156" s="1"/>
    </row>
    <row r="157" spans="1:10" ht="43.5" x14ac:dyDescent="0.35">
      <c r="A157" s="1">
        <f t="shared" si="2"/>
        <v>156</v>
      </c>
      <c r="B157" s="1" t="s">
        <v>2342</v>
      </c>
      <c r="C157" s="1" t="s">
        <v>289</v>
      </c>
      <c r="D157" s="1" t="s">
        <v>2343</v>
      </c>
      <c r="E157" s="1" t="s">
        <v>1893</v>
      </c>
      <c r="F157" s="1" t="s">
        <v>2344</v>
      </c>
      <c r="G157" s="1" t="s">
        <v>2344</v>
      </c>
      <c r="H157" s="1" t="s">
        <v>2345</v>
      </c>
      <c r="I157" s="7" t="str" cm="1">
        <f t="array" ref="I157">IF(SUM(COUNTIF(Text_Preprocessing__2247[[#This Row],[full_text]],{"*makan siang gratis*";"*MBG*";"*makan gratis*";"*makan bergizi gratis*";"*makangratis*";"*makanan gratis*"})),"Relevan","Tidak Relevan")</f>
        <v>Relevan</v>
      </c>
      <c r="J157" s="1"/>
    </row>
    <row r="158" spans="1:10" ht="43.5" x14ac:dyDescent="0.35">
      <c r="A158" s="1">
        <f t="shared" si="2"/>
        <v>157</v>
      </c>
      <c r="B158" s="1" t="s">
        <v>2346</v>
      </c>
      <c r="C158" s="1" t="s">
        <v>291</v>
      </c>
      <c r="D158" s="1" t="s">
        <v>2347</v>
      </c>
      <c r="E158" s="1" t="s">
        <v>2348</v>
      </c>
      <c r="F158" s="1" t="s">
        <v>2349</v>
      </c>
      <c r="G158" s="1" t="s">
        <v>2349</v>
      </c>
      <c r="H158" s="1" t="s">
        <v>2350</v>
      </c>
      <c r="I158" s="7" t="str" cm="1">
        <f t="array" ref="I158">IF(SUM(COUNTIF(Text_Preprocessing__2247[[#This Row],[full_text]],{"*makan siang gratis*";"*MBG*";"*makan gratis*";"*makan bergizi gratis*";"*makangratis*";"*makanan gratis*"})),"Relevan","Tidak Relevan")</f>
        <v>Relevan</v>
      </c>
      <c r="J158" s="1"/>
    </row>
    <row r="159" spans="1:10" ht="43.5" x14ac:dyDescent="0.35">
      <c r="A159" s="1">
        <f t="shared" si="2"/>
        <v>158</v>
      </c>
      <c r="B159" s="1" t="s">
        <v>2351</v>
      </c>
      <c r="C159" s="1" t="s">
        <v>276</v>
      </c>
      <c r="D159" s="1" t="s">
        <v>2352</v>
      </c>
      <c r="E159" s="1" t="s">
        <v>1624</v>
      </c>
      <c r="F159" s="1" t="s">
        <v>2353</v>
      </c>
      <c r="G159" s="1" t="s">
        <v>2353</v>
      </c>
      <c r="H159" s="1" t="s">
        <v>2354</v>
      </c>
      <c r="I159" s="7" t="str" cm="1">
        <f t="array" ref="I159">IF(SUM(COUNTIF(Text_Preprocessing__2247[[#This Row],[full_text]],{"*makan siang gratis*";"*MBG*";"*makan gratis*";"*makan bergizi gratis*";"*makangratis*";"*makanan gratis*"})),"Relevan","Tidak Relevan")</f>
        <v>Relevan</v>
      </c>
      <c r="J159" s="1"/>
    </row>
    <row r="160" spans="1:10" ht="43.5" x14ac:dyDescent="0.35">
      <c r="A160" s="1">
        <f t="shared" si="2"/>
        <v>159</v>
      </c>
      <c r="B160" s="1" t="s">
        <v>2355</v>
      </c>
      <c r="C160" s="1" t="s">
        <v>294</v>
      </c>
      <c r="D160" s="1" t="s">
        <v>2356</v>
      </c>
      <c r="E160" s="1" t="s">
        <v>2357</v>
      </c>
      <c r="F160" s="1" t="s">
        <v>2358</v>
      </c>
      <c r="G160" s="1" t="s">
        <v>2359</v>
      </c>
      <c r="H160" s="1" t="s">
        <v>2360</v>
      </c>
      <c r="I160" s="7" t="str" cm="1">
        <f t="array" ref="I160">IF(SUM(COUNTIF(Text_Preprocessing__2247[[#This Row],[full_text]],{"*makan siang gratis*";"*MBG*";"*makan gratis*";"*makan bergizi gratis*";"*makangratis*";"*makanan gratis*"})),"Relevan","Tidak Relevan")</f>
        <v>Relevan</v>
      </c>
      <c r="J160" s="1"/>
    </row>
    <row r="161" spans="1:10" ht="29" x14ac:dyDescent="0.35">
      <c r="A161" s="1">
        <f t="shared" si="2"/>
        <v>160</v>
      </c>
      <c r="B161" s="1" t="s">
        <v>2361</v>
      </c>
      <c r="C161" s="1" t="s">
        <v>296</v>
      </c>
      <c r="D161" s="1" t="s">
        <v>2362</v>
      </c>
      <c r="E161" s="1" t="s">
        <v>1730</v>
      </c>
      <c r="F161" s="1" t="s">
        <v>2363</v>
      </c>
      <c r="G161" s="1" t="s">
        <v>2363</v>
      </c>
      <c r="H161" s="1" t="s">
        <v>2364</v>
      </c>
      <c r="I161" s="7" t="str" cm="1">
        <f t="array" ref="I161">IF(SUM(COUNTIF(Text_Preprocessing__2247[[#This Row],[full_text]],{"*makan siang gratis*";"*MBG*";"*makan gratis*";"*makan bergizi gratis*";"*makangratis*";"*makanan gratis*"})),"Relevan","Tidak Relevan")</f>
        <v>Relevan</v>
      </c>
      <c r="J161" s="1"/>
    </row>
    <row r="162" spans="1:10" ht="43.5" x14ac:dyDescent="0.35">
      <c r="A162" s="1">
        <f t="shared" si="2"/>
        <v>161</v>
      </c>
      <c r="B162" s="1" t="s">
        <v>2365</v>
      </c>
      <c r="C162" s="1" t="s">
        <v>280</v>
      </c>
      <c r="D162" s="1" t="s">
        <v>2366</v>
      </c>
      <c r="E162" s="1" t="s">
        <v>1999</v>
      </c>
      <c r="F162" s="1" t="s">
        <v>2367</v>
      </c>
      <c r="G162" s="1" t="s">
        <v>2367</v>
      </c>
      <c r="H162" s="1" t="s">
        <v>2368</v>
      </c>
      <c r="I162" s="7" t="str" cm="1">
        <f t="array" ref="I162">IF(SUM(COUNTIF(Text_Preprocessing__2247[[#This Row],[full_text]],{"*makan siang gratis*";"*MBG*";"*makan gratis*";"*makan bergizi gratis*";"*makangratis*";"*makanan gratis*"})),"Relevan","Tidak Relevan")</f>
        <v>Relevan</v>
      </c>
      <c r="J162" s="1"/>
    </row>
    <row r="163" spans="1:10" ht="58" x14ac:dyDescent="0.35">
      <c r="A163" s="1">
        <f t="shared" si="2"/>
        <v>162</v>
      </c>
      <c r="B163" s="1" t="s">
        <v>2369</v>
      </c>
      <c r="C163" s="1" t="s">
        <v>76</v>
      </c>
      <c r="D163" s="1" t="s">
        <v>2370</v>
      </c>
      <c r="E163" s="1" t="s">
        <v>2154</v>
      </c>
      <c r="F163" s="1" t="s">
        <v>2371</v>
      </c>
      <c r="G163" s="1" t="s">
        <v>2371</v>
      </c>
      <c r="H163" s="1" t="s">
        <v>2372</v>
      </c>
      <c r="I163" s="7" t="str" cm="1">
        <f t="array" ref="I163">IF(SUM(COUNTIF(Text_Preprocessing__2247[[#This Row],[full_text]],{"*makan siang gratis*";"*MBG*";"*makan gratis*";"*makan bergizi gratis*";"*makangratis*";"*makanan gratis*"})),"Relevan","Tidak Relevan")</f>
        <v>Relevan</v>
      </c>
      <c r="J163" s="1"/>
    </row>
    <row r="164" spans="1:10" ht="43.5" x14ac:dyDescent="0.35">
      <c r="A164" s="1">
        <f t="shared" si="2"/>
        <v>163</v>
      </c>
      <c r="B164" s="1" t="s">
        <v>2373</v>
      </c>
      <c r="C164" s="1" t="s">
        <v>213</v>
      </c>
      <c r="D164" s="1" t="s">
        <v>2374</v>
      </c>
      <c r="E164" s="1" t="s">
        <v>2272</v>
      </c>
      <c r="F164" s="1" t="s">
        <v>2375</v>
      </c>
      <c r="G164" s="1" t="s">
        <v>2375</v>
      </c>
      <c r="H164" s="1" t="s">
        <v>2376</v>
      </c>
      <c r="I164" s="7" t="str" cm="1">
        <f t="array" ref="I164">IF(SUM(COUNTIF(Text_Preprocessing__2247[[#This Row],[full_text]],{"*makan siang gratis*";"*MBG*";"*makan gratis*";"*makan bergizi gratis*";"*makangratis*";"*makanan gratis*"})),"Relevan","Tidak Relevan")</f>
        <v>Relevan</v>
      </c>
      <c r="J164" s="1"/>
    </row>
    <row r="165" spans="1:10" ht="43.5" x14ac:dyDescent="0.35">
      <c r="A165" s="1">
        <f t="shared" si="2"/>
        <v>164</v>
      </c>
      <c r="B165" s="1" t="s">
        <v>2377</v>
      </c>
      <c r="C165" s="1" t="s">
        <v>213</v>
      </c>
      <c r="D165" s="1" t="s">
        <v>2378</v>
      </c>
      <c r="E165" s="1" t="s">
        <v>1624</v>
      </c>
      <c r="F165" s="1" t="s">
        <v>2379</v>
      </c>
      <c r="G165" s="1" t="s">
        <v>2379</v>
      </c>
      <c r="H165" s="1" t="s">
        <v>2380</v>
      </c>
      <c r="I165" s="7" t="str" cm="1">
        <f t="array" ref="I165">IF(SUM(COUNTIF(Text_Preprocessing__2247[[#This Row],[full_text]],{"*makan siang gratis*";"*MBG*";"*makan gratis*";"*makan bergizi gratis*";"*makangratis*";"*makanan gratis*"})),"Relevan","Tidak Relevan")</f>
        <v>Relevan</v>
      </c>
      <c r="J165" s="1"/>
    </row>
    <row r="166" spans="1:10" ht="43.5" x14ac:dyDescent="0.35">
      <c r="A166" s="1">
        <f t="shared" si="2"/>
        <v>165</v>
      </c>
      <c r="B166" s="1" t="s">
        <v>2381</v>
      </c>
      <c r="C166" s="1" t="s">
        <v>280</v>
      </c>
      <c r="D166" s="1" t="s">
        <v>2382</v>
      </c>
      <c r="E166" s="1" t="s">
        <v>1893</v>
      </c>
      <c r="F166" s="1" t="s">
        <v>2383</v>
      </c>
      <c r="G166" s="1" t="s">
        <v>2383</v>
      </c>
      <c r="H166" s="1" t="s">
        <v>2384</v>
      </c>
      <c r="I166" s="7" t="str" cm="1">
        <f t="array" ref="I166">IF(SUM(COUNTIF(Text_Preprocessing__2247[[#This Row],[full_text]],{"*makan siang gratis*";"*MBG*";"*makan gratis*";"*makan bergizi gratis*";"*makangratis*";"*makanan gratis*"})),"Relevan","Tidak Relevan")</f>
        <v>Relevan</v>
      </c>
      <c r="J166" s="1"/>
    </row>
    <row r="167" spans="1:10" ht="58" x14ac:dyDescent="0.35">
      <c r="A167" s="1">
        <f t="shared" si="2"/>
        <v>166</v>
      </c>
      <c r="B167" s="1" t="s">
        <v>2385</v>
      </c>
      <c r="C167" s="1" t="s">
        <v>253</v>
      </c>
      <c r="D167" s="1" t="s">
        <v>2386</v>
      </c>
      <c r="E167" s="1" t="s">
        <v>2387</v>
      </c>
      <c r="F167" s="1" t="s">
        <v>2388</v>
      </c>
      <c r="G167" s="1" t="s">
        <v>2388</v>
      </c>
      <c r="H167" s="1" t="s">
        <v>2389</v>
      </c>
      <c r="I167" s="7" t="str" cm="1">
        <f t="array" ref="I167">IF(SUM(COUNTIF(Text_Preprocessing__2247[[#This Row],[full_text]],{"*makan siang gratis*";"*MBG*";"*makan gratis*";"*makan bergizi gratis*";"*makangratis*";"*makanan gratis*"})),"Relevan","Tidak Relevan")</f>
        <v>Relevan</v>
      </c>
      <c r="J167" s="1"/>
    </row>
    <row r="168" spans="1:10" ht="58" x14ac:dyDescent="0.35">
      <c r="A168" s="1">
        <f t="shared" si="2"/>
        <v>167</v>
      </c>
      <c r="B168" s="1" t="s">
        <v>2390</v>
      </c>
      <c r="C168" s="1" t="s">
        <v>304</v>
      </c>
      <c r="D168" s="1" t="s">
        <v>2391</v>
      </c>
      <c r="E168" s="1" t="s">
        <v>2149</v>
      </c>
      <c r="F168" s="1" t="s">
        <v>2392</v>
      </c>
      <c r="G168" s="1" t="s">
        <v>2392</v>
      </c>
      <c r="H168" s="1" t="s">
        <v>2393</v>
      </c>
      <c r="I168" s="7" t="str" cm="1">
        <f t="array" ref="I168">IF(SUM(COUNTIF(Text_Preprocessing__2247[[#This Row],[full_text]],{"*makan siang gratis*";"*MBG*";"*makan gratis*";"*makan bergizi gratis*";"*makangratis*";"*makanan gratis*"})),"Relevan","Tidak Relevan")</f>
        <v>Relevan</v>
      </c>
      <c r="J168" s="1"/>
    </row>
    <row r="169" spans="1:10" ht="43.5" x14ac:dyDescent="0.35">
      <c r="A169" s="1">
        <f t="shared" si="2"/>
        <v>168</v>
      </c>
      <c r="B169" s="1" t="s">
        <v>2394</v>
      </c>
      <c r="C169" s="1" t="s">
        <v>304</v>
      </c>
      <c r="D169" s="1" t="s">
        <v>2395</v>
      </c>
      <c r="E169" s="1" t="s">
        <v>2164</v>
      </c>
      <c r="F169" s="1" t="s">
        <v>2396</v>
      </c>
      <c r="G169" s="1" t="s">
        <v>2396</v>
      </c>
      <c r="H169" s="1" t="s">
        <v>2397</v>
      </c>
      <c r="I169" s="7" t="str" cm="1">
        <f t="array" ref="I169">IF(SUM(COUNTIF(Text_Preprocessing__2247[[#This Row],[full_text]],{"*makan siang gratis*";"*MBG*";"*makan gratis*";"*makan bergizi gratis*";"*makangratis*";"*makanan gratis*"})),"Relevan","Tidak Relevan")</f>
        <v>Relevan</v>
      </c>
      <c r="J169" s="1"/>
    </row>
    <row r="170" spans="1:10" ht="43.5" x14ac:dyDescent="0.35">
      <c r="A170" s="1">
        <f t="shared" si="2"/>
        <v>169</v>
      </c>
      <c r="B170" s="1" t="s">
        <v>2398</v>
      </c>
      <c r="C170" s="1" t="s">
        <v>143</v>
      </c>
      <c r="D170" s="1" t="s">
        <v>2399</v>
      </c>
      <c r="E170" s="1" t="s">
        <v>1990</v>
      </c>
      <c r="F170" s="1" t="s">
        <v>2400</v>
      </c>
      <c r="G170" s="1" t="s">
        <v>2400</v>
      </c>
      <c r="H170" s="1" t="s">
        <v>2401</v>
      </c>
      <c r="I170" s="7" t="str" cm="1">
        <f t="array" ref="I170">IF(SUM(COUNTIF(Text_Preprocessing__2247[[#This Row],[full_text]],{"*makan siang gratis*";"*MBG*";"*makan gratis*";"*makan bergizi gratis*";"*makangratis*";"*makanan gratis*"})),"Relevan","Tidak Relevan")</f>
        <v>Relevan</v>
      </c>
      <c r="J170" s="1"/>
    </row>
    <row r="171" spans="1:10" ht="29" x14ac:dyDescent="0.35">
      <c r="A171" s="1">
        <f t="shared" si="2"/>
        <v>170</v>
      </c>
      <c r="B171" s="1" t="s">
        <v>2402</v>
      </c>
      <c r="C171" s="1" t="s">
        <v>308</v>
      </c>
      <c r="D171" s="1" t="s">
        <v>2403</v>
      </c>
      <c r="E171" s="1" t="s">
        <v>2229</v>
      </c>
      <c r="F171" s="1" t="s">
        <v>2404</v>
      </c>
      <c r="G171" s="1" t="s">
        <v>2404</v>
      </c>
      <c r="H171" s="1" t="s">
        <v>2405</v>
      </c>
      <c r="I171" s="7" t="str" cm="1">
        <f t="array" ref="I171">IF(SUM(COUNTIF(Text_Preprocessing__2247[[#This Row],[full_text]],{"*makan siang gratis*";"*MBG*";"*makan gratis*";"*makan bergizi gratis*";"*makangratis*";"*makanan gratis*"})),"Relevan","Tidak Relevan")</f>
        <v>Relevan</v>
      </c>
      <c r="J171" s="1"/>
    </row>
    <row r="172" spans="1:10" ht="43.5" x14ac:dyDescent="0.35">
      <c r="A172" s="1">
        <f t="shared" si="2"/>
        <v>171</v>
      </c>
      <c r="B172" s="1" t="s">
        <v>2406</v>
      </c>
      <c r="C172" s="1" t="s">
        <v>310</v>
      </c>
      <c r="D172" s="1" t="s">
        <v>2407</v>
      </c>
      <c r="E172" s="1" t="s">
        <v>1823</v>
      </c>
      <c r="F172" s="1" t="s">
        <v>2408</v>
      </c>
      <c r="G172" s="1" t="s">
        <v>2408</v>
      </c>
      <c r="H172" s="1" t="s">
        <v>2409</v>
      </c>
      <c r="I172" s="7" t="str" cm="1">
        <f t="array" ref="I172">IF(SUM(COUNTIF(Text_Preprocessing__2247[[#This Row],[full_text]],{"*makan siang gratis*";"*MBG*";"*makan gratis*";"*makan bergizi gratis*";"*makangratis*";"*makanan gratis*"})),"Relevan","Tidak Relevan")</f>
        <v>Relevan</v>
      </c>
      <c r="J172" s="1"/>
    </row>
    <row r="173" spans="1:10" ht="58" x14ac:dyDescent="0.35">
      <c r="A173" s="1">
        <f t="shared" si="2"/>
        <v>172</v>
      </c>
      <c r="B173" s="1" t="s">
        <v>2410</v>
      </c>
      <c r="C173" s="1" t="s">
        <v>312</v>
      </c>
      <c r="D173" s="1" t="s">
        <v>2411</v>
      </c>
      <c r="E173" s="1" t="s">
        <v>2205</v>
      </c>
      <c r="F173" s="1" t="s">
        <v>2412</v>
      </c>
      <c r="G173" s="1" t="s">
        <v>2412</v>
      </c>
      <c r="H173" s="1" t="s">
        <v>2413</v>
      </c>
      <c r="I173" s="7" t="str" cm="1">
        <f t="array" ref="I173">IF(SUM(COUNTIF(Text_Preprocessing__2247[[#This Row],[full_text]],{"*makan siang gratis*";"*MBG*";"*makan gratis*";"*makan bergizi gratis*";"*makangratis*";"*makanan gratis*"})),"Relevan","Tidak Relevan")</f>
        <v>Relevan</v>
      </c>
      <c r="J173" s="1"/>
    </row>
    <row r="174" spans="1:10" ht="43.5" x14ac:dyDescent="0.35">
      <c r="A174" s="1">
        <f t="shared" si="2"/>
        <v>173</v>
      </c>
      <c r="B174" s="1" t="s">
        <v>2414</v>
      </c>
      <c r="C174" s="1" t="s">
        <v>314</v>
      </c>
      <c r="D174" s="1" t="s">
        <v>2415</v>
      </c>
      <c r="E174" s="1" t="s">
        <v>1893</v>
      </c>
      <c r="F174" s="1" t="s">
        <v>2416</v>
      </c>
      <c r="G174" s="1" t="s">
        <v>2417</v>
      </c>
      <c r="H174" s="1" t="s">
        <v>2418</v>
      </c>
      <c r="I174" s="7" t="str" cm="1">
        <f t="array" ref="I174">IF(SUM(COUNTIF(Text_Preprocessing__2247[[#This Row],[full_text]],{"*makan siang gratis*";"*MBG*";"*makan gratis*";"*makan bergizi gratis*";"*makangratis*";"*makanan gratis*"})),"Relevan","Tidak Relevan")</f>
        <v>Relevan</v>
      </c>
      <c r="J174" s="1"/>
    </row>
    <row r="175" spans="1:10" ht="29" x14ac:dyDescent="0.35">
      <c r="A175" s="1">
        <f t="shared" si="2"/>
        <v>174</v>
      </c>
      <c r="B175" s="1" t="s">
        <v>2419</v>
      </c>
      <c r="C175" s="1" t="s">
        <v>316</v>
      </c>
      <c r="D175" s="1" t="s">
        <v>2420</v>
      </c>
      <c r="E175" s="1" t="s">
        <v>2229</v>
      </c>
      <c r="F175" s="1" t="s">
        <v>2421</v>
      </c>
      <c r="G175" s="1" t="s">
        <v>2422</v>
      </c>
      <c r="H175" s="1" t="s">
        <v>2423</v>
      </c>
      <c r="I175" s="7" t="str" cm="1">
        <f t="array" ref="I175">IF(SUM(COUNTIF(Text_Preprocessing__2247[[#This Row],[full_text]],{"*makan siang gratis*";"*MBG*";"*makan gratis*";"*makan bergizi gratis*";"*makangratis*";"*makanan gratis*"})),"Relevan","Tidak Relevan")</f>
        <v>Relevan</v>
      </c>
      <c r="J175" s="1"/>
    </row>
    <row r="176" spans="1:10" ht="29" x14ac:dyDescent="0.35">
      <c r="A176" s="1">
        <f t="shared" si="2"/>
        <v>175</v>
      </c>
      <c r="B176" s="1" t="s">
        <v>2424</v>
      </c>
      <c r="C176" s="1" t="s">
        <v>316</v>
      </c>
      <c r="D176" s="1" t="s">
        <v>2425</v>
      </c>
      <c r="E176" s="1" t="s">
        <v>1799</v>
      </c>
      <c r="F176" s="1" t="s">
        <v>2426</v>
      </c>
      <c r="G176" s="1" t="s">
        <v>2426</v>
      </c>
      <c r="H176" s="1" t="s">
        <v>2427</v>
      </c>
      <c r="I176" s="7" t="str" cm="1">
        <f t="array" ref="I176">IF(SUM(COUNTIF(Text_Preprocessing__2247[[#This Row],[full_text]],{"*makan siang gratis*";"*MBG*";"*makan gratis*";"*makan bergizi gratis*";"*makangratis*";"*makanan gratis*"})),"Relevan","Tidak Relevan")</f>
        <v>Relevan</v>
      </c>
      <c r="J176" s="1"/>
    </row>
    <row r="177" spans="1:10" ht="29" x14ac:dyDescent="0.35">
      <c r="A177" s="1">
        <f t="shared" si="2"/>
        <v>176</v>
      </c>
      <c r="B177" s="1" t="s">
        <v>2428</v>
      </c>
      <c r="C177" s="1" t="s">
        <v>76</v>
      </c>
      <c r="D177" s="1" t="s">
        <v>2429</v>
      </c>
      <c r="E177" s="1" t="s">
        <v>1799</v>
      </c>
      <c r="F177" s="1" t="s">
        <v>2430</v>
      </c>
      <c r="G177" s="1" t="s">
        <v>2430</v>
      </c>
      <c r="H177" s="1" t="s">
        <v>2431</v>
      </c>
      <c r="I177" s="7" t="str" cm="1">
        <f t="array" ref="I177">IF(SUM(COUNTIF(Text_Preprocessing__2247[[#This Row],[full_text]],{"*makan siang gratis*";"*MBG*";"*makan gratis*";"*makan bergizi gratis*";"*makangratis*";"*makanan gratis*"})),"Relevan","Tidak Relevan")</f>
        <v>Relevan</v>
      </c>
      <c r="J177" s="1"/>
    </row>
    <row r="178" spans="1:10" ht="58" x14ac:dyDescent="0.35">
      <c r="A178" s="1">
        <f t="shared" si="2"/>
        <v>177</v>
      </c>
      <c r="B178" s="1" t="s">
        <v>2432</v>
      </c>
      <c r="C178" s="1" t="s">
        <v>324</v>
      </c>
      <c r="D178" s="1" t="s">
        <v>2433</v>
      </c>
      <c r="E178" s="1" t="s">
        <v>1839</v>
      </c>
      <c r="F178" s="1" t="s">
        <v>2434</v>
      </c>
      <c r="G178" s="1" t="s">
        <v>2434</v>
      </c>
      <c r="H178" s="1" t="s">
        <v>2435</v>
      </c>
      <c r="I178" s="7" t="str" cm="1">
        <f t="array" ref="I178">IF(SUM(COUNTIF(Text_Preprocessing__2247[[#This Row],[full_text]],{"*makan siang gratis*";"*MBG*";"*makan gratis*";"*makan bergizi gratis*";"*makangratis*";"*makanan gratis*"})),"Relevan","Tidak Relevan")</f>
        <v>Relevan</v>
      </c>
      <c r="J178" s="1"/>
    </row>
    <row r="179" spans="1:10" ht="29" x14ac:dyDescent="0.35">
      <c r="A179" s="1">
        <f t="shared" si="2"/>
        <v>178</v>
      </c>
      <c r="B179" s="1" t="s">
        <v>2436</v>
      </c>
      <c r="C179" s="1" t="s">
        <v>326</v>
      </c>
      <c r="D179" s="1" t="s">
        <v>2437</v>
      </c>
      <c r="E179" s="1" t="s">
        <v>1613</v>
      </c>
      <c r="F179" s="1" t="s">
        <v>2438</v>
      </c>
      <c r="G179" s="1" t="s">
        <v>2438</v>
      </c>
      <c r="H179" s="1" t="s">
        <v>2439</v>
      </c>
      <c r="I179" s="7" t="str" cm="1">
        <f t="array" ref="I179">IF(SUM(COUNTIF(Text_Preprocessing__2247[[#This Row],[full_text]],{"*makan siang gratis*";"*MBG*";"*makan gratis*";"*makan bergizi gratis*";"*makangratis*";"*makanan gratis*"})),"Relevan","Tidak Relevan")</f>
        <v>Relevan</v>
      </c>
      <c r="J179" s="1"/>
    </row>
    <row r="180" spans="1:10" ht="58" x14ac:dyDescent="0.35">
      <c r="A180" s="1">
        <f t="shared" si="2"/>
        <v>179</v>
      </c>
      <c r="B180" s="1" t="s">
        <v>2440</v>
      </c>
      <c r="C180" s="1" t="s">
        <v>242</v>
      </c>
      <c r="D180" s="1" t="s">
        <v>2441</v>
      </c>
      <c r="E180" s="1" t="s">
        <v>2442</v>
      </c>
      <c r="F180" s="1" t="s">
        <v>2443</v>
      </c>
      <c r="G180" s="1" t="s">
        <v>2443</v>
      </c>
      <c r="H180" s="1" t="s">
        <v>2444</v>
      </c>
      <c r="I180" s="7" t="str" cm="1">
        <f t="array" ref="I180">IF(SUM(COUNTIF(Text_Preprocessing__2247[[#This Row],[full_text]],{"*makan siang gratis*";"*MBG*";"*makan gratis*";"*makan bergizi gratis*";"*makangratis*";"*makanan gratis*"})),"Relevan","Tidak Relevan")</f>
        <v>Relevan</v>
      </c>
      <c r="J180" s="1"/>
    </row>
    <row r="181" spans="1:10" ht="43.5" x14ac:dyDescent="0.35">
      <c r="A181" s="1">
        <f t="shared" si="2"/>
        <v>180</v>
      </c>
      <c r="B181" s="1" t="s">
        <v>2445</v>
      </c>
      <c r="C181" s="1" t="s">
        <v>213</v>
      </c>
      <c r="D181" s="1" t="s">
        <v>2446</v>
      </c>
      <c r="E181" s="1" t="s">
        <v>2253</v>
      </c>
      <c r="F181" s="1" t="s">
        <v>2447</v>
      </c>
      <c r="G181" s="1" t="s">
        <v>2447</v>
      </c>
      <c r="H181" s="1" t="s">
        <v>2448</v>
      </c>
      <c r="I181" s="7" t="str" cm="1">
        <f t="array" ref="I181">IF(SUM(COUNTIF(Text_Preprocessing__2247[[#This Row],[full_text]],{"*makan siang gratis*";"*MBG*";"*makan gratis*";"*makan bergizi gratis*";"*makangratis*";"*makanan gratis*"})),"Relevan","Tidak Relevan")</f>
        <v>Relevan</v>
      </c>
      <c r="J181" s="1"/>
    </row>
    <row r="182" spans="1:10" ht="58" x14ac:dyDescent="0.35">
      <c r="A182" s="1">
        <f t="shared" si="2"/>
        <v>181</v>
      </c>
      <c r="B182" s="1" t="s">
        <v>2449</v>
      </c>
      <c r="C182" s="1" t="s">
        <v>330</v>
      </c>
      <c r="D182" s="1" t="s">
        <v>2450</v>
      </c>
      <c r="E182" s="1" t="s">
        <v>2114</v>
      </c>
      <c r="F182" s="1" t="s">
        <v>2451</v>
      </c>
      <c r="G182" s="1" t="s">
        <v>2451</v>
      </c>
      <c r="H182" s="1" t="s">
        <v>2452</v>
      </c>
      <c r="I182" s="7" t="str" cm="1">
        <f t="array" ref="I182">IF(SUM(COUNTIF(Text_Preprocessing__2247[[#This Row],[full_text]],{"*makan siang gratis*";"*MBG*";"*makan gratis*";"*makan bergizi gratis*";"*makangratis*";"*makanan gratis*"})),"Relevan","Tidak Relevan")</f>
        <v>Relevan</v>
      </c>
      <c r="J182" s="1"/>
    </row>
    <row r="183" spans="1:10" ht="58" x14ac:dyDescent="0.35">
      <c r="A183" s="1">
        <f t="shared" si="2"/>
        <v>182</v>
      </c>
      <c r="B183" s="1" t="s">
        <v>2453</v>
      </c>
      <c r="C183" s="1" t="s">
        <v>332</v>
      </c>
      <c r="D183" s="1" t="s">
        <v>2454</v>
      </c>
      <c r="E183" s="1" t="s">
        <v>2041</v>
      </c>
      <c r="F183" s="1" t="s">
        <v>2455</v>
      </c>
      <c r="G183" s="1" t="s">
        <v>2455</v>
      </c>
      <c r="H183" s="1" t="s">
        <v>2456</v>
      </c>
      <c r="I183" s="7" t="str" cm="1">
        <f t="array" ref="I183">IF(SUM(COUNTIF(Text_Preprocessing__2247[[#This Row],[full_text]],{"*makan siang gratis*";"*MBG*";"*makan gratis*";"*makan bergizi gratis*";"*makangratis*";"*makanan gratis*"})),"Relevan","Tidak Relevan")</f>
        <v>Relevan</v>
      </c>
      <c r="J183" s="1"/>
    </row>
    <row r="184" spans="1:10" ht="58" x14ac:dyDescent="0.35">
      <c r="A184" s="1">
        <f t="shared" si="2"/>
        <v>183</v>
      </c>
      <c r="B184" s="1" t="s">
        <v>2457</v>
      </c>
      <c r="C184" s="1" t="s">
        <v>330</v>
      </c>
      <c r="D184" s="1" t="s">
        <v>2458</v>
      </c>
      <c r="E184" s="1" t="s">
        <v>2143</v>
      </c>
      <c r="F184" s="1" t="s">
        <v>2459</v>
      </c>
      <c r="G184" s="1" t="s">
        <v>2460</v>
      </c>
      <c r="H184" s="1" t="s">
        <v>2461</v>
      </c>
      <c r="I184" s="7" t="str" cm="1">
        <f t="array" ref="I184">IF(SUM(COUNTIF(Text_Preprocessing__2247[[#This Row],[full_text]],{"*makan siang gratis*";"*MBG*";"*makan gratis*";"*makan bergizi gratis*";"*makangratis*";"*makanan gratis*"})),"Relevan","Tidak Relevan")</f>
        <v>Relevan</v>
      </c>
      <c r="J184" s="1"/>
    </row>
    <row r="185" spans="1:10" ht="58" x14ac:dyDescent="0.35">
      <c r="A185" s="1">
        <f t="shared" si="2"/>
        <v>184</v>
      </c>
      <c r="B185" s="1" t="s">
        <v>2462</v>
      </c>
      <c r="C185" s="1" t="s">
        <v>335</v>
      </c>
      <c r="D185" s="1" t="s">
        <v>2463</v>
      </c>
      <c r="E185" s="1" t="s">
        <v>1839</v>
      </c>
      <c r="F185" s="1" t="s">
        <v>2464</v>
      </c>
      <c r="G185" s="1" t="s">
        <v>2464</v>
      </c>
      <c r="H185" s="1" t="s">
        <v>2465</v>
      </c>
      <c r="I185" s="7" t="str" cm="1">
        <f t="array" ref="I185">IF(SUM(COUNTIF(Text_Preprocessing__2247[[#This Row],[full_text]],{"*makan siang gratis*";"*MBG*";"*makan gratis*";"*makan bergizi gratis*";"*makangratis*";"*makanan gratis*"})),"Relevan","Tidak Relevan")</f>
        <v>Relevan</v>
      </c>
      <c r="J185" s="1"/>
    </row>
    <row r="186" spans="1:10" ht="58" x14ac:dyDescent="0.35">
      <c r="A186" s="1">
        <f t="shared" si="2"/>
        <v>185</v>
      </c>
      <c r="B186" s="1" t="s">
        <v>2466</v>
      </c>
      <c r="C186" s="1" t="s">
        <v>337</v>
      </c>
      <c r="D186" s="1" t="s">
        <v>2467</v>
      </c>
      <c r="E186" s="1" t="s">
        <v>1629</v>
      </c>
      <c r="F186" s="1" t="s">
        <v>2468</v>
      </c>
      <c r="G186" s="1" t="s">
        <v>2469</v>
      </c>
      <c r="H186" s="1" t="s">
        <v>2470</v>
      </c>
      <c r="I186" s="7" t="str" cm="1">
        <f t="array" ref="I186">IF(SUM(COUNTIF(Text_Preprocessing__2247[[#This Row],[full_text]],{"*makan siang gratis*";"*MBG*";"*makan gratis*";"*makan bergizi gratis*";"*makangratis*";"*makanan gratis*"})),"Relevan","Tidak Relevan")</f>
        <v>Relevan</v>
      </c>
      <c r="J186" s="1"/>
    </row>
    <row r="187" spans="1:10" ht="43.5" x14ac:dyDescent="0.35">
      <c r="A187" s="1">
        <f t="shared" si="2"/>
        <v>186</v>
      </c>
      <c r="B187" s="1" t="s">
        <v>2471</v>
      </c>
      <c r="C187" s="1" t="s">
        <v>339</v>
      </c>
      <c r="D187" s="1" t="s">
        <v>2472</v>
      </c>
      <c r="E187" s="1" t="s">
        <v>1663</v>
      </c>
      <c r="F187" s="1" t="s">
        <v>2473</v>
      </c>
      <c r="G187" s="1" t="s">
        <v>2473</v>
      </c>
      <c r="H187" s="1" t="s">
        <v>2474</v>
      </c>
      <c r="I187" s="7" t="str" cm="1">
        <f t="array" ref="I187">IF(SUM(COUNTIF(Text_Preprocessing__2247[[#This Row],[full_text]],{"*makan siang gratis*";"*MBG*";"*makan gratis*";"*makan bergizi gratis*";"*makangratis*";"*makanan gratis*"})),"Relevan","Tidak Relevan")</f>
        <v>Relevan</v>
      </c>
      <c r="J187" s="1"/>
    </row>
    <row r="188" spans="1:10" ht="58" x14ac:dyDescent="0.35">
      <c r="A188" s="1">
        <f t="shared" si="2"/>
        <v>187</v>
      </c>
      <c r="B188" s="1" t="s">
        <v>2475</v>
      </c>
      <c r="C188" s="1" t="s">
        <v>341</v>
      </c>
      <c r="D188" s="1" t="s">
        <v>2476</v>
      </c>
      <c r="E188" s="1" t="s">
        <v>2109</v>
      </c>
      <c r="F188" s="1" t="s">
        <v>2477</v>
      </c>
      <c r="G188" s="1" t="s">
        <v>2477</v>
      </c>
      <c r="H188" s="1" t="s">
        <v>2478</v>
      </c>
      <c r="I188" s="7" t="str" cm="1">
        <f t="array" ref="I188">IF(SUM(COUNTIF(Text_Preprocessing__2247[[#This Row],[full_text]],{"*makan siang gratis*";"*MBG*";"*makan gratis*";"*makan bergizi gratis*";"*makangratis*";"*makanan gratis*"})),"Relevan","Tidak Relevan")</f>
        <v>Relevan</v>
      </c>
      <c r="J188" s="1"/>
    </row>
    <row r="189" spans="1:10" ht="43.5" x14ac:dyDescent="0.35">
      <c r="A189" s="1">
        <f t="shared" si="2"/>
        <v>188</v>
      </c>
      <c r="B189" s="1" t="s">
        <v>2479</v>
      </c>
      <c r="C189" s="1" t="s">
        <v>343</v>
      </c>
      <c r="D189" s="1" t="s">
        <v>2480</v>
      </c>
      <c r="E189" s="1" t="s">
        <v>1990</v>
      </c>
      <c r="F189" s="1" t="s">
        <v>2481</v>
      </c>
      <c r="G189" s="1" t="s">
        <v>2481</v>
      </c>
      <c r="H189" s="1" t="s">
        <v>2482</v>
      </c>
      <c r="I189" s="7" t="str" cm="1">
        <f t="array" ref="I189">IF(SUM(COUNTIF(Text_Preprocessing__2247[[#This Row],[full_text]],{"*makan siang gratis*";"*MBG*";"*makan gratis*";"*makan bergizi gratis*";"*makangratis*";"*makanan gratis*"})),"Relevan","Tidak Relevan")</f>
        <v>Relevan</v>
      </c>
      <c r="J189" s="1"/>
    </row>
    <row r="190" spans="1:10" ht="43.5" x14ac:dyDescent="0.35">
      <c r="A190" s="1">
        <f t="shared" si="2"/>
        <v>189</v>
      </c>
      <c r="B190" s="1" t="s">
        <v>2483</v>
      </c>
      <c r="C190" s="1" t="s">
        <v>345</v>
      </c>
      <c r="D190" s="1" t="s">
        <v>2484</v>
      </c>
      <c r="E190" s="1" t="s">
        <v>1785</v>
      </c>
      <c r="F190" s="1" t="s">
        <v>2485</v>
      </c>
      <c r="G190" s="1" t="s">
        <v>2485</v>
      </c>
      <c r="H190" s="1" t="s">
        <v>2486</v>
      </c>
      <c r="I190" s="7" t="str" cm="1">
        <f t="array" ref="I190">IF(SUM(COUNTIF(Text_Preprocessing__2247[[#This Row],[full_text]],{"*makan siang gratis*";"*MBG*";"*makan gratis*";"*makan bergizi gratis*";"*makangratis*";"*makanan gratis*"})),"Relevan","Tidak Relevan")</f>
        <v>Relevan</v>
      </c>
      <c r="J190" s="1"/>
    </row>
    <row r="191" spans="1:10" ht="29" x14ac:dyDescent="0.35">
      <c r="A191" s="1">
        <f t="shared" si="2"/>
        <v>190</v>
      </c>
      <c r="B191" s="1" t="s">
        <v>2487</v>
      </c>
      <c r="C191" s="1" t="s">
        <v>347</v>
      </c>
      <c r="D191" s="1" t="s">
        <v>2488</v>
      </c>
      <c r="E191" s="1" t="s">
        <v>1844</v>
      </c>
      <c r="F191" s="1" t="s">
        <v>2489</v>
      </c>
      <c r="G191" s="1" t="s">
        <v>2489</v>
      </c>
      <c r="H191" s="1" t="s">
        <v>2490</v>
      </c>
      <c r="I191" s="7" t="str" cm="1">
        <f t="array" ref="I191">IF(SUM(COUNTIF(Text_Preprocessing__2247[[#This Row],[full_text]],{"*makan siang gratis*";"*MBG*";"*makan gratis*";"*makan bergizi gratis*";"*makangratis*";"*makanan gratis*"})),"Relevan","Tidak Relevan")</f>
        <v>Relevan</v>
      </c>
      <c r="J191" s="1"/>
    </row>
    <row r="192" spans="1:10" x14ac:dyDescent="0.35">
      <c r="A192" s="1">
        <f t="shared" si="2"/>
        <v>191</v>
      </c>
      <c r="B192" s="1" t="s">
        <v>2491</v>
      </c>
      <c r="C192" s="1" t="s">
        <v>349</v>
      </c>
      <c r="D192" s="1" t="s">
        <v>2492</v>
      </c>
      <c r="E192" s="1" t="s">
        <v>1596</v>
      </c>
      <c r="F192" s="1" t="s">
        <v>2493</v>
      </c>
      <c r="G192" s="1" t="s">
        <v>2493</v>
      </c>
      <c r="H192" s="1" t="s">
        <v>2494</v>
      </c>
      <c r="I192" s="7" t="str" cm="1">
        <f t="array" ref="I192">IF(SUM(COUNTIF(Text_Preprocessing__2247[[#This Row],[full_text]],{"*makan siang gratis*";"*MBG*";"*makan gratis*";"*makan bergizi gratis*";"*makangratis*";"*makanan gratis*"})),"Relevan","Tidak Relevan")</f>
        <v>Relevan</v>
      </c>
      <c r="J192" s="1"/>
    </row>
    <row r="193" spans="1:10" ht="58" x14ac:dyDescent="0.35">
      <c r="A193" s="1">
        <f t="shared" si="2"/>
        <v>192</v>
      </c>
      <c r="B193" s="1" t="s">
        <v>2495</v>
      </c>
      <c r="C193" s="1" t="s">
        <v>76</v>
      </c>
      <c r="D193" s="1" t="s">
        <v>2496</v>
      </c>
      <c r="E193" s="1" t="s">
        <v>1794</v>
      </c>
      <c r="F193" s="1" t="s">
        <v>2497</v>
      </c>
      <c r="G193" s="1" t="s">
        <v>2497</v>
      </c>
      <c r="H193" s="1" t="s">
        <v>2498</v>
      </c>
      <c r="I193" s="7" t="str" cm="1">
        <f t="array" ref="I193">IF(SUM(COUNTIF(Text_Preprocessing__2247[[#This Row],[full_text]],{"*makan siang gratis*";"*MBG*";"*makan gratis*";"*makan bergizi gratis*";"*makangratis*";"*makanan gratis*"})),"Relevan","Tidak Relevan")</f>
        <v>Relevan</v>
      </c>
      <c r="J193" s="1"/>
    </row>
    <row r="194" spans="1:10" ht="58" x14ac:dyDescent="0.35">
      <c r="A194" s="1">
        <f t="shared" si="2"/>
        <v>193</v>
      </c>
      <c r="B194" s="1" t="s">
        <v>2499</v>
      </c>
      <c r="C194" s="1" t="s">
        <v>352</v>
      </c>
      <c r="D194" s="1" t="s">
        <v>2500</v>
      </c>
      <c r="E194" s="1" t="s">
        <v>2312</v>
      </c>
      <c r="F194" s="1" t="s">
        <v>2501</v>
      </c>
      <c r="G194" s="1" t="s">
        <v>2501</v>
      </c>
      <c r="H194" s="1" t="s">
        <v>2502</v>
      </c>
      <c r="I194" s="7" t="str" cm="1">
        <f t="array" ref="I194">IF(SUM(COUNTIF(Text_Preprocessing__2247[[#This Row],[full_text]],{"*makan siang gratis*";"*MBG*";"*makan gratis*";"*makan bergizi gratis*";"*makangratis*";"*makanan gratis*"})),"Relevan","Tidak Relevan")</f>
        <v>Relevan</v>
      </c>
      <c r="J194" s="1"/>
    </row>
    <row r="195" spans="1:10" ht="58" x14ac:dyDescent="0.35">
      <c r="A195" s="1">
        <f t="shared" ref="A195:A258" si="3">SUM(A194+1)</f>
        <v>194</v>
      </c>
      <c r="B195" s="1" t="s">
        <v>2503</v>
      </c>
      <c r="C195" s="1" t="s">
        <v>354</v>
      </c>
      <c r="D195" s="1" t="s">
        <v>2504</v>
      </c>
      <c r="E195" s="1" t="s">
        <v>2505</v>
      </c>
      <c r="F195" s="1" t="s">
        <v>2506</v>
      </c>
      <c r="G195" s="1" t="s">
        <v>2506</v>
      </c>
      <c r="H195" s="1" t="s">
        <v>2507</v>
      </c>
      <c r="I195" s="7" t="str" cm="1">
        <f t="array" ref="I195">IF(SUM(COUNTIF(Text_Preprocessing__2247[[#This Row],[full_text]],{"*makan siang gratis*";"*MBG*";"*makan gratis*";"*makan bergizi gratis*";"*makangratis*";"*makanan gratis*"})),"Relevan","Tidak Relevan")</f>
        <v>Relevan</v>
      </c>
      <c r="J195" s="1"/>
    </row>
    <row r="196" spans="1:10" ht="58" x14ac:dyDescent="0.35">
      <c r="A196" s="1">
        <f t="shared" si="3"/>
        <v>195</v>
      </c>
      <c r="B196" s="1" t="s">
        <v>2508</v>
      </c>
      <c r="C196" s="1" t="s">
        <v>76</v>
      </c>
      <c r="D196" s="1" t="s">
        <v>2509</v>
      </c>
      <c r="E196" s="1" t="s">
        <v>2510</v>
      </c>
      <c r="F196" s="1" t="s">
        <v>2511</v>
      </c>
      <c r="G196" s="1" t="s">
        <v>2511</v>
      </c>
      <c r="H196" s="1" t="s">
        <v>2512</v>
      </c>
      <c r="I196" s="7" t="str" cm="1">
        <f t="array" ref="I196">IF(SUM(COUNTIF(Text_Preprocessing__2247[[#This Row],[full_text]],{"*makan siang gratis*";"*MBG*";"*makan gratis*";"*makan bergizi gratis*";"*makangratis*";"*makanan gratis*"})),"Relevan","Tidak Relevan")</f>
        <v>Relevan</v>
      </c>
      <c r="J196" s="1"/>
    </row>
    <row r="197" spans="1:10" ht="58" x14ac:dyDescent="0.35">
      <c r="A197" s="1">
        <f t="shared" si="3"/>
        <v>196</v>
      </c>
      <c r="B197" s="1" t="s">
        <v>2513</v>
      </c>
      <c r="C197" s="1" t="s">
        <v>242</v>
      </c>
      <c r="D197" s="1" t="s">
        <v>2514</v>
      </c>
      <c r="E197" s="1" t="s">
        <v>2515</v>
      </c>
      <c r="F197" s="1" t="s">
        <v>2516</v>
      </c>
      <c r="G197" s="1" t="s">
        <v>2516</v>
      </c>
      <c r="H197" s="1" t="s">
        <v>2517</v>
      </c>
      <c r="I197" s="7" t="str" cm="1">
        <f t="array" ref="I197">IF(SUM(COUNTIF(Text_Preprocessing__2247[[#This Row],[full_text]],{"*makan siang gratis*";"*MBG*";"*makan gratis*";"*makan bergizi gratis*";"*makangratis*";"*makanan gratis*"})),"Relevan","Tidak Relevan")</f>
        <v>Relevan</v>
      </c>
      <c r="J197" s="1"/>
    </row>
    <row r="198" spans="1:10" ht="58" x14ac:dyDescent="0.35">
      <c r="A198" s="1">
        <f t="shared" si="3"/>
        <v>197</v>
      </c>
      <c r="B198" s="1" t="s">
        <v>2518</v>
      </c>
      <c r="C198" s="1" t="s">
        <v>242</v>
      </c>
      <c r="D198" s="1" t="s">
        <v>2519</v>
      </c>
      <c r="E198" s="1" t="s">
        <v>1680</v>
      </c>
      <c r="F198" s="1" t="s">
        <v>2520</v>
      </c>
      <c r="G198" s="1" t="s">
        <v>2520</v>
      </c>
      <c r="H198" s="1" t="s">
        <v>2521</v>
      </c>
      <c r="I198" s="7" t="str" cm="1">
        <f t="array" ref="I198">IF(SUM(COUNTIF(Text_Preprocessing__2247[[#This Row],[full_text]],{"*makan siang gratis*";"*MBG*";"*makan gratis*";"*makan bergizi gratis*";"*makangratis*";"*makanan gratis*"})),"Relevan","Tidak Relevan")</f>
        <v>Relevan</v>
      </c>
      <c r="J198" s="1"/>
    </row>
    <row r="199" spans="1:10" ht="58" x14ac:dyDescent="0.35">
      <c r="A199" s="1">
        <f t="shared" si="3"/>
        <v>198</v>
      </c>
      <c r="B199" s="1" t="s">
        <v>2522</v>
      </c>
      <c r="C199" s="1" t="s">
        <v>242</v>
      </c>
      <c r="D199" s="1" t="s">
        <v>2523</v>
      </c>
      <c r="E199" s="1" t="s">
        <v>2177</v>
      </c>
      <c r="F199" s="1" t="s">
        <v>2524</v>
      </c>
      <c r="G199" s="1" t="s">
        <v>2524</v>
      </c>
      <c r="H199" s="1" t="s">
        <v>2525</v>
      </c>
      <c r="I199" s="7" t="str" cm="1">
        <f t="array" ref="I199">IF(SUM(COUNTIF(Text_Preprocessing__2247[[#This Row],[full_text]],{"*makan siang gratis*";"*MBG*";"*makan gratis*";"*makan bergizi gratis*";"*makangratis*";"*makanan gratis*"})),"Relevan","Tidak Relevan")</f>
        <v>Relevan</v>
      </c>
      <c r="J199" s="1"/>
    </row>
    <row r="200" spans="1:10" ht="43.5" x14ac:dyDescent="0.35">
      <c r="A200" s="1">
        <f t="shared" si="3"/>
        <v>199</v>
      </c>
      <c r="B200" s="1" t="s">
        <v>2526</v>
      </c>
      <c r="C200" s="1" t="s">
        <v>213</v>
      </c>
      <c r="D200" s="1" t="s">
        <v>2527</v>
      </c>
      <c r="E200" s="1" t="s">
        <v>2143</v>
      </c>
      <c r="F200" s="1" t="s">
        <v>2528</v>
      </c>
      <c r="G200" s="1" t="s">
        <v>2528</v>
      </c>
      <c r="H200" s="1" t="s">
        <v>2529</v>
      </c>
      <c r="I200" s="7" t="str" cm="1">
        <f t="array" ref="I200">IF(SUM(COUNTIF(Text_Preprocessing__2247[[#This Row],[full_text]],{"*makan siang gratis*";"*MBG*";"*makan gratis*";"*makan bergizi gratis*";"*makangratis*";"*makanan gratis*"})),"Relevan","Tidak Relevan")</f>
        <v>Relevan</v>
      </c>
      <c r="J200" s="1"/>
    </row>
    <row r="201" spans="1:10" ht="43.5" x14ac:dyDescent="0.35">
      <c r="A201" s="1">
        <f t="shared" si="3"/>
        <v>200</v>
      </c>
      <c r="B201" s="1" t="s">
        <v>2530</v>
      </c>
      <c r="C201" s="1" t="s">
        <v>280</v>
      </c>
      <c r="D201" s="1" t="s">
        <v>2531</v>
      </c>
      <c r="E201" s="1" t="s">
        <v>1990</v>
      </c>
      <c r="F201" s="1" t="s">
        <v>2532</v>
      </c>
      <c r="G201" s="1" t="s">
        <v>2532</v>
      </c>
      <c r="H201" s="1" t="s">
        <v>2533</v>
      </c>
      <c r="I201" s="7" t="str" cm="1">
        <f t="array" ref="I201">IF(SUM(COUNTIF(Text_Preprocessing__2247[[#This Row],[full_text]],{"*makan siang gratis*";"*MBG*";"*makan gratis*";"*makan bergizi gratis*";"*makangratis*";"*makanan gratis*"})),"Relevan","Tidak Relevan")</f>
        <v>Relevan</v>
      </c>
      <c r="J201" s="1"/>
    </row>
    <row r="202" spans="1:10" ht="58" x14ac:dyDescent="0.35">
      <c r="A202" s="1">
        <f t="shared" si="3"/>
        <v>201</v>
      </c>
      <c r="B202" s="1" t="s">
        <v>2534</v>
      </c>
      <c r="C202" s="1" t="s">
        <v>304</v>
      </c>
      <c r="D202" s="1" t="s">
        <v>2535</v>
      </c>
      <c r="E202" s="1" t="s">
        <v>2387</v>
      </c>
      <c r="F202" s="1" t="s">
        <v>2536</v>
      </c>
      <c r="G202" s="1" t="s">
        <v>2536</v>
      </c>
      <c r="H202" s="1" t="s">
        <v>2537</v>
      </c>
      <c r="I202" s="7" t="str" cm="1">
        <f t="array" ref="I202">IF(SUM(COUNTIF(Text_Preprocessing__2247[[#This Row],[full_text]],{"*makan siang gratis*";"*MBG*";"*makan gratis*";"*makan bergizi gratis*";"*makangratis*";"*makanan gratis*"})),"Relevan","Tidak Relevan")</f>
        <v>Relevan</v>
      </c>
      <c r="J202" s="1"/>
    </row>
    <row r="203" spans="1:10" ht="58" x14ac:dyDescent="0.35">
      <c r="A203" s="1">
        <f t="shared" si="3"/>
        <v>202</v>
      </c>
      <c r="B203" s="1" t="s">
        <v>2538</v>
      </c>
      <c r="C203" s="1" t="s">
        <v>253</v>
      </c>
      <c r="D203" s="1" t="s">
        <v>2539</v>
      </c>
      <c r="E203" s="1" t="s">
        <v>2109</v>
      </c>
      <c r="F203" s="1" t="s">
        <v>2540</v>
      </c>
      <c r="G203" s="1" t="s">
        <v>2540</v>
      </c>
      <c r="H203" s="1" t="s">
        <v>2541</v>
      </c>
      <c r="I203" s="7" t="str" cm="1">
        <f t="array" ref="I203">IF(SUM(COUNTIF(Text_Preprocessing__2247[[#This Row],[full_text]],{"*makan siang gratis*";"*MBG*";"*makan gratis*";"*makan bergizi gratis*";"*makangratis*";"*makanan gratis*"})),"Relevan","Tidak Relevan")</f>
        <v>Relevan</v>
      </c>
      <c r="J203" s="1"/>
    </row>
    <row r="204" spans="1:10" ht="58" x14ac:dyDescent="0.35">
      <c r="A204" s="1">
        <f t="shared" si="3"/>
        <v>203</v>
      </c>
      <c r="B204" s="1" t="s">
        <v>2542</v>
      </c>
      <c r="C204" s="1" t="s">
        <v>274</v>
      </c>
      <c r="D204" s="1" t="s">
        <v>2543</v>
      </c>
      <c r="E204" s="1" t="s">
        <v>2510</v>
      </c>
      <c r="F204" s="1" t="s">
        <v>2544</v>
      </c>
      <c r="G204" s="1" t="s">
        <v>2545</v>
      </c>
      <c r="H204" s="1" t="s">
        <v>2546</v>
      </c>
      <c r="I204" s="7" t="str" cm="1">
        <f t="array" ref="I204">IF(SUM(COUNTIF(Text_Preprocessing__2247[[#This Row],[full_text]],{"*makan siang gratis*";"*MBG*";"*makan gratis*";"*makan bergizi gratis*";"*makangratis*";"*makanan gratis*"})),"Relevan","Tidak Relevan")</f>
        <v>Relevan</v>
      </c>
      <c r="J204" s="1"/>
    </row>
    <row r="205" spans="1:10" ht="29" x14ac:dyDescent="0.35">
      <c r="A205" s="1">
        <f t="shared" si="3"/>
        <v>204</v>
      </c>
      <c r="B205" s="1" t="s">
        <v>2547</v>
      </c>
      <c r="C205" s="1" t="s">
        <v>365</v>
      </c>
      <c r="D205" s="1" t="s">
        <v>2548</v>
      </c>
      <c r="E205" s="1" t="s">
        <v>1692</v>
      </c>
      <c r="F205" s="1" t="s">
        <v>2549</v>
      </c>
      <c r="G205" s="1" t="s">
        <v>2549</v>
      </c>
      <c r="H205" s="1" t="s">
        <v>2550</v>
      </c>
      <c r="I205" s="7" t="str" cm="1">
        <f t="array" ref="I205">IF(SUM(COUNTIF(Text_Preprocessing__2247[[#This Row],[full_text]],{"*makan siang gratis*";"*MBG*";"*makan gratis*";"*makan bergizi gratis*";"*makangratis*";"*makanan gratis*"})),"Relevan","Tidak Relevan")</f>
        <v>Relevan</v>
      </c>
      <c r="J205" s="1"/>
    </row>
    <row r="206" spans="1:10" ht="58" x14ac:dyDescent="0.35">
      <c r="A206" s="1">
        <f t="shared" si="3"/>
        <v>205</v>
      </c>
      <c r="B206" s="1" t="s">
        <v>2551</v>
      </c>
      <c r="C206" s="1" t="s">
        <v>367</v>
      </c>
      <c r="D206" s="1" t="s">
        <v>2552</v>
      </c>
      <c r="E206" s="1" t="s">
        <v>2553</v>
      </c>
      <c r="F206" s="1" t="s">
        <v>2554</v>
      </c>
      <c r="G206" s="1" t="s">
        <v>2554</v>
      </c>
      <c r="H206" s="1" t="s">
        <v>2555</v>
      </c>
      <c r="I206" s="7" t="str" cm="1">
        <f t="array" ref="I206">IF(SUM(COUNTIF(Text_Preprocessing__2247[[#This Row],[full_text]],{"*makan siang gratis*";"*MBG*";"*makan gratis*";"*makan bergizi gratis*";"*makangratis*";"*makanan gratis*"})),"Relevan","Tidak Relevan")</f>
        <v>Relevan</v>
      </c>
      <c r="J206" s="1"/>
    </row>
    <row r="207" spans="1:10" ht="58" x14ac:dyDescent="0.35">
      <c r="A207" s="1">
        <f t="shared" si="3"/>
        <v>206</v>
      </c>
      <c r="B207" s="1" t="s">
        <v>2556</v>
      </c>
      <c r="C207" s="1" t="s">
        <v>369</v>
      </c>
      <c r="D207" s="1" t="s">
        <v>2557</v>
      </c>
      <c r="E207" s="1" t="s">
        <v>2558</v>
      </c>
      <c r="F207" s="1" t="s">
        <v>2559</v>
      </c>
      <c r="G207" s="1" t="s">
        <v>2559</v>
      </c>
      <c r="H207" s="1" t="s">
        <v>2560</v>
      </c>
      <c r="I207" s="7" t="str" cm="1">
        <f t="array" ref="I207">IF(SUM(COUNTIF(Text_Preprocessing__2247[[#This Row],[full_text]],{"*makan siang gratis*";"*MBG*";"*makan gratis*";"*makan bergizi gratis*";"*makangratis*";"*makanan gratis*"})),"Relevan","Tidak Relevan")</f>
        <v>Relevan</v>
      </c>
      <c r="J207" s="1"/>
    </row>
    <row r="208" spans="1:10" x14ac:dyDescent="0.35">
      <c r="A208" s="1">
        <f t="shared" si="3"/>
        <v>207</v>
      </c>
      <c r="B208" s="1" t="s">
        <v>2561</v>
      </c>
      <c r="C208" s="1" t="s">
        <v>371</v>
      </c>
      <c r="D208" s="1" t="s">
        <v>2562</v>
      </c>
      <c r="E208" s="1" t="s">
        <v>1596</v>
      </c>
      <c r="F208" s="1" t="s">
        <v>2563</v>
      </c>
      <c r="G208" s="1" t="s">
        <v>2563</v>
      </c>
      <c r="H208" s="1" t="s">
        <v>2564</v>
      </c>
      <c r="I208" s="7" t="str" cm="1">
        <f t="array" ref="I208">IF(SUM(COUNTIF(Text_Preprocessing__2247[[#This Row],[full_text]],{"*makan siang gratis*";"*MBG*";"*makan gratis*";"*makan bergizi gratis*";"*makangratis*";"*makanan gratis*"})),"Relevan","Tidak Relevan")</f>
        <v>Relevan</v>
      </c>
      <c r="J208" s="1"/>
    </row>
    <row r="209" spans="1:10" ht="58" x14ac:dyDescent="0.35">
      <c r="A209" s="1">
        <f t="shared" si="3"/>
        <v>208</v>
      </c>
      <c r="B209" s="1" t="s">
        <v>2565</v>
      </c>
      <c r="C209" s="1" t="s">
        <v>373</v>
      </c>
      <c r="D209" s="1" t="s">
        <v>2566</v>
      </c>
      <c r="E209" s="1" t="s">
        <v>1775</v>
      </c>
      <c r="F209" s="1" t="s">
        <v>2567</v>
      </c>
      <c r="G209" s="1" t="s">
        <v>2567</v>
      </c>
      <c r="H209" s="1" t="s">
        <v>2568</v>
      </c>
      <c r="I209" s="7" t="str" cm="1">
        <f t="array" ref="I209">IF(SUM(COUNTIF(Text_Preprocessing__2247[[#This Row],[full_text]],{"*makan siang gratis*";"*MBG*";"*makan gratis*";"*makan bergizi gratis*";"*makangratis*";"*makanan gratis*"})),"Relevan","Tidak Relevan")</f>
        <v>Relevan</v>
      </c>
      <c r="J209" s="1"/>
    </row>
    <row r="210" spans="1:10" ht="43.5" x14ac:dyDescent="0.35">
      <c r="A210" s="1">
        <f t="shared" si="3"/>
        <v>209</v>
      </c>
      <c r="B210" s="1" t="s">
        <v>2569</v>
      </c>
      <c r="C210" s="1" t="s">
        <v>375</v>
      </c>
      <c r="D210" s="1" t="s">
        <v>2570</v>
      </c>
      <c r="E210" s="1" t="s">
        <v>1663</v>
      </c>
      <c r="F210" s="1" t="s">
        <v>2571</v>
      </c>
      <c r="G210" s="1" t="s">
        <v>2571</v>
      </c>
      <c r="H210" s="1" t="s">
        <v>2572</v>
      </c>
      <c r="I210" s="7" t="str" cm="1">
        <f t="array" ref="I210">IF(SUM(COUNTIF(Text_Preprocessing__2247[[#This Row],[full_text]],{"*makan siang gratis*";"*MBG*";"*makan gratis*";"*makan bergizi gratis*";"*makangratis*";"*makanan gratis*"})),"Relevan","Tidak Relevan")</f>
        <v>Relevan</v>
      </c>
      <c r="J210" s="1"/>
    </row>
    <row r="211" spans="1:10" ht="58" x14ac:dyDescent="0.35">
      <c r="A211" s="1">
        <f t="shared" si="3"/>
        <v>210</v>
      </c>
      <c r="B211" s="1" t="s">
        <v>2573</v>
      </c>
      <c r="C211" s="1" t="s">
        <v>377</v>
      </c>
      <c r="D211" s="1" t="s">
        <v>2574</v>
      </c>
      <c r="E211" s="1" t="s">
        <v>1764</v>
      </c>
      <c r="F211" s="1" t="s">
        <v>2575</v>
      </c>
      <c r="G211" s="1" t="s">
        <v>2575</v>
      </c>
      <c r="H211" s="1" t="s">
        <v>2576</v>
      </c>
      <c r="I211" s="7" t="str" cm="1">
        <f t="array" ref="I211">IF(SUM(COUNTIF(Text_Preprocessing__2247[[#This Row],[full_text]],{"*makan siang gratis*";"*MBG*";"*makan gratis*";"*makan bergizi gratis*";"*makangratis*";"*makanan gratis*"})),"Relevan","Tidak Relevan")</f>
        <v>Relevan</v>
      </c>
      <c r="J211" s="1"/>
    </row>
    <row r="212" spans="1:10" ht="58" x14ac:dyDescent="0.35">
      <c r="A212" s="1">
        <f t="shared" si="3"/>
        <v>211</v>
      </c>
      <c r="B212" s="1" t="s">
        <v>2577</v>
      </c>
      <c r="C212" s="1" t="s">
        <v>379</v>
      </c>
      <c r="D212" s="1" t="s">
        <v>2578</v>
      </c>
      <c r="E212" s="1" t="s">
        <v>2134</v>
      </c>
      <c r="F212" s="1" t="s">
        <v>2579</v>
      </c>
      <c r="G212" s="1" t="s">
        <v>2579</v>
      </c>
      <c r="H212" s="1" t="s">
        <v>2580</v>
      </c>
      <c r="I212" s="7" t="str" cm="1">
        <f t="array" ref="I212">IF(SUM(COUNTIF(Text_Preprocessing__2247[[#This Row],[full_text]],{"*makan siang gratis*";"*MBG*";"*makan gratis*";"*makan bergizi gratis*";"*makangratis*";"*makanan gratis*"})),"Relevan","Tidak Relevan")</f>
        <v>Relevan</v>
      </c>
      <c r="J212" s="1"/>
    </row>
    <row r="213" spans="1:10" ht="58" x14ac:dyDescent="0.35">
      <c r="A213" s="1">
        <f t="shared" si="3"/>
        <v>212</v>
      </c>
      <c r="B213" s="1" t="s">
        <v>2581</v>
      </c>
      <c r="C213" s="1" t="s">
        <v>76</v>
      </c>
      <c r="D213" s="1" t="s">
        <v>2582</v>
      </c>
      <c r="E213" s="1" t="s">
        <v>2114</v>
      </c>
      <c r="F213" s="1" t="s">
        <v>2583</v>
      </c>
      <c r="G213" s="1" t="s">
        <v>2583</v>
      </c>
      <c r="H213" s="1" t="s">
        <v>2584</v>
      </c>
      <c r="I213" s="7" t="str" cm="1">
        <f t="array" ref="I213">IF(SUM(COUNTIF(Text_Preprocessing__2247[[#This Row],[full_text]],{"*makan siang gratis*";"*MBG*";"*makan gratis*";"*makan bergizi gratis*";"*makangratis*";"*makanan gratis*"})),"Relevan","Tidak Relevan")</f>
        <v>Relevan</v>
      </c>
      <c r="J213" s="1"/>
    </row>
    <row r="214" spans="1:10" ht="58" x14ac:dyDescent="0.35">
      <c r="A214" s="1">
        <f t="shared" si="3"/>
        <v>213</v>
      </c>
      <c r="B214" s="1" t="s">
        <v>2585</v>
      </c>
      <c r="C214" s="1" t="s">
        <v>382</v>
      </c>
      <c r="D214" s="1" t="s">
        <v>2586</v>
      </c>
      <c r="E214" s="1" t="s">
        <v>2114</v>
      </c>
      <c r="F214" s="1" t="s">
        <v>2587</v>
      </c>
      <c r="G214" s="1" t="s">
        <v>2587</v>
      </c>
      <c r="H214" s="1" t="s">
        <v>2588</v>
      </c>
      <c r="I214" s="7" t="str" cm="1">
        <f t="array" ref="I214">IF(SUM(COUNTIF(Text_Preprocessing__2247[[#This Row],[full_text]],{"*makan siang gratis*";"*MBG*";"*makan gratis*";"*makan bergizi gratis*";"*makangratis*";"*makanan gratis*"})),"Relevan","Tidak Relevan")</f>
        <v>Relevan</v>
      </c>
      <c r="J214" s="1"/>
    </row>
    <row r="215" spans="1:10" ht="43.5" x14ac:dyDescent="0.35">
      <c r="A215" s="1">
        <f t="shared" si="3"/>
        <v>214</v>
      </c>
      <c r="B215" s="1" t="s">
        <v>2589</v>
      </c>
      <c r="C215" s="1" t="s">
        <v>326</v>
      </c>
      <c r="D215" s="1" t="s">
        <v>2590</v>
      </c>
      <c r="E215" s="1" t="s">
        <v>1999</v>
      </c>
      <c r="F215" s="1" t="s">
        <v>2591</v>
      </c>
      <c r="G215" s="1" t="s">
        <v>2591</v>
      </c>
      <c r="H215" s="1" t="s">
        <v>2592</v>
      </c>
      <c r="I215" s="7" t="str" cm="1">
        <f t="array" ref="I215">IF(SUM(COUNTIF(Text_Preprocessing__2247[[#This Row],[full_text]],{"*makan siang gratis*";"*MBG*";"*makan gratis*";"*makan bergizi gratis*";"*makangratis*";"*makanan gratis*"})),"Relevan","Tidak Relevan")</f>
        <v>Relevan</v>
      </c>
      <c r="J215" s="1"/>
    </row>
    <row r="216" spans="1:10" ht="58" x14ac:dyDescent="0.35">
      <c r="A216" s="1">
        <f t="shared" si="3"/>
        <v>215</v>
      </c>
      <c r="B216" s="1" t="s">
        <v>2593</v>
      </c>
      <c r="C216" s="1" t="s">
        <v>4</v>
      </c>
      <c r="D216" s="1" t="s">
        <v>2594</v>
      </c>
      <c r="E216" s="1" t="s">
        <v>1601</v>
      </c>
      <c r="F216" s="1" t="s">
        <v>2595</v>
      </c>
      <c r="G216" s="1" t="s">
        <v>2595</v>
      </c>
      <c r="H216" s="1" t="s">
        <v>2596</v>
      </c>
      <c r="I216" s="7" t="str" cm="1">
        <f t="array" ref="I216">IF(SUM(COUNTIF(Text_Preprocessing__2247[[#This Row],[full_text]],{"*makan siang gratis*";"*MBG*";"*makan gratis*";"*makan bergizi gratis*";"*makangratis*";"*makanan gratis*"})),"Relevan","Tidak Relevan")</f>
        <v>Relevan</v>
      </c>
      <c r="J216" s="1"/>
    </row>
    <row r="217" spans="1:10" ht="58" x14ac:dyDescent="0.35">
      <c r="A217" s="1">
        <f t="shared" si="3"/>
        <v>216</v>
      </c>
      <c r="B217" s="1" t="s">
        <v>2593</v>
      </c>
      <c r="C217" s="1" t="s">
        <v>4</v>
      </c>
      <c r="D217" s="1" t="s">
        <v>2594</v>
      </c>
      <c r="E217" s="1" t="s">
        <v>1601</v>
      </c>
      <c r="F217" s="1" t="s">
        <v>2595</v>
      </c>
      <c r="G217" s="1" t="s">
        <v>2595</v>
      </c>
      <c r="H217" s="1" t="s">
        <v>2596</v>
      </c>
      <c r="I217" s="7" t="str" cm="1">
        <f t="array" ref="I217">IF(SUM(COUNTIF(Text_Preprocessing__2247[[#This Row],[full_text]],{"*makan siang gratis*";"*MBG*";"*makan gratis*";"*makan bergizi gratis*";"*makangratis*";"*makanan gratis*"})),"Relevan","Tidak Relevan")</f>
        <v>Relevan</v>
      </c>
      <c r="J217" s="1"/>
    </row>
    <row r="218" spans="1:10" ht="58" x14ac:dyDescent="0.35">
      <c r="A218" s="1">
        <f t="shared" si="3"/>
        <v>217</v>
      </c>
      <c r="B218" s="1" t="s">
        <v>2593</v>
      </c>
      <c r="C218" s="1" t="s">
        <v>4</v>
      </c>
      <c r="D218" s="1" t="s">
        <v>2594</v>
      </c>
      <c r="E218" s="1" t="s">
        <v>1601</v>
      </c>
      <c r="F218" s="1" t="s">
        <v>2595</v>
      </c>
      <c r="G218" s="1" t="s">
        <v>2595</v>
      </c>
      <c r="H218" s="1" t="s">
        <v>2596</v>
      </c>
      <c r="I218" s="7" t="str" cm="1">
        <f t="array" ref="I218">IF(SUM(COUNTIF(Text_Preprocessing__2247[[#This Row],[full_text]],{"*makan siang gratis*";"*MBG*";"*makan gratis*";"*makan bergizi gratis*";"*makangratis*";"*makanan gratis*"})),"Relevan","Tidak Relevan")</f>
        <v>Relevan</v>
      </c>
      <c r="J218" s="1"/>
    </row>
    <row r="219" spans="1:10" ht="58" x14ac:dyDescent="0.35">
      <c r="A219" s="1">
        <f t="shared" si="3"/>
        <v>218</v>
      </c>
      <c r="B219" s="1" t="s">
        <v>2593</v>
      </c>
      <c r="C219" s="1" t="s">
        <v>4</v>
      </c>
      <c r="D219" s="1" t="s">
        <v>2594</v>
      </c>
      <c r="E219" s="1" t="s">
        <v>1601</v>
      </c>
      <c r="F219" s="1" t="s">
        <v>2595</v>
      </c>
      <c r="G219" s="1" t="s">
        <v>2595</v>
      </c>
      <c r="H219" s="1" t="s">
        <v>2596</v>
      </c>
      <c r="I219" s="7" t="str" cm="1">
        <f t="array" ref="I219">IF(SUM(COUNTIF(Text_Preprocessing__2247[[#This Row],[full_text]],{"*makan siang gratis*";"*MBG*";"*makan gratis*";"*makan bergizi gratis*";"*makangratis*";"*makanan gratis*"})),"Relevan","Tidak Relevan")</f>
        <v>Relevan</v>
      </c>
      <c r="J219" s="1"/>
    </row>
    <row r="220" spans="1:10" ht="58" x14ac:dyDescent="0.35">
      <c r="A220" s="1">
        <f t="shared" si="3"/>
        <v>219</v>
      </c>
      <c r="B220" s="1" t="s">
        <v>2597</v>
      </c>
      <c r="C220" s="1" t="s">
        <v>242</v>
      </c>
      <c r="D220" s="1" t="s">
        <v>2598</v>
      </c>
      <c r="E220" s="1" t="s">
        <v>2599</v>
      </c>
      <c r="F220" s="1" t="s">
        <v>2600</v>
      </c>
      <c r="G220" s="1" t="s">
        <v>2600</v>
      </c>
      <c r="H220" s="1" t="s">
        <v>2601</v>
      </c>
      <c r="I220" s="7" t="str" cm="1">
        <f t="array" ref="I220">IF(SUM(COUNTIF(Text_Preprocessing__2247[[#This Row],[full_text]],{"*makan siang gratis*";"*MBG*";"*makan gratis*";"*makan bergizi gratis*";"*makangratis*";"*makanan gratis*"})),"Relevan","Tidak Relevan")</f>
        <v>Relevan</v>
      </c>
      <c r="J220" s="1"/>
    </row>
    <row r="221" spans="1:10" ht="43.5" x14ac:dyDescent="0.35">
      <c r="A221" s="1">
        <f t="shared" si="3"/>
        <v>220</v>
      </c>
      <c r="B221" s="1" t="s">
        <v>2602</v>
      </c>
      <c r="C221" s="1" t="s">
        <v>280</v>
      </c>
      <c r="D221" s="1" t="s">
        <v>2603</v>
      </c>
      <c r="E221" s="1" t="s">
        <v>2604</v>
      </c>
      <c r="F221" s="1" t="s">
        <v>2605</v>
      </c>
      <c r="G221" s="1" t="s">
        <v>2605</v>
      </c>
      <c r="H221" s="1" t="s">
        <v>2606</v>
      </c>
      <c r="I221" s="7" t="str" cm="1">
        <f t="array" ref="I221">IF(SUM(COUNTIF(Text_Preprocessing__2247[[#This Row],[full_text]],{"*makan siang gratis*";"*MBG*";"*makan gratis*";"*makan bergizi gratis*";"*makangratis*";"*makanan gratis*"})),"Relevan","Tidak Relevan")</f>
        <v>Relevan</v>
      </c>
      <c r="J221" s="1"/>
    </row>
    <row r="222" spans="1:10" ht="58" x14ac:dyDescent="0.35">
      <c r="A222" s="1">
        <f t="shared" si="3"/>
        <v>221</v>
      </c>
      <c r="B222" s="1" t="s">
        <v>2607</v>
      </c>
      <c r="C222" s="1" t="s">
        <v>391</v>
      </c>
      <c r="D222" s="1" t="s">
        <v>2608</v>
      </c>
      <c r="E222" s="1" t="s">
        <v>2609</v>
      </c>
      <c r="F222" s="1" t="s">
        <v>2610</v>
      </c>
      <c r="G222" s="1" t="s">
        <v>2610</v>
      </c>
      <c r="H222" s="1" t="s">
        <v>2611</v>
      </c>
      <c r="I222" s="7" t="str" cm="1">
        <f t="array" ref="I222">IF(SUM(COUNTIF(Text_Preprocessing__2247[[#This Row],[full_text]],{"*makan siang gratis*";"*MBG*";"*makan gratis*";"*makan bergizi gratis*";"*makangratis*";"*makanan gratis*"})),"Relevan","Tidak Relevan")</f>
        <v>Relevan</v>
      </c>
      <c r="J222" s="1"/>
    </row>
    <row r="223" spans="1:10" ht="58" x14ac:dyDescent="0.35">
      <c r="A223" s="1">
        <f t="shared" si="3"/>
        <v>222</v>
      </c>
      <c r="B223" s="1" t="s">
        <v>2612</v>
      </c>
      <c r="C223" s="1" t="s">
        <v>393</v>
      </c>
      <c r="D223" s="1" t="s">
        <v>2613</v>
      </c>
      <c r="E223" s="1" t="s">
        <v>2272</v>
      </c>
      <c r="F223" s="1" t="s">
        <v>2614</v>
      </c>
      <c r="G223" s="1" t="s">
        <v>2614</v>
      </c>
      <c r="H223" s="1" t="s">
        <v>2615</v>
      </c>
      <c r="I223" s="7" t="str" cm="1">
        <f t="array" ref="I223">IF(SUM(COUNTIF(Text_Preprocessing__2247[[#This Row],[full_text]],{"*makan siang gratis*";"*MBG*";"*makan gratis*";"*makan bergizi gratis*";"*makangratis*";"*makanan gratis*"})),"Relevan","Tidak Relevan")</f>
        <v>Relevan</v>
      </c>
      <c r="J223" s="1"/>
    </row>
    <row r="224" spans="1:10" ht="58" x14ac:dyDescent="0.35">
      <c r="A224" s="1">
        <f t="shared" si="3"/>
        <v>223</v>
      </c>
      <c r="B224" s="1" t="s">
        <v>2616</v>
      </c>
      <c r="C224" s="1" t="s">
        <v>263</v>
      </c>
      <c r="D224" s="1" t="s">
        <v>2617</v>
      </c>
      <c r="E224" s="1" t="s">
        <v>2618</v>
      </c>
      <c r="F224" s="1" t="s">
        <v>2619</v>
      </c>
      <c r="G224" s="1" t="s">
        <v>2619</v>
      </c>
      <c r="H224" s="1" t="s">
        <v>2620</v>
      </c>
      <c r="I224" s="7" t="str" cm="1">
        <f t="array" ref="I224">IF(SUM(COUNTIF(Text_Preprocessing__2247[[#This Row],[full_text]],{"*makan siang gratis*";"*MBG*";"*makan gratis*";"*makan bergizi gratis*";"*makangratis*";"*makanan gratis*"})),"Relevan","Tidak Relevan")</f>
        <v>Relevan</v>
      </c>
      <c r="J224" s="1"/>
    </row>
    <row r="225" spans="1:10" ht="58" x14ac:dyDescent="0.35">
      <c r="A225" s="1">
        <f t="shared" si="3"/>
        <v>224</v>
      </c>
      <c r="B225" s="1" t="s">
        <v>2621</v>
      </c>
      <c r="C225" s="1" t="s">
        <v>396</v>
      </c>
      <c r="D225" s="1" t="s">
        <v>2622</v>
      </c>
      <c r="E225" s="1" t="s">
        <v>2008</v>
      </c>
      <c r="F225" s="1" t="s">
        <v>2623</v>
      </c>
      <c r="G225" s="1" t="s">
        <v>2623</v>
      </c>
      <c r="H225" s="1" t="s">
        <v>2624</v>
      </c>
      <c r="I225" s="7" t="str" cm="1">
        <f t="array" ref="I225">IF(SUM(COUNTIF(Text_Preprocessing__2247[[#This Row],[full_text]],{"*makan siang gratis*";"*MBG*";"*makan gratis*";"*makan bergizi gratis*";"*makangratis*";"*makanan gratis*"})),"Relevan","Tidak Relevan")</f>
        <v>Relevan</v>
      </c>
      <c r="J225" s="1"/>
    </row>
    <row r="226" spans="1:10" ht="58" x14ac:dyDescent="0.35">
      <c r="A226" s="1">
        <f t="shared" si="3"/>
        <v>225</v>
      </c>
      <c r="B226" s="1" t="s">
        <v>2625</v>
      </c>
      <c r="C226" s="1" t="s">
        <v>304</v>
      </c>
      <c r="D226" s="1" t="s">
        <v>2626</v>
      </c>
      <c r="E226" s="1" t="s">
        <v>2627</v>
      </c>
      <c r="F226" s="1" t="s">
        <v>2628</v>
      </c>
      <c r="G226" s="1" t="s">
        <v>2628</v>
      </c>
      <c r="H226" s="1" t="s">
        <v>2629</v>
      </c>
      <c r="I226" s="7" t="str" cm="1">
        <f t="array" ref="I226">IF(SUM(COUNTIF(Text_Preprocessing__2247[[#This Row],[full_text]],{"*makan siang gratis*";"*MBG*";"*makan gratis*";"*makan bergizi gratis*";"*makangratis*";"*makanan gratis*"})),"Relevan","Tidak Relevan")</f>
        <v>Relevan</v>
      </c>
      <c r="J226" s="1"/>
    </row>
    <row r="227" spans="1:10" ht="43.5" x14ac:dyDescent="0.35">
      <c r="A227" s="1">
        <f t="shared" si="3"/>
        <v>226</v>
      </c>
      <c r="B227" s="1" t="s">
        <v>2630</v>
      </c>
      <c r="C227" s="1" t="s">
        <v>213</v>
      </c>
      <c r="D227" s="1" t="s">
        <v>2631</v>
      </c>
      <c r="E227" s="1" t="s">
        <v>1785</v>
      </c>
      <c r="F227" s="1" t="s">
        <v>2632</v>
      </c>
      <c r="G227" s="1" t="s">
        <v>2632</v>
      </c>
      <c r="H227" s="1" t="s">
        <v>2633</v>
      </c>
      <c r="I227" s="7" t="str" cm="1">
        <f t="array" ref="I227">IF(SUM(COUNTIF(Text_Preprocessing__2247[[#This Row],[full_text]],{"*makan siang gratis*";"*MBG*";"*makan gratis*";"*makan bergizi gratis*";"*makangratis*";"*makanan gratis*"})),"Relevan","Tidak Relevan")</f>
        <v>Relevan</v>
      </c>
      <c r="J227" s="1"/>
    </row>
    <row r="228" spans="1:10" ht="43.5" x14ac:dyDescent="0.35">
      <c r="A228" s="1">
        <f t="shared" si="3"/>
        <v>227</v>
      </c>
      <c r="B228" s="1" t="s">
        <v>2634</v>
      </c>
      <c r="C228" s="1" t="s">
        <v>259</v>
      </c>
      <c r="D228" s="1" t="s">
        <v>2635</v>
      </c>
      <c r="E228" s="1" t="s">
        <v>2186</v>
      </c>
      <c r="F228" s="1" t="s">
        <v>2636</v>
      </c>
      <c r="G228" s="1" t="s">
        <v>2636</v>
      </c>
      <c r="H228" s="1" t="s">
        <v>2637</v>
      </c>
      <c r="I228" s="7" t="str" cm="1">
        <f t="array" ref="I228">IF(SUM(COUNTIF(Text_Preprocessing__2247[[#This Row],[full_text]],{"*makan siang gratis*";"*MBG*";"*makan gratis*";"*makan bergizi gratis*";"*makangratis*";"*makanan gratis*"})),"Relevan","Tidak Relevan")</f>
        <v>Relevan</v>
      </c>
      <c r="J228" s="1"/>
    </row>
    <row r="229" spans="1:10" ht="58" x14ac:dyDescent="0.35">
      <c r="A229" s="1">
        <f t="shared" si="3"/>
        <v>228</v>
      </c>
      <c r="B229" s="1" t="s">
        <v>2638</v>
      </c>
      <c r="C229" s="1" t="s">
        <v>401</v>
      </c>
      <c r="D229" s="1" t="s">
        <v>2639</v>
      </c>
      <c r="E229" s="1" t="s">
        <v>2640</v>
      </c>
      <c r="F229" s="1" t="s">
        <v>2641</v>
      </c>
      <c r="G229" s="1" t="s">
        <v>2642</v>
      </c>
      <c r="H229" s="1" t="s">
        <v>2643</v>
      </c>
      <c r="I229" s="7" t="str" cm="1">
        <f t="array" ref="I229">IF(SUM(COUNTIF(Text_Preprocessing__2247[[#This Row],[full_text]],{"*makan siang gratis*";"*MBG*";"*makan gratis*";"*makan bergizi gratis*";"*makangratis*";"*makanan gratis*"})),"Relevan","Tidak Relevan")</f>
        <v>Relevan</v>
      </c>
      <c r="J229" s="1"/>
    </row>
    <row r="230" spans="1:10" ht="58" x14ac:dyDescent="0.35">
      <c r="A230" s="1">
        <f t="shared" si="3"/>
        <v>229</v>
      </c>
      <c r="B230" s="1" t="s">
        <v>2644</v>
      </c>
      <c r="C230" s="1" t="s">
        <v>403</v>
      </c>
      <c r="D230" s="1" t="s">
        <v>2645</v>
      </c>
      <c r="E230" s="1" t="s">
        <v>2092</v>
      </c>
      <c r="F230" s="1" t="s">
        <v>2646</v>
      </c>
      <c r="G230" s="1" t="s">
        <v>2646</v>
      </c>
      <c r="H230" s="1" t="s">
        <v>2647</v>
      </c>
      <c r="I230" s="7" t="str" cm="1">
        <f t="array" ref="I230">IF(SUM(COUNTIF(Text_Preprocessing__2247[[#This Row],[full_text]],{"*makan siang gratis*";"*MBG*";"*makan gratis*";"*makan bergizi gratis*";"*makangratis*";"*makanan gratis*"})),"Relevan","Tidak Relevan")</f>
        <v>Relevan</v>
      </c>
      <c r="J230" s="1"/>
    </row>
    <row r="231" spans="1:10" ht="58" x14ac:dyDescent="0.35">
      <c r="A231" s="1">
        <f t="shared" si="3"/>
        <v>230</v>
      </c>
      <c r="B231" s="1" t="s">
        <v>2648</v>
      </c>
      <c r="C231" s="1" t="s">
        <v>405</v>
      </c>
      <c r="D231" s="1" t="s">
        <v>2649</v>
      </c>
      <c r="E231" s="1" t="s">
        <v>2558</v>
      </c>
      <c r="F231" s="1" t="s">
        <v>2650</v>
      </c>
      <c r="G231" s="1" t="s">
        <v>2650</v>
      </c>
      <c r="H231" s="1" t="s">
        <v>2651</v>
      </c>
      <c r="I231" s="7" t="str" cm="1">
        <f t="array" ref="I231">IF(SUM(COUNTIF(Text_Preprocessing__2247[[#This Row],[full_text]],{"*makan siang gratis*";"*MBG*";"*makan gratis*";"*makan bergizi gratis*";"*makangratis*";"*makanan gratis*"})),"Relevan","Tidak Relevan")</f>
        <v>Relevan</v>
      </c>
      <c r="J231" s="1"/>
    </row>
    <row r="232" spans="1:10" ht="43.5" x14ac:dyDescent="0.35">
      <c r="A232" s="1">
        <f t="shared" si="3"/>
        <v>231</v>
      </c>
      <c r="B232" s="1" t="s">
        <v>2652</v>
      </c>
      <c r="C232" s="1" t="s">
        <v>407</v>
      </c>
      <c r="D232" s="1" t="s">
        <v>2653</v>
      </c>
      <c r="E232" s="1" t="s">
        <v>1686</v>
      </c>
      <c r="F232" s="1" t="s">
        <v>2654</v>
      </c>
      <c r="G232" s="1" t="s">
        <v>2654</v>
      </c>
      <c r="H232" s="1" t="s">
        <v>2655</v>
      </c>
      <c r="I232" s="7" t="str" cm="1">
        <f t="array" ref="I232">IF(SUM(COUNTIF(Text_Preprocessing__2247[[#This Row],[full_text]],{"*makan siang gratis*";"*MBG*";"*makan gratis*";"*makan bergizi gratis*";"*makangratis*";"*makanan gratis*"})),"Relevan","Tidak Relevan")</f>
        <v>Relevan</v>
      </c>
      <c r="J232" s="1"/>
    </row>
    <row r="233" spans="1:10" ht="58" x14ac:dyDescent="0.35">
      <c r="A233" s="1">
        <f t="shared" si="3"/>
        <v>232</v>
      </c>
      <c r="B233" s="1" t="s">
        <v>2656</v>
      </c>
      <c r="C233" s="1" t="s">
        <v>409</v>
      </c>
      <c r="D233" s="1" t="s">
        <v>2657</v>
      </c>
      <c r="E233" s="1" t="s">
        <v>2627</v>
      </c>
      <c r="F233" s="1" t="s">
        <v>2658</v>
      </c>
      <c r="G233" s="1" t="s">
        <v>2658</v>
      </c>
      <c r="H233" s="1" t="s">
        <v>2659</v>
      </c>
      <c r="I233" s="7" t="str" cm="1">
        <f t="array" ref="I233">IF(SUM(COUNTIF(Text_Preprocessing__2247[[#This Row],[full_text]],{"*makan siang gratis*";"*MBG*";"*makan gratis*";"*makan bergizi gratis*";"*makangratis*";"*makanan gratis*"})),"Relevan","Tidak Relevan")</f>
        <v>Relevan</v>
      </c>
      <c r="J233" s="1"/>
    </row>
    <row r="234" spans="1:10" ht="29" x14ac:dyDescent="0.35">
      <c r="A234" s="1">
        <f t="shared" si="3"/>
        <v>233</v>
      </c>
      <c r="B234" s="1" t="s">
        <v>2660</v>
      </c>
      <c r="C234" s="1" t="s">
        <v>411</v>
      </c>
      <c r="D234" s="1" t="s">
        <v>2661</v>
      </c>
      <c r="E234" s="1" t="s">
        <v>1799</v>
      </c>
      <c r="F234" s="1" t="s">
        <v>2662</v>
      </c>
      <c r="G234" s="1" t="s">
        <v>2663</v>
      </c>
      <c r="H234" s="1" t="s">
        <v>2664</v>
      </c>
      <c r="I234" s="7" t="str" cm="1">
        <f t="array" ref="I234">IF(SUM(COUNTIF(Text_Preprocessing__2247[[#This Row],[full_text]],{"*makan siang gratis*";"*MBG*";"*makan gratis*";"*makan bergizi gratis*";"*makangratis*";"*makanan gratis*"})),"Relevan","Tidak Relevan")</f>
        <v>Relevan</v>
      </c>
      <c r="J234" s="1"/>
    </row>
    <row r="235" spans="1:10" ht="29" x14ac:dyDescent="0.35">
      <c r="A235" s="1">
        <f t="shared" si="3"/>
        <v>234</v>
      </c>
      <c r="B235" s="1" t="s">
        <v>2665</v>
      </c>
      <c r="C235" s="1" t="s">
        <v>413</v>
      </c>
      <c r="D235" s="1" t="s">
        <v>2666</v>
      </c>
      <c r="E235" s="1" t="s">
        <v>1730</v>
      </c>
      <c r="F235" s="1" t="s">
        <v>2667</v>
      </c>
      <c r="G235" s="1" t="s">
        <v>2667</v>
      </c>
      <c r="H235" s="1" t="s">
        <v>2668</v>
      </c>
      <c r="I235" s="7" t="str" cm="1">
        <f t="array" ref="I235">IF(SUM(COUNTIF(Text_Preprocessing__2247[[#This Row],[full_text]],{"*makan siang gratis*";"*MBG*";"*makan gratis*";"*makan bergizi gratis*";"*makangratis*";"*makanan gratis*"})),"Relevan","Tidak Relevan")</f>
        <v>Relevan</v>
      </c>
      <c r="J235" s="1"/>
    </row>
    <row r="236" spans="1:10" ht="58" x14ac:dyDescent="0.35">
      <c r="A236" s="1">
        <f t="shared" si="3"/>
        <v>235</v>
      </c>
      <c r="B236" s="1" t="s">
        <v>2669</v>
      </c>
      <c r="C236" s="1" t="s">
        <v>133</v>
      </c>
      <c r="D236" s="1" t="s">
        <v>2670</v>
      </c>
      <c r="E236" s="1" t="s">
        <v>2092</v>
      </c>
      <c r="F236" s="1" t="s">
        <v>2671</v>
      </c>
      <c r="G236" s="1" t="s">
        <v>2671</v>
      </c>
      <c r="H236" s="1" t="s">
        <v>2672</v>
      </c>
      <c r="I236" s="7" t="str" cm="1">
        <f t="array" ref="I236">IF(SUM(COUNTIF(Text_Preprocessing__2247[[#This Row],[full_text]],{"*makan siang gratis*";"*MBG*";"*makan gratis*";"*makan bergizi gratis*";"*makangratis*";"*makanan gratis*"})),"Relevan","Tidak Relevan")</f>
        <v>Relevan</v>
      </c>
      <c r="J236" s="1"/>
    </row>
    <row r="237" spans="1:10" ht="58" x14ac:dyDescent="0.35">
      <c r="A237" s="1">
        <f t="shared" si="3"/>
        <v>236</v>
      </c>
      <c r="B237" s="1" t="s">
        <v>2673</v>
      </c>
      <c r="C237" s="1" t="s">
        <v>382</v>
      </c>
      <c r="D237" s="1" t="s">
        <v>2674</v>
      </c>
      <c r="E237" s="1" t="s">
        <v>1607</v>
      </c>
      <c r="F237" s="1" t="s">
        <v>2675</v>
      </c>
      <c r="G237" s="1" t="s">
        <v>2675</v>
      </c>
      <c r="H237" s="1" t="s">
        <v>2676</v>
      </c>
      <c r="I237" s="7" t="str" cm="1">
        <f t="array" ref="I237">IF(SUM(COUNTIF(Text_Preprocessing__2247[[#This Row],[full_text]],{"*makan siang gratis*";"*MBG*";"*makan gratis*";"*makan bergizi gratis*";"*makangratis*";"*makanan gratis*"})),"Relevan","Tidak Relevan")</f>
        <v>Relevan</v>
      </c>
      <c r="J237" s="1"/>
    </row>
    <row r="238" spans="1:10" ht="43.5" x14ac:dyDescent="0.35">
      <c r="A238" s="1">
        <f t="shared" si="3"/>
        <v>237</v>
      </c>
      <c r="B238" s="1" t="s">
        <v>2677</v>
      </c>
      <c r="C238" s="1" t="s">
        <v>417</v>
      </c>
      <c r="D238" s="1" t="s">
        <v>2678</v>
      </c>
      <c r="E238" s="1" t="s">
        <v>2679</v>
      </c>
      <c r="F238" s="1" t="s">
        <v>2680</v>
      </c>
      <c r="G238" s="1" t="s">
        <v>2680</v>
      </c>
      <c r="H238" s="1" t="s">
        <v>2681</v>
      </c>
      <c r="I238" s="7" t="str" cm="1">
        <f t="array" ref="I238">IF(SUM(COUNTIF(Text_Preprocessing__2247[[#This Row],[full_text]],{"*makan siang gratis*";"*MBG*";"*makan gratis*";"*makan bergizi gratis*";"*makangratis*";"*makanan gratis*"})),"Relevan","Tidak Relevan")</f>
        <v>Relevan</v>
      </c>
      <c r="J238" s="1"/>
    </row>
    <row r="239" spans="1:10" ht="43.5" x14ac:dyDescent="0.35">
      <c r="A239" s="1">
        <f t="shared" si="3"/>
        <v>238</v>
      </c>
      <c r="B239" s="1" t="s">
        <v>2682</v>
      </c>
      <c r="C239" s="1" t="s">
        <v>419</v>
      </c>
      <c r="D239" s="1" t="s">
        <v>2683</v>
      </c>
      <c r="E239" s="1" t="s">
        <v>2684</v>
      </c>
      <c r="F239" s="1" t="s">
        <v>2685</v>
      </c>
      <c r="G239" s="1" t="s">
        <v>2686</v>
      </c>
      <c r="H239" s="1" t="s">
        <v>2687</v>
      </c>
      <c r="I239" s="7" t="str" cm="1">
        <f t="array" ref="I239">IF(SUM(COUNTIF(Text_Preprocessing__2247[[#This Row],[full_text]],{"*makan siang gratis*";"*MBG*";"*makan gratis*";"*makan bergizi gratis*";"*makangratis*";"*makanan gratis*"})),"Relevan","Tidak Relevan")</f>
        <v>Relevan</v>
      </c>
      <c r="J239" s="1"/>
    </row>
    <row r="240" spans="1:10" ht="58" x14ac:dyDescent="0.35">
      <c r="A240" s="1">
        <f t="shared" si="3"/>
        <v>239</v>
      </c>
      <c r="B240" s="1" t="s">
        <v>2688</v>
      </c>
      <c r="C240" s="1" t="s">
        <v>421</v>
      </c>
      <c r="D240" s="1" t="s">
        <v>2689</v>
      </c>
      <c r="E240" s="1" t="s">
        <v>2690</v>
      </c>
      <c r="F240" s="1" t="s">
        <v>2691</v>
      </c>
      <c r="G240" s="1" t="s">
        <v>2691</v>
      </c>
      <c r="H240" s="1" t="s">
        <v>2692</v>
      </c>
      <c r="I240" s="7" t="str" cm="1">
        <f t="array" ref="I240">IF(SUM(COUNTIF(Text_Preprocessing__2247[[#This Row],[full_text]],{"*makan siang gratis*";"*MBG*";"*makan gratis*";"*makan bergizi gratis*";"*makangratis*";"*makanan gratis*"})),"Relevan","Tidak Relevan")</f>
        <v>Relevan</v>
      </c>
      <c r="J240" s="1"/>
    </row>
    <row r="241" spans="1:10" ht="58" x14ac:dyDescent="0.35">
      <c r="A241" s="1">
        <f t="shared" si="3"/>
        <v>240</v>
      </c>
      <c r="B241" s="1" t="s">
        <v>2693</v>
      </c>
      <c r="C241" s="1" t="s">
        <v>379</v>
      </c>
      <c r="D241" s="1" t="s">
        <v>2694</v>
      </c>
      <c r="E241" s="1" t="s">
        <v>2082</v>
      </c>
      <c r="F241" s="1" t="s">
        <v>2695</v>
      </c>
      <c r="G241" s="1" t="s">
        <v>2695</v>
      </c>
      <c r="H241" s="1" t="s">
        <v>2696</v>
      </c>
      <c r="I241" s="7" t="str" cm="1">
        <f t="array" ref="I241">IF(SUM(COUNTIF(Text_Preprocessing__2247[[#This Row],[full_text]],{"*makan siang gratis*";"*MBG*";"*makan gratis*";"*makan bergizi gratis*";"*makangratis*";"*makanan gratis*"})),"Relevan","Tidak Relevan")</f>
        <v>Relevan</v>
      </c>
      <c r="J241" s="1"/>
    </row>
    <row r="242" spans="1:10" ht="29" x14ac:dyDescent="0.35">
      <c r="A242" s="1">
        <f t="shared" si="3"/>
        <v>241</v>
      </c>
      <c r="B242" s="1" t="s">
        <v>2697</v>
      </c>
      <c r="C242" s="1" t="s">
        <v>411</v>
      </c>
      <c r="D242" s="1" t="s">
        <v>2698</v>
      </c>
      <c r="E242" s="1" t="s">
        <v>1613</v>
      </c>
      <c r="F242" s="1" t="s">
        <v>2699</v>
      </c>
      <c r="G242" s="1" t="s">
        <v>2700</v>
      </c>
      <c r="H242" s="1" t="s">
        <v>2701</v>
      </c>
      <c r="I242" s="7" t="str" cm="1">
        <f t="array" ref="I242">IF(SUM(COUNTIF(Text_Preprocessing__2247[[#This Row],[full_text]],{"*makan siang gratis*";"*MBG*";"*makan gratis*";"*makan bergizi gratis*";"*makangratis*";"*makanan gratis*"})),"Relevan","Tidak Relevan")</f>
        <v>Relevan</v>
      </c>
      <c r="J242" s="1"/>
    </row>
    <row r="243" spans="1:10" ht="58" x14ac:dyDescent="0.35">
      <c r="A243" s="1">
        <f t="shared" si="3"/>
        <v>242</v>
      </c>
      <c r="B243" s="1" t="s">
        <v>2702</v>
      </c>
      <c r="C243" s="1" t="s">
        <v>133</v>
      </c>
      <c r="D243" s="1" t="s">
        <v>2703</v>
      </c>
      <c r="E243" s="1" t="s">
        <v>2335</v>
      </c>
      <c r="F243" s="1" t="s">
        <v>2704</v>
      </c>
      <c r="G243" s="1" t="s">
        <v>2704</v>
      </c>
      <c r="H243" s="1" t="s">
        <v>2705</v>
      </c>
      <c r="I243" s="7" t="str" cm="1">
        <f t="array" ref="I243">IF(SUM(COUNTIF(Text_Preprocessing__2247[[#This Row],[full_text]],{"*makan siang gratis*";"*MBG*";"*makan gratis*";"*makan bergizi gratis*";"*makangratis*";"*makanan gratis*"})),"Relevan","Tidak Relevan")</f>
        <v>Relevan</v>
      </c>
      <c r="J243" s="1"/>
    </row>
    <row r="244" spans="1:10" ht="29" x14ac:dyDescent="0.35">
      <c r="A244" s="1">
        <f t="shared" si="3"/>
        <v>243</v>
      </c>
      <c r="B244" s="1" t="s">
        <v>2706</v>
      </c>
      <c r="C244" s="1" t="s">
        <v>426</v>
      </c>
      <c r="D244" s="1" t="s">
        <v>2707</v>
      </c>
      <c r="E244" s="1" t="s">
        <v>1809</v>
      </c>
      <c r="F244" s="1" t="s">
        <v>2707</v>
      </c>
      <c r="G244" s="1" t="s">
        <v>2707</v>
      </c>
      <c r="H244" s="1" t="s">
        <v>2708</v>
      </c>
      <c r="I244" s="7" t="str" cm="1">
        <f t="array" ref="I244">IF(SUM(COUNTIF(Text_Preprocessing__2247[[#This Row],[full_text]],{"*makan siang gratis*";"*MBG*";"*makan gratis*";"*makan bergizi gratis*";"*makangratis*";"*makanan gratis*"})),"Relevan","Tidak Relevan")</f>
        <v>Relevan</v>
      </c>
      <c r="J244" s="1"/>
    </row>
    <row r="245" spans="1:10" ht="58" x14ac:dyDescent="0.35">
      <c r="A245" s="1">
        <f t="shared" si="3"/>
        <v>244</v>
      </c>
      <c r="B245" s="1" t="s">
        <v>2709</v>
      </c>
      <c r="C245" s="1" t="s">
        <v>428</v>
      </c>
      <c r="D245" s="1" t="s">
        <v>2710</v>
      </c>
      <c r="E245" s="1" t="s">
        <v>2092</v>
      </c>
      <c r="F245" s="1" t="s">
        <v>2711</v>
      </c>
      <c r="G245" s="1" t="s">
        <v>2711</v>
      </c>
      <c r="H245" s="1" t="s">
        <v>2712</v>
      </c>
      <c r="I245" s="7" t="str" cm="1">
        <f t="array" ref="I245">IF(SUM(COUNTIF(Text_Preprocessing__2247[[#This Row],[full_text]],{"*makan siang gratis*";"*MBG*";"*makan gratis*";"*makan bergizi gratis*";"*makangratis*";"*makanan gratis*"})),"Relevan","Tidak Relevan")</f>
        <v>Relevan</v>
      </c>
      <c r="J245" s="1"/>
    </row>
    <row r="246" spans="1:10" ht="43.5" x14ac:dyDescent="0.35">
      <c r="A246" s="1">
        <f t="shared" si="3"/>
        <v>245</v>
      </c>
      <c r="B246" s="1" t="s">
        <v>2713</v>
      </c>
      <c r="C246" s="1" t="s">
        <v>137</v>
      </c>
      <c r="D246" s="1" t="s">
        <v>2714</v>
      </c>
      <c r="E246" s="1" t="s">
        <v>1999</v>
      </c>
      <c r="F246" s="1" t="s">
        <v>2715</v>
      </c>
      <c r="G246" s="1" t="s">
        <v>2715</v>
      </c>
      <c r="H246" s="1" t="s">
        <v>2716</v>
      </c>
      <c r="I246" s="7" t="str" cm="1">
        <f t="array" ref="I246">IF(SUM(COUNTIF(Text_Preprocessing__2247[[#This Row],[full_text]],{"*makan siang gratis*";"*MBG*";"*makan gratis*";"*makan bergizi gratis*";"*makangratis*";"*makanan gratis*"})),"Relevan","Tidak Relevan")</f>
        <v>Relevan</v>
      </c>
      <c r="J246" s="1"/>
    </row>
    <row r="247" spans="1:10" ht="29" x14ac:dyDescent="0.35">
      <c r="A247" s="1">
        <f t="shared" si="3"/>
        <v>246</v>
      </c>
      <c r="B247" s="1" t="s">
        <v>2717</v>
      </c>
      <c r="C247" s="1" t="s">
        <v>431</v>
      </c>
      <c r="D247" s="1" t="s">
        <v>2718</v>
      </c>
      <c r="E247" s="1" t="s">
        <v>1799</v>
      </c>
      <c r="F247" s="1" t="s">
        <v>2719</v>
      </c>
      <c r="G247" s="1" t="s">
        <v>2719</v>
      </c>
      <c r="H247" s="1" t="s">
        <v>2720</v>
      </c>
      <c r="I247" s="7" t="str" cm="1">
        <f t="array" ref="I247">IF(SUM(COUNTIF(Text_Preprocessing__2247[[#This Row],[full_text]],{"*makan siang gratis*";"*MBG*";"*makan gratis*";"*makan bergizi gratis*";"*makangratis*";"*makanan gratis*"})),"Relevan","Tidak Relevan")</f>
        <v>Relevan</v>
      </c>
      <c r="J247" s="1"/>
    </row>
    <row r="248" spans="1:10" ht="58" x14ac:dyDescent="0.35">
      <c r="A248" s="1">
        <f t="shared" si="3"/>
        <v>247</v>
      </c>
      <c r="B248" s="1" t="s">
        <v>2721</v>
      </c>
      <c r="C248" s="1" t="s">
        <v>433</v>
      </c>
      <c r="D248" s="1" t="s">
        <v>2722</v>
      </c>
      <c r="E248" s="1" t="s">
        <v>2177</v>
      </c>
      <c r="F248" s="1" t="s">
        <v>2723</v>
      </c>
      <c r="G248" s="1" t="s">
        <v>2723</v>
      </c>
      <c r="H248" s="1" t="s">
        <v>2724</v>
      </c>
      <c r="I248" s="7" t="str" cm="1">
        <f t="array" ref="I248">IF(SUM(COUNTIF(Text_Preprocessing__2247[[#This Row],[full_text]],{"*makan siang gratis*";"*MBG*";"*makan gratis*";"*makan bergizi gratis*";"*makangratis*";"*makanan gratis*"})),"Relevan","Tidak Relevan")</f>
        <v>Relevan</v>
      </c>
      <c r="J248" s="1"/>
    </row>
    <row r="249" spans="1:10" ht="58" x14ac:dyDescent="0.35">
      <c r="A249" s="1">
        <f t="shared" si="3"/>
        <v>248</v>
      </c>
      <c r="B249" s="1" t="s">
        <v>2725</v>
      </c>
      <c r="C249" s="1" t="s">
        <v>435</v>
      </c>
      <c r="D249" s="1" t="s">
        <v>2726</v>
      </c>
      <c r="E249" s="1" t="s">
        <v>1758</v>
      </c>
      <c r="F249" s="1" t="s">
        <v>2727</v>
      </c>
      <c r="G249" s="1" t="s">
        <v>2727</v>
      </c>
      <c r="H249" s="1" t="s">
        <v>2728</v>
      </c>
      <c r="I249" s="7" t="str" cm="1">
        <f t="array" ref="I249">IF(SUM(COUNTIF(Text_Preprocessing__2247[[#This Row],[full_text]],{"*makan siang gratis*";"*MBG*";"*makan gratis*";"*makan bergizi gratis*";"*makangratis*";"*makanan gratis*"})),"Relevan","Tidak Relevan")</f>
        <v>Relevan</v>
      </c>
      <c r="J249" s="1"/>
    </row>
    <row r="250" spans="1:10" ht="58" x14ac:dyDescent="0.35">
      <c r="A250" s="1">
        <f t="shared" si="3"/>
        <v>249</v>
      </c>
      <c r="B250" s="1" t="s">
        <v>2729</v>
      </c>
      <c r="C250" s="1" t="s">
        <v>437</v>
      </c>
      <c r="D250" s="1" t="s">
        <v>2730</v>
      </c>
      <c r="E250" s="1" t="s">
        <v>1629</v>
      </c>
      <c r="F250" s="1" t="s">
        <v>2731</v>
      </c>
      <c r="G250" s="1" t="s">
        <v>2731</v>
      </c>
      <c r="H250" s="1" t="s">
        <v>2732</v>
      </c>
      <c r="I250" s="7" t="str" cm="1">
        <f t="array" ref="I250">IF(SUM(COUNTIF(Text_Preprocessing__2247[[#This Row],[full_text]],{"*makan siang gratis*";"*MBG*";"*makan gratis*";"*makan bergizi gratis*";"*makangratis*";"*makanan gratis*"})),"Relevan","Tidak Relevan")</f>
        <v>Relevan</v>
      </c>
      <c r="J250" s="1"/>
    </row>
    <row r="251" spans="1:10" ht="58" x14ac:dyDescent="0.35">
      <c r="A251" s="1">
        <f t="shared" si="3"/>
        <v>250</v>
      </c>
      <c r="B251" s="1" t="s">
        <v>2733</v>
      </c>
      <c r="C251" s="1" t="s">
        <v>91</v>
      </c>
      <c r="D251" s="1" t="s">
        <v>2734</v>
      </c>
      <c r="E251" s="1" t="s">
        <v>2335</v>
      </c>
      <c r="F251" s="1" t="s">
        <v>2735</v>
      </c>
      <c r="G251" s="1" t="s">
        <v>2735</v>
      </c>
      <c r="H251" s="1" t="s">
        <v>2736</v>
      </c>
      <c r="I251" s="7" t="str" cm="1">
        <f t="array" ref="I251">IF(SUM(COUNTIF(Text_Preprocessing__2247[[#This Row],[full_text]],{"*makan siang gratis*";"*MBG*";"*makan gratis*";"*makan bergizi gratis*";"*makangratis*";"*makanan gratis*"})),"Relevan","Tidak Relevan")</f>
        <v>Relevan</v>
      </c>
      <c r="J251" s="1"/>
    </row>
    <row r="252" spans="1:10" ht="58" x14ac:dyDescent="0.35">
      <c r="A252" s="1">
        <f t="shared" si="3"/>
        <v>251</v>
      </c>
      <c r="B252" s="1" t="s">
        <v>2737</v>
      </c>
      <c r="C252" s="1" t="s">
        <v>440</v>
      </c>
      <c r="D252" s="1" t="s">
        <v>2738</v>
      </c>
      <c r="E252" s="1" t="s">
        <v>1674</v>
      </c>
      <c r="F252" s="1" t="s">
        <v>2739</v>
      </c>
      <c r="G252" s="1" t="s">
        <v>2739</v>
      </c>
      <c r="H252" s="1" t="s">
        <v>2740</v>
      </c>
      <c r="I252" s="7" t="str" cm="1">
        <f t="array" ref="I252">IF(SUM(COUNTIF(Text_Preprocessing__2247[[#This Row],[full_text]],{"*makan siang gratis*";"*MBG*";"*makan gratis*";"*makan bergizi gratis*";"*makangratis*";"*makanan gratis*"})),"Relevan","Tidak Relevan")</f>
        <v>Relevan</v>
      </c>
      <c r="J252" s="1"/>
    </row>
    <row r="253" spans="1:10" ht="58" x14ac:dyDescent="0.35">
      <c r="A253" s="1">
        <f t="shared" si="3"/>
        <v>252</v>
      </c>
      <c r="B253" s="1" t="s">
        <v>2741</v>
      </c>
      <c r="C253" s="1" t="s">
        <v>442</v>
      </c>
      <c r="D253" s="1" t="s">
        <v>2742</v>
      </c>
      <c r="E253" s="1" t="s">
        <v>2743</v>
      </c>
      <c r="F253" s="1" t="s">
        <v>2744</v>
      </c>
      <c r="G253" s="1" t="s">
        <v>2744</v>
      </c>
      <c r="H253" s="1" t="s">
        <v>2745</v>
      </c>
      <c r="I253" s="7" t="str" cm="1">
        <f t="array" ref="I253">IF(SUM(COUNTIF(Text_Preprocessing__2247[[#This Row],[full_text]],{"*makan siang gratis*";"*MBG*";"*makan gratis*";"*makan bergizi gratis*";"*makangratis*";"*makanan gratis*"})),"Relevan","Tidak Relevan")</f>
        <v>Relevan</v>
      </c>
      <c r="J253" s="1"/>
    </row>
    <row r="254" spans="1:10" ht="43.5" x14ac:dyDescent="0.35">
      <c r="A254" s="1">
        <f t="shared" si="3"/>
        <v>253</v>
      </c>
      <c r="B254" s="1" t="s">
        <v>2746</v>
      </c>
      <c r="C254" s="1" t="s">
        <v>442</v>
      </c>
      <c r="D254" s="1" t="s">
        <v>2747</v>
      </c>
      <c r="E254" s="1" t="s">
        <v>2748</v>
      </c>
      <c r="F254" s="1" t="s">
        <v>2749</v>
      </c>
      <c r="G254" s="1" t="s">
        <v>2749</v>
      </c>
      <c r="H254" s="1" t="s">
        <v>2750</v>
      </c>
      <c r="I254" s="7" t="str" cm="1">
        <f t="array" ref="I254">IF(SUM(COUNTIF(Text_Preprocessing__2247[[#This Row],[full_text]],{"*makan siang gratis*";"*MBG*";"*makan gratis*";"*makan bergizi gratis*";"*makangratis*";"*makanan gratis*"})),"Relevan","Tidak Relevan")</f>
        <v>Relevan</v>
      </c>
      <c r="J254" s="1"/>
    </row>
    <row r="255" spans="1:10" ht="58" x14ac:dyDescent="0.35">
      <c r="A255" s="1">
        <f t="shared" si="3"/>
        <v>254</v>
      </c>
      <c r="B255" s="1" t="s">
        <v>2751</v>
      </c>
      <c r="C255" s="1" t="s">
        <v>445</v>
      </c>
      <c r="D255" s="1" t="s">
        <v>2752</v>
      </c>
      <c r="E255" s="1" t="s">
        <v>1680</v>
      </c>
      <c r="F255" s="1" t="s">
        <v>2753</v>
      </c>
      <c r="G255" s="1" t="s">
        <v>2754</v>
      </c>
      <c r="H255" s="1" t="s">
        <v>2755</v>
      </c>
      <c r="I255" s="7" t="str" cm="1">
        <f t="array" ref="I255">IF(SUM(COUNTIF(Text_Preprocessing__2247[[#This Row],[full_text]],{"*makan siang gratis*";"*MBG*";"*makan gratis*";"*makan bergizi gratis*";"*makangratis*";"*makanan gratis*"})),"Relevan","Tidak Relevan")</f>
        <v>Relevan</v>
      </c>
      <c r="J255" s="1"/>
    </row>
    <row r="256" spans="1:10" ht="58" x14ac:dyDescent="0.35">
      <c r="A256" s="1">
        <f t="shared" si="3"/>
        <v>255</v>
      </c>
      <c r="B256" s="1" t="s">
        <v>2756</v>
      </c>
      <c r="C256" s="1" t="s">
        <v>447</v>
      </c>
      <c r="D256" s="1" t="s">
        <v>2757</v>
      </c>
      <c r="E256" s="1" t="s">
        <v>2609</v>
      </c>
      <c r="F256" s="1" t="s">
        <v>2758</v>
      </c>
      <c r="G256" s="1" t="s">
        <v>2758</v>
      </c>
      <c r="H256" s="1" t="s">
        <v>2759</v>
      </c>
      <c r="I256" s="7" t="str" cm="1">
        <f t="array" ref="I256">IF(SUM(COUNTIF(Text_Preprocessing__2247[[#This Row],[full_text]],{"*makan siang gratis*";"*MBG*";"*makan gratis*";"*makan bergizi gratis*";"*makangratis*";"*makanan gratis*"})),"Relevan","Tidak Relevan")</f>
        <v>Relevan</v>
      </c>
      <c r="J256" s="1"/>
    </row>
    <row r="257" spans="1:10" ht="58" x14ac:dyDescent="0.35">
      <c r="A257" s="1">
        <f t="shared" si="3"/>
        <v>256</v>
      </c>
      <c r="B257" s="1" t="s">
        <v>2760</v>
      </c>
      <c r="C257" s="1" t="s">
        <v>449</v>
      </c>
      <c r="D257" s="1" t="s">
        <v>2761</v>
      </c>
      <c r="E257" s="1" t="s">
        <v>2553</v>
      </c>
      <c r="F257" s="1" t="s">
        <v>2762</v>
      </c>
      <c r="G257" s="1" t="s">
        <v>2762</v>
      </c>
      <c r="H257" s="1" t="s">
        <v>2763</v>
      </c>
      <c r="I257" s="7" t="str" cm="1">
        <f t="array" ref="I257">IF(SUM(COUNTIF(Text_Preprocessing__2247[[#This Row],[full_text]],{"*makan siang gratis*";"*MBG*";"*makan gratis*";"*makan bergizi gratis*";"*makangratis*";"*makanan gratis*"})),"Relevan","Tidak Relevan")</f>
        <v>Relevan</v>
      </c>
      <c r="J257" s="1"/>
    </row>
    <row r="258" spans="1:10" ht="58" x14ac:dyDescent="0.35">
      <c r="A258" s="1">
        <f t="shared" si="3"/>
        <v>257</v>
      </c>
      <c r="B258" s="1" t="s">
        <v>2764</v>
      </c>
      <c r="C258" s="1" t="s">
        <v>451</v>
      </c>
      <c r="D258" s="1" t="s">
        <v>2765</v>
      </c>
      <c r="E258" s="1" t="s">
        <v>2069</v>
      </c>
      <c r="F258" s="1" t="s">
        <v>2766</v>
      </c>
      <c r="G258" s="1" t="s">
        <v>2766</v>
      </c>
      <c r="H258" s="1" t="s">
        <v>2767</v>
      </c>
      <c r="I258" s="7" t="str" cm="1">
        <f t="array" ref="I258">IF(SUM(COUNTIF(Text_Preprocessing__2247[[#This Row],[full_text]],{"*makan siang gratis*";"*MBG*";"*makan gratis*";"*makan bergizi gratis*";"*makangratis*";"*makanan gratis*"})),"Relevan","Tidak Relevan")</f>
        <v>Relevan</v>
      </c>
      <c r="J258" s="1"/>
    </row>
    <row r="259" spans="1:10" ht="58" x14ac:dyDescent="0.35">
      <c r="A259" s="1">
        <f t="shared" ref="A259:A322" si="4">SUM(A258+1)</f>
        <v>258</v>
      </c>
      <c r="B259" s="1" t="s">
        <v>2768</v>
      </c>
      <c r="C259" s="1" t="s">
        <v>102</v>
      </c>
      <c r="D259" s="1" t="s">
        <v>2769</v>
      </c>
      <c r="E259" s="1" t="s">
        <v>2558</v>
      </c>
      <c r="F259" s="1" t="s">
        <v>2770</v>
      </c>
      <c r="G259" s="1" t="s">
        <v>2770</v>
      </c>
      <c r="H259" s="1" t="s">
        <v>2771</v>
      </c>
      <c r="I259" s="7" t="str" cm="1">
        <f t="array" ref="I259">IF(SUM(COUNTIF(Text_Preprocessing__2247[[#This Row],[full_text]],{"*makan siang gratis*";"*MBG*";"*makan gratis*";"*makan bergizi gratis*";"*makangratis*";"*makanan gratis*"})),"Relevan","Tidak Relevan")</f>
        <v>Relevan</v>
      </c>
      <c r="J259" s="1"/>
    </row>
    <row r="260" spans="1:10" ht="58" x14ac:dyDescent="0.35">
      <c r="A260" s="1">
        <f t="shared" si="4"/>
        <v>259</v>
      </c>
      <c r="B260" s="1" t="s">
        <v>2772</v>
      </c>
      <c r="C260" s="1" t="s">
        <v>454</v>
      </c>
      <c r="D260" s="1" t="s">
        <v>2773</v>
      </c>
      <c r="E260" s="1" t="s">
        <v>2558</v>
      </c>
      <c r="F260" s="1" t="s">
        <v>2774</v>
      </c>
      <c r="G260" s="1" t="s">
        <v>2774</v>
      </c>
      <c r="H260" s="1" t="s">
        <v>2775</v>
      </c>
      <c r="I260" s="7" t="str" cm="1">
        <f t="array" ref="I260">IF(SUM(COUNTIF(Text_Preprocessing__2247[[#This Row],[full_text]],{"*makan siang gratis*";"*MBG*";"*makan gratis*";"*makan bergizi gratis*";"*makangratis*";"*makanan gratis*"})),"Relevan","Tidak Relevan")</f>
        <v>Relevan</v>
      </c>
      <c r="J260" s="1"/>
    </row>
    <row r="261" spans="1:10" ht="58" x14ac:dyDescent="0.35">
      <c r="A261" s="1">
        <f t="shared" si="4"/>
        <v>260</v>
      </c>
      <c r="B261" s="1" t="s">
        <v>2776</v>
      </c>
      <c r="C261" s="1" t="s">
        <v>456</v>
      </c>
      <c r="D261" s="1" t="s">
        <v>2777</v>
      </c>
      <c r="E261" s="1" t="s">
        <v>2074</v>
      </c>
      <c r="F261" s="1" t="s">
        <v>2778</v>
      </c>
      <c r="G261" s="1" t="s">
        <v>2778</v>
      </c>
      <c r="H261" s="1" t="s">
        <v>2779</v>
      </c>
      <c r="I261" s="7" t="str" cm="1">
        <f t="array" ref="I261">IF(SUM(COUNTIF(Text_Preprocessing__2247[[#This Row],[full_text]],{"*makan siang gratis*";"*MBG*";"*makan gratis*";"*makan bergizi gratis*";"*makangratis*";"*makanan gratis*"})),"Relevan","Tidak Relevan")</f>
        <v>Relevan</v>
      </c>
      <c r="J261" s="1"/>
    </row>
    <row r="262" spans="1:10" ht="43.5" x14ac:dyDescent="0.35">
      <c r="A262" s="1">
        <f t="shared" si="4"/>
        <v>261</v>
      </c>
      <c r="B262" s="1" t="s">
        <v>2780</v>
      </c>
      <c r="C262" s="1" t="s">
        <v>458</v>
      </c>
      <c r="D262" s="1" t="s">
        <v>2781</v>
      </c>
      <c r="E262" s="1" t="s">
        <v>2782</v>
      </c>
      <c r="F262" s="1" t="s">
        <v>2783</v>
      </c>
      <c r="G262" s="1" t="s">
        <v>2784</v>
      </c>
      <c r="H262" s="1" t="s">
        <v>2785</v>
      </c>
      <c r="I262" s="7" t="str" cm="1">
        <f t="array" ref="I262">IF(SUM(COUNTIF(Text_Preprocessing__2247[[#This Row],[full_text]],{"*makan siang gratis*";"*MBG*";"*makan gratis*";"*makan bergizi gratis*";"*makangratis*";"*makanan gratis*"})),"Relevan","Tidak Relevan")</f>
        <v>Relevan</v>
      </c>
      <c r="J262" s="1"/>
    </row>
    <row r="263" spans="1:10" ht="29" x14ac:dyDescent="0.35">
      <c r="A263" s="1">
        <f t="shared" si="4"/>
        <v>262</v>
      </c>
      <c r="B263" s="1" t="s">
        <v>2786</v>
      </c>
      <c r="C263" s="1" t="s">
        <v>460</v>
      </c>
      <c r="D263" s="1" t="s">
        <v>2787</v>
      </c>
      <c r="E263" s="1" t="s">
        <v>1692</v>
      </c>
      <c r="F263" s="1" t="s">
        <v>2788</v>
      </c>
      <c r="G263" s="1" t="s">
        <v>2788</v>
      </c>
      <c r="H263" s="1" t="s">
        <v>2789</v>
      </c>
      <c r="I263" s="7" t="str" cm="1">
        <f t="array" ref="I263">IF(SUM(COUNTIF(Text_Preprocessing__2247[[#This Row],[full_text]],{"*makan siang gratis*";"*MBG*";"*makan gratis*";"*makan bergizi gratis*";"*makangratis*";"*makanan gratis*"})),"Relevan","Tidak Relevan")</f>
        <v>Relevan</v>
      </c>
      <c r="J263" s="1"/>
    </row>
    <row r="264" spans="1:10" ht="58" x14ac:dyDescent="0.35">
      <c r="A264" s="1">
        <f t="shared" si="4"/>
        <v>263</v>
      </c>
      <c r="B264" s="1" t="s">
        <v>2790</v>
      </c>
      <c r="C264" s="1" t="s">
        <v>442</v>
      </c>
      <c r="D264" s="1" t="s">
        <v>2791</v>
      </c>
      <c r="E264" s="1" t="s">
        <v>2782</v>
      </c>
      <c r="F264" s="1" t="s">
        <v>2792</v>
      </c>
      <c r="G264" s="1" t="s">
        <v>2792</v>
      </c>
      <c r="H264" s="1" t="s">
        <v>2793</v>
      </c>
      <c r="I264" s="7" t="str" cm="1">
        <f t="array" ref="I264">IF(SUM(COUNTIF(Text_Preprocessing__2247[[#This Row],[full_text]],{"*makan siang gratis*";"*MBG*";"*makan gratis*";"*makan bergizi gratis*";"*makangratis*";"*makanan gratis*"})),"Relevan","Tidak Relevan")</f>
        <v>Relevan</v>
      </c>
      <c r="J264" s="1"/>
    </row>
    <row r="265" spans="1:10" ht="58" x14ac:dyDescent="0.35">
      <c r="A265" s="1">
        <f t="shared" si="4"/>
        <v>264</v>
      </c>
      <c r="B265" s="1" t="s">
        <v>2794</v>
      </c>
      <c r="C265" s="1" t="s">
        <v>463</v>
      </c>
      <c r="D265" s="1" t="s">
        <v>2795</v>
      </c>
      <c r="E265" s="1" t="s">
        <v>2796</v>
      </c>
      <c r="F265" s="1" t="s">
        <v>2797</v>
      </c>
      <c r="G265" s="1" t="s">
        <v>2797</v>
      </c>
      <c r="H265" s="1" t="s">
        <v>2798</v>
      </c>
      <c r="I265" s="7" t="str" cm="1">
        <f t="array" ref="I265">IF(SUM(COUNTIF(Text_Preprocessing__2247[[#This Row],[full_text]],{"*makan siang gratis*";"*MBG*";"*makan gratis*";"*makan bergizi gratis*";"*makangratis*";"*makanan gratis*"})),"Relevan","Tidak Relevan")</f>
        <v>Relevan</v>
      </c>
      <c r="J265" s="1"/>
    </row>
    <row r="266" spans="1:10" ht="58" x14ac:dyDescent="0.35">
      <c r="A266" s="1">
        <f t="shared" si="4"/>
        <v>265</v>
      </c>
      <c r="B266" s="1" t="s">
        <v>2799</v>
      </c>
      <c r="C266" s="1" t="s">
        <v>463</v>
      </c>
      <c r="D266" s="1" t="s">
        <v>2800</v>
      </c>
      <c r="E266" s="1" t="s">
        <v>2558</v>
      </c>
      <c r="F266" s="1" t="s">
        <v>2801</v>
      </c>
      <c r="G266" s="1" t="s">
        <v>2802</v>
      </c>
      <c r="H266" s="1" t="s">
        <v>2803</v>
      </c>
      <c r="I266" s="7" t="str" cm="1">
        <f t="array" ref="I266">IF(SUM(COUNTIF(Text_Preprocessing__2247[[#This Row],[full_text]],{"*makan siang gratis*";"*MBG*";"*makan gratis*";"*makan bergizi gratis*";"*makangratis*";"*makanan gratis*"})),"Relevan","Tidak Relevan")</f>
        <v>Relevan</v>
      </c>
      <c r="J266" s="1"/>
    </row>
    <row r="267" spans="1:10" ht="58" x14ac:dyDescent="0.35">
      <c r="A267" s="1">
        <f t="shared" si="4"/>
        <v>266</v>
      </c>
      <c r="B267" s="1" t="s">
        <v>2804</v>
      </c>
      <c r="C267" s="1" t="s">
        <v>379</v>
      </c>
      <c r="D267" s="1" t="s">
        <v>2805</v>
      </c>
      <c r="E267" s="1" t="s">
        <v>2806</v>
      </c>
      <c r="F267" s="1" t="s">
        <v>2807</v>
      </c>
      <c r="G267" s="1" t="s">
        <v>2807</v>
      </c>
      <c r="H267" s="1" t="s">
        <v>2808</v>
      </c>
      <c r="I267" s="7" t="str" cm="1">
        <f t="array" ref="I267">IF(SUM(COUNTIF(Text_Preprocessing__2247[[#This Row],[full_text]],{"*makan siang gratis*";"*MBG*";"*makan gratis*";"*makan bergizi gratis*";"*makangratis*";"*makanan gratis*"})),"Relevan","Tidak Relevan")</f>
        <v>Relevan</v>
      </c>
      <c r="J267" s="1"/>
    </row>
    <row r="268" spans="1:10" ht="29" x14ac:dyDescent="0.35">
      <c r="A268" s="1">
        <f t="shared" si="4"/>
        <v>267</v>
      </c>
      <c r="B268" s="1" t="s">
        <v>2809</v>
      </c>
      <c r="C268" s="1" t="s">
        <v>467</v>
      </c>
      <c r="D268" s="1" t="s">
        <v>2810</v>
      </c>
      <c r="E268" s="1" t="s">
        <v>1893</v>
      </c>
      <c r="F268" s="1" t="s">
        <v>2811</v>
      </c>
      <c r="G268" s="1" t="s">
        <v>2812</v>
      </c>
      <c r="H268" s="1" t="s">
        <v>2813</v>
      </c>
      <c r="I268" s="7" t="str" cm="1">
        <f t="array" ref="I268">IF(SUM(COUNTIF(Text_Preprocessing__2247[[#This Row],[full_text]],{"*makan siang gratis*";"*MBG*";"*makan gratis*";"*makan bergizi gratis*";"*makangratis*";"*makanan gratis*"})),"Relevan","Tidak Relevan")</f>
        <v>Relevan</v>
      </c>
      <c r="J268" s="1"/>
    </row>
    <row r="269" spans="1:10" ht="58" x14ac:dyDescent="0.35">
      <c r="A269" s="1">
        <f t="shared" si="4"/>
        <v>268</v>
      </c>
      <c r="B269" s="1" t="s">
        <v>2819</v>
      </c>
      <c r="C269" s="1" t="s">
        <v>470</v>
      </c>
      <c r="D269" s="1" t="s">
        <v>2820</v>
      </c>
      <c r="E269" s="1" t="s">
        <v>2609</v>
      </c>
      <c r="F269" s="1" t="s">
        <v>2821</v>
      </c>
      <c r="G269" s="1" t="s">
        <v>2822</v>
      </c>
      <c r="H269" s="1" t="s">
        <v>2823</v>
      </c>
      <c r="I269" s="7" t="str" cm="1">
        <f t="array" ref="I269">IF(SUM(COUNTIF(Text_Preprocessing__2247[[#This Row],[full_text]],{"*makan siang gratis*";"*MBG*";"*makan gratis*";"*makan bergizi gratis*";"*makangratis*";"*makanan gratis*"})),"Relevan","Tidak Relevan")</f>
        <v>Relevan</v>
      </c>
      <c r="J269" s="1"/>
    </row>
    <row r="270" spans="1:10" ht="43.5" x14ac:dyDescent="0.35">
      <c r="A270" s="1">
        <f t="shared" si="4"/>
        <v>269</v>
      </c>
      <c r="B270" s="1" t="s">
        <v>2824</v>
      </c>
      <c r="C270" s="1" t="s">
        <v>472</v>
      </c>
      <c r="D270" s="1" t="s">
        <v>2825</v>
      </c>
      <c r="E270" s="1" t="s">
        <v>2253</v>
      </c>
      <c r="F270" s="1" t="s">
        <v>2826</v>
      </c>
      <c r="G270" s="1" t="s">
        <v>2826</v>
      </c>
      <c r="H270" s="1" t="s">
        <v>2827</v>
      </c>
      <c r="I270" s="7" t="str" cm="1">
        <f t="array" ref="I270">IF(SUM(COUNTIF(Text_Preprocessing__2247[[#This Row],[full_text]],{"*makan siang gratis*";"*MBG*";"*makan gratis*";"*makan bergizi gratis*";"*makangratis*";"*makanan gratis*"})),"Relevan","Tidak Relevan")</f>
        <v>Relevan</v>
      </c>
      <c r="J270" s="1"/>
    </row>
    <row r="271" spans="1:10" ht="58" x14ac:dyDescent="0.35">
      <c r="A271" s="1">
        <f t="shared" si="4"/>
        <v>270</v>
      </c>
      <c r="B271" s="1" t="s">
        <v>2828</v>
      </c>
      <c r="C271" s="1" t="s">
        <v>442</v>
      </c>
      <c r="D271" s="1" t="s">
        <v>2829</v>
      </c>
      <c r="E271" s="1" t="s">
        <v>2599</v>
      </c>
      <c r="F271" s="1" t="s">
        <v>2830</v>
      </c>
      <c r="G271" s="1" t="s">
        <v>2830</v>
      </c>
      <c r="H271" s="1" t="s">
        <v>2831</v>
      </c>
      <c r="I271" s="7" t="str" cm="1">
        <f t="array" ref="I271">IF(SUM(COUNTIF(Text_Preprocessing__2247[[#This Row],[full_text]],{"*makan siang gratis*";"*MBG*";"*makan gratis*";"*makan bergizi gratis*";"*makangratis*";"*makanan gratis*"})),"Relevan","Tidak Relevan")</f>
        <v>Relevan</v>
      </c>
      <c r="J271" s="1"/>
    </row>
    <row r="272" spans="1:10" ht="29" x14ac:dyDescent="0.35">
      <c r="A272" s="1">
        <f t="shared" si="4"/>
        <v>271</v>
      </c>
      <c r="B272" s="1" t="s">
        <v>2832</v>
      </c>
      <c r="C272" s="1" t="s">
        <v>475</v>
      </c>
      <c r="D272" s="1" t="s">
        <v>2833</v>
      </c>
      <c r="E272" s="1" t="s">
        <v>2229</v>
      </c>
      <c r="F272" s="1" t="s">
        <v>2834</v>
      </c>
      <c r="G272" s="1" t="s">
        <v>2834</v>
      </c>
      <c r="H272" s="1" t="s">
        <v>2835</v>
      </c>
      <c r="I272" s="7" t="str" cm="1">
        <f t="array" ref="I272">IF(SUM(COUNTIF(Text_Preprocessing__2247[[#This Row],[full_text]],{"*makan siang gratis*";"*MBG*";"*makan gratis*";"*makan bergizi gratis*";"*makangratis*";"*makanan gratis*"})),"Relevan","Tidak Relevan")</f>
        <v>Relevan</v>
      </c>
      <c r="J272" s="1"/>
    </row>
    <row r="273" spans="1:10" ht="43.5" x14ac:dyDescent="0.35">
      <c r="A273" s="1">
        <f t="shared" si="4"/>
        <v>272</v>
      </c>
      <c r="B273" s="1" t="s">
        <v>2836</v>
      </c>
      <c r="C273" s="1" t="s">
        <v>477</v>
      </c>
      <c r="D273" s="1" t="s">
        <v>2837</v>
      </c>
      <c r="E273" s="1" t="s">
        <v>2164</v>
      </c>
      <c r="F273" s="1" t="s">
        <v>2838</v>
      </c>
      <c r="G273" s="1" t="s">
        <v>2838</v>
      </c>
      <c r="H273" s="1" t="s">
        <v>2839</v>
      </c>
      <c r="I273" s="7" t="str" cm="1">
        <f t="array" ref="I273">IF(SUM(COUNTIF(Text_Preprocessing__2247[[#This Row],[full_text]],{"*makan siang gratis*";"*MBG*";"*makan gratis*";"*makan bergizi gratis*";"*makangratis*";"*makanan gratis*"})),"Relevan","Tidak Relevan")</f>
        <v>Relevan</v>
      </c>
      <c r="J273" s="1"/>
    </row>
    <row r="274" spans="1:10" ht="58" x14ac:dyDescent="0.35">
      <c r="A274" s="1">
        <f t="shared" si="4"/>
        <v>273</v>
      </c>
      <c r="B274" s="1" t="s">
        <v>2840</v>
      </c>
      <c r="C274" s="1" t="s">
        <v>445</v>
      </c>
      <c r="D274" s="1" t="s">
        <v>2841</v>
      </c>
      <c r="E274" s="1" t="s">
        <v>2052</v>
      </c>
      <c r="F274" s="1" t="s">
        <v>2842</v>
      </c>
      <c r="G274" s="1" t="s">
        <v>2842</v>
      </c>
      <c r="H274" s="1" t="s">
        <v>2843</v>
      </c>
      <c r="I274" s="7" t="str" cm="1">
        <f t="array" ref="I274">IF(SUM(COUNTIF(Text_Preprocessing__2247[[#This Row],[full_text]],{"*makan siang gratis*";"*MBG*";"*makan gratis*";"*makan bergizi gratis*";"*makangratis*";"*makanan gratis*"})),"Relevan","Tidak Relevan")</f>
        <v>Relevan</v>
      </c>
      <c r="J274" s="1"/>
    </row>
    <row r="275" spans="1:10" ht="29" x14ac:dyDescent="0.35">
      <c r="A275" s="1">
        <f t="shared" si="4"/>
        <v>274</v>
      </c>
      <c r="B275" s="1" t="s">
        <v>2844</v>
      </c>
      <c r="C275" s="1" t="s">
        <v>480</v>
      </c>
      <c r="D275" s="1" t="s">
        <v>2845</v>
      </c>
      <c r="E275" s="1" t="s">
        <v>1596</v>
      </c>
      <c r="F275" s="1" t="s">
        <v>2845</v>
      </c>
      <c r="G275" s="1" t="s">
        <v>2845</v>
      </c>
      <c r="H275" s="1" t="s">
        <v>2846</v>
      </c>
      <c r="I275" s="7" t="str" cm="1">
        <f t="array" ref="I275">IF(SUM(COUNTIF(Text_Preprocessing__2247[[#This Row],[full_text]],{"*makan siang gratis*";"*MBG*";"*makan gratis*";"*makan bergizi gratis*";"*makangratis*";"*makanan gratis*"})),"Relevan","Tidak Relevan")</f>
        <v>Relevan</v>
      </c>
      <c r="J275" s="1"/>
    </row>
    <row r="276" spans="1:10" ht="58" x14ac:dyDescent="0.35">
      <c r="A276" s="1">
        <f t="shared" si="4"/>
        <v>275</v>
      </c>
      <c r="B276" s="1" t="s">
        <v>2847</v>
      </c>
      <c r="C276" s="1" t="s">
        <v>482</v>
      </c>
      <c r="D276" s="1" t="s">
        <v>2848</v>
      </c>
      <c r="E276" s="1" t="s">
        <v>2599</v>
      </c>
      <c r="F276" s="1" t="s">
        <v>2849</v>
      </c>
      <c r="G276" s="1" t="s">
        <v>2850</v>
      </c>
      <c r="H276" s="1" t="s">
        <v>2851</v>
      </c>
      <c r="I276" s="7" t="str" cm="1">
        <f t="array" ref="I276">IF(SUM(COUNTIF(Text_Preprocessing__2247[[#This Row],[full_text]],{"*makan siang gratis*";"*MBG*";"*makan gratis*";"*makan bergizi gratis*";"*makangratis*";"*makanan gratis*"})),"Relevan","Tidak Relevan")</f>
        <v>Relevan</v>
      </c>
      <c r="J276" s="1"/>
    </row>
    <row r="277" spans="1:10" ht="29" x14ac:dyDescent="0.35">
      <c r="A277" s="1">
        <f t="shared" si="4"/>
        <v>276</v>
      </c>
      <c r="B277" s="1" t="s">
        <v>2852</v>
      </c>
      <c r="C277" s="1" t="s">
        <v>484</v>
      </c>
      <c r="D277" s="1" t="s">
        <v>2853</v>
      </c>
      <c r="E277" s="1" t="s">
        <v>2348</v>
      </c>
      <c r="F277" s="1" t="s">
        <v>2854</v>
      </c>
      <c r="G277" s="1" t="s">
        <v>2854</v>
      </c>
      <c r="H277" s="1" t="s">
        <v>2855</v>
      </c>
      <c r="I277" s="7" t="str" cm="1">
        <f t="array" ref="I277">IF(SUM(COUNTIF(Text_Preprocessing__2247[[#This Row],[full_text]],{"*makan siang gratis*";"*MBG*";"*makan gratis*";"*makan bergizi gratis*";"*makangratis*";"*makanan gratis*"})),"Relevan","Tidak Relevan")</f>
        <v>Relevan</v>
      </c>
      <c r="J277" s="1"/>
    </row>
    <row r="278" spans="1:10" x14ac:dyDescent="0.35">
      <c r="A278" s="1">
        <f t="shared" si="4"/>
        <v>277</v>
      </c>
      <c r="B278" s="1" t="s">
        <v>2856</v>
      </c>
      <c r="C278" s="1" t="s">
        <v>486</v>
      </c>
      <c r="D278" s="1" t="s">
        <v>2857</v>
      </c>
      <c r="E278" s="1" t="s">
        <v>1888</v>
      </c>
      <c r="F278" s="1" t="s">
        <v>2858</v>
      </c>
      <c r="G278" s="1" t="s">
        <v>2858</v>
      </c>
      <c r="H278" s="1" t="s">
        <v>2859</v>
      </c>
      <c r="I278" s="7" t="str" cm="1">
        <f t="array" ref="I278">IF(SUM(COUNTIF(Text_Preprocessing__2247[[#This Row],[full_text]],{"*makan siang gratis*";"*MBG*";"*makan gratis*";"*makan bergizi gratis*";"*makangratis*";"*makanan gratis*"})),"Relevan","Tidak Relevan")</f>
        <v>Relevan</v>
      </c>
      <c r="J278" s="1"/>
    </row>
    <row r="279" spans="1:10" ht="43.5" x14ac:dyDescent="0.35">
      <c r="A279" s="1">
        <f t="shared" si="4"/>
        <v>278</v>
      </c>
      <c r="B279" s="1" t="s">
        <v>2860</v>
      </c>
      <c r="C279" s="1" t="s">
        <v>488</v>
      </c>
      <c r="D279" s="1" t="s">
        <v>2861</v>
      </c>
      <c r="E279" s="1" t="s">
        <v>2862</v>
      </c>
      <c r="F279" s="1" t="s">
        <v>2863</v>
      </c>
      <c r="G279" s="1" t="s">
        <v>2863</v>
      </c>
      <c r="H279" s="1" t="s">
        <v>2864</v>
      </c>
      <c r="I279" s="7" t="str" cm="1">
        <f t="array" ref="I279">IF(SUM(COUNTIF(Text_Preprocessing__2247[[#This Row],[full_text]],{"*makan siang gratis*";"*MBG*";"*makan gratis*";"*makan bergizi gratis*";"*makangratis*";"*makanan gratis*"})),"Relevan","Tidak Relevan")</f>
        <v>Relevan</v>
      </c>
      <c r="J279" s="1"/>
    </row>
    <row r="280" spans="1:10" ht="58" x14ac:dyDescent="0.35">
      <c r="A280" s="1">
        <f t="shared" si="4"/>
        <v>279</v>
      </c>
      <c r="B280" s="1" t="s">
        <v>2865</v>
      </c>
      <c r="C280" s="1" t="s">
        <v>490</v>
      </c>
      <c r="D280" s="1" t="s">
        <v>2866</v>
      </c>
      <c r="E280" s="1" t="s">
        <v>2867</v>
      </c>
      <c r="F280" s="1" t="s">
        <v>2868</v>
      </c>
      <c r="G280" s="1" t="s">
        <v>2869</v>
      </c>
      <c r="H280" s="1" t="s">
        <v>2870</v>
      </c>
      <c r="I280" s="7" t="str" cm="1">
        <f t="array" ref="I280">IF(SUM(COUNTIF(Text_Preprocessing__2247[[#This Row],[full_text]],{"*makan siang gratis*";"*MBG*";"*makan gratis*";"*makan bergizi gratis*";"*makangratis*";"*makanan gratis*"})),"Relevan","Tidak Relevan")</f>
        <v>Relevan</v>
      </c>
      <c r="J280" s="1"/>
    </row>
    <row r="281" spans="1:10" ht="43.5" x14ac:dyDescent="0.35">
      <c r="A281" s="1">
        <f t="shared" si="4"/>
        <v>280</v>
      </c>
      <c r="B281" s="1" t="s">
        <v>2871</v>
      </c>
      <c r="C281" s="1" t="s">
        <v>492</v>
      </c>
      <c r="D281" s="1" t="s">
        <v>2872</v>
      </c>
      <c r="E281" s="1" t="s">
        <v>1669</v>
      </c>
      <c r="F281" s="1" t="s">
        <v>2873</v>
      </c>
      <c r="G281" s="1" t="s">
        <v>2874</v>
      </c>
      <c r="H281" s="1" t="s">
        <v>2875</v>
      </c>
      <c r="I281" s="7" t="str" cm="1">
        <f t="array" ref="I281">IF(SUM(COUNTIF(Text_Preprocessing__2247[[#This Row],[full_text]],{"*makan siang gratis*";"*MBG*";"*makan gratis*";"*makan bergizi gratis*";"*makangratis*";"*makanan gratis*"})),"Relevan","Tidak Relevan")</f>
        <v>Relevan</v>
      </c>
      <c r="J281" s="1"/>
    </row>
    <row r="282" spans="1:10" ht="43.5" x14ac:dyDescent="0.35">
      <c r="A282" s="1">
        <f t="shared" si="4"/>
        <v>281</v>
      </c>
      <c r="B282" s="1" t="s">
        <v>2876</v>
      </c>
      <c r="C282" s="1" t="s">
        <v>494</v>
      </c>
      <c r="D282" s="1" t="s">
        <v>2877</v>
      </c>
      <c r="E282" s="1" t="s">
        <v>2878</v>
      </c>
      <c r="F282" s="1" t="s">
        <v>2879</v>
      </c>
      <c r="G282" s="1" t="s">
        <v>2880</v>
      </c>
      <c r="H282" s="1" t="s">
        <v>2881</v>
      </c>
      <c r="I282" s="7" t="str" cm="1">
        <f t="array" ref="I282">IF(SUM(COUNTIF(Text_Preprocessing__2247[[#This Row],[full_text]],{"*makan siang gratis*";"*MBG*";"*makan gratis*";"*makan bergizi gratis*";"*makangratis*";"*makanan gratis*"})),"Relevan","Tidak Relevan")</f>
        <v>Relevan</v>
      </c>
      <c r="J282" s="1"/>
    </row>
    <row r="283" spans="1:10" ht="29" x14ac:dyDescent="0.35">
      <c r="A283" s="1">
        <f t="shared" si="4"/>
        <v>282</v>
      </c>
      <c r="B283" s="1" t="s">
        <v>2882</v>
      </c>
      <c r="C283" s="1" t="s">
        <v>496</v>
      </c>
      <c r="D283" s="1" t="s">
        <v>2883</v>
      </c>
      <c r="E283" s="1" t="s">
        <v>1799</v>
      </c>
      <c r="F283" s="1" t="s">
        <v>2884</v>
      </c>
      <c r="G283" s="1" t="s">
        <v>2884</v>
      </c>
      <c r="H283" s="1" t="s">
        <v>2885</v>
      </c>
      <c r="I283" s="7" t="str" cm="1">
        <f t="array" ref="I283">IF(SUM(COUNTIF(Text_Preprocessing__2247[[#This Row],[full_text]],{"*makan siang gratis*";"*MBG*";"*makan gratis*";"*makan bergizi gratis*";"*makangratis*";"*makanan gratis*"})),"Relevan","Tidak Relevan")</f>
        <v>Tidak Relevan</v>
      </c>
      <c r="J283" s="1" t="s">
        <v>3622</v>
      </c>
    </row>
    <row r="284" spans="1:10" x14ac:dyDescent="0.35">
      <c r="A284" s="1">
        <f t="shared" si="4"/>
        <v>283</v>
      </c>
      <c r="B284" s="1" t="s">
        <v>2886</v>
      </c>
      <c r="C284" s="1" t="s">
        <v>498</v>
      </c>
      <c r="D284" s="1" t="s">
        <v>2887</v>
      </c>
      <c r="E284" s="1" t="s">
        <v>1596</v>
      </c>
      <c r="F284" s="1" t="s">
        <v>2888</v>
      </c>
      <c r="G284" s="1" t="s">
        <v>2888</v>
      </c>
      <c r="H284" s="1" t="s">
        <v>2888</v>
      </c>
      <c r="I284" s="7" t="str" cm="1">
        <f t="array" ref="I284">IF(SUM(COUNTIF(Text_Preprocessing__2247[[#This Row],[full_text]],{"*makan siang gratis*";"*MBG*";"*makan gratis*";"*makan bergizi gratis*";"*makangratis*";"*makanan gratis*"})),"Relevan","Tidak Relevan")</f>
        <v>Relevan</v>
      </c>
      <c r="J284" s="1"/>
    </row>
    <row r="285" spans="1:10" ht="58" x14ac:dyDescent="0.35">
      <c r="A285" s="1">
        <f t="shared" si="4"/>
        <v>284</v>
      </c>
      <c r="B285" s="1" t="s">
        <v>2889</v>
      </c>
      <c r="C285" s="1" t="s">
        <v>442</v>
      </c>
      <c r="D285" s="1" t="s">
        <v>2890</v>
      </c>
      <c r="E285" s="1" t="s">
        <v>2609</v>
      </c>
      <c r="F285" s="1" t="s">
        <v>2891</v>
      </c>
      <c r="G285" s="1" t="s">
        <v>2891</v>
      </c>
      <c r="H285" s="1" t="s">
        <v>2892</v>
      </c>
      <c r="I285" s="7" t="str" cm="1">
        <f t="array" ref="I285">IF(SUM(COUNTIF(Text_Preprocessing__2247[[#This Row],[full_text]],{"*makan siang gratis*";"*MBG*";"*makan gratis*";"*makan bergizi gratis*";"*makangratis*";"*makanan gratis*"})),"Relevan","Tidak Relevan")</f>
        <v>Relevan</v>
      </c>
      <c r="J285" s="1"/>
    </row>
    <row r="286" spans="1:10" ht="43.5" x14ac:dyDescent="0.35">
      <c r="A286" s="1">
        <f t="shared" si="4"/>
        <v>285</v>
      </c>
      <c r="B286" s="1" t="s">
        <v>2893</v>
      </c>
      <c r="C286" s="1" t="s">
        <v>501</v>
      </c>
      <c r="D286" s="1" t="s">
        <v>2894</v>
      </c>
      <c r="E286" s="1" t="s">
        <v>2878</v>
      </c>
      <c r="F286" s="1" t="s">
        <v>2895</v>
      </c>
      <c r="G286" s="1" t="s">
        <v>2895</v>
      </c>
      <c r="H286" s="1" t="s">
        <v>2896</v>
      </c>
      <c r="I286" s="7" t="str" cm="1">
        <f t="array" ref="I286">IF(SUM(COUNTIF(Text_Preprocessing__2247[[#This Row],[full_text]],{"*makan siang gratis*";"*MBG*";"*makan gratis*";"*makan bergizi gratis*";"*makangratis*";"*makanan gratis*"})),"Relevan","Tidak Relevan")</f>
        <v>Relevan</v>
      </c>
      <c r="J286" s="1"/>
    </row>
    <row r="287" spans="1:10" x14ac:dyDescent="0.35">
      <c r="A287" s="1">
        <f t="shared" si="4"/>
        <v>286</v>
      </c>
      <c r="B287" s="1" t="s">
        <v>2897</v>
      </c>
      <c r="C287" s="1" t="s">
        <v>503</v>
      </c>
      <c r="D287" s="1" t="s">
        <v>2898</v>
      </c>
      <c r="E287" s="1" t="s">
        <v>2899</v>
      </c>
      <c r="F287" s="1" t="s">
        <v>2900</v>
      </c>
      <c r="G287" s="1" t="s">
        <v>2900</v>
      </c>
      <c r="H287" s="1" t="s">
        <v>2901</v>
      </c>
      <c r="I287" s="7" t="str" cm="1">
        <f t="array" ref="I287">IF(SUM(COUNTIF(Text_Preprocessing__2247[[#This Row],[full_text]],{"*makan siang gratis*";"*MBG*";"*makan gratis*";"*makan bergizi gratis*";"*makangratis*";"*makanan gratis*"})),"Relevan","Tidak Relevan")</f>
        <v>Relevan</v>
      </c>
      <c r="J287" s="1"/>
    </row>
    <row r="288" spans="1:10" ht="58" x14ac:dyDescent="0.35">
      <c r="A288" s="1">
        <f t="shared" si="4"/>
        <v>287</v>
      </c>
      <c r="B288" s="1" t="s">
        <v>2902</v>
      </c>
      <c r="C288" s="1" t="s">
        <v>76</v>
      </c>
      <c r="D288" s="1" t="s">
        <v>2903</v>
      </c>
      <c r="E288" s="1" t="s">
        <v>2904</v>
      </c>
      <c r="F288" s="1" t="s">
        <v>2905</v>
      </c>
      <c r="G288" s="1" t="s">
        <v>2905</v>
      </c>
      <c r="H288" s="1" t="s">
        <v>2906</v>
      </c>
      <c r="I288" s="7" t="str" cm="1">
        <f t="array" ref="I288">IF(SUM(COUNTIF(Text_Preprocessing__2247[[#This Row],[full_text]],{"*makan siang gratis*";"*MBG*";"*makan gratis*";"*makan bergizi gratis*";"*makangratis*";"*makanan gratis*"})),"Relevan","Tidak Relevan")</f>
        <v>Relevan</v>
      </c>
      <c r="J288" s="1"/>
    </row>
    <row r="289" spans="1:10" ht="29" x14ac:dyDescent="0.35">
      <c r="A289" s="1">
        <f t="shared" si="4"/>
        <v>288</v>
      </c>
      <c r="B289" s="1" t="s">
        <v>2907</v>
      </c>
      <c r="C289" s="1" t="s">
        <v>506</v>
      </c>
      <c r="D289" s="1" t="s">
        <v>2908</v>
      </c>
      <c r="E289" s="1" t="s">
        <v>1730</v>
      </c>
      <c r="F289" s="1" t="s">
        <v>2909</v>
      </c>
      <c r="G289" s="1" t="s">
        <v>2909</v>
      </c>
      <c r="H289" s="1" t="s">
        <v>2910</v>
      </c>
      <c r="I289" s="7" t="str" cm="1">
        <f t="array" ref="I289">IF(SUM(COUNTIF(Text_Preprocessing__2247[[#This Row],[full_text]],{"*makan siang gratis*";"*MBG*";"*makan gratis*";"*makan bergizi gratis*";"*makangratis*";"*makanan gratis*"})),"Relevan","Tidak Relevan")</f>
        <v>Relevan</v>
      </c>
      <c r="J289" s="1"/>
    </row>
    <row r="290" spans="1:10" ht="58" x14ac:dyDescent="0.35">
      <c r="A290" s="1">
        <f t="shared" si="4"/>
        <v>289</v>
      </c>
      <c r="B290" s="1" t="s">
        <v>2911</v>
      </c>
      <c r="C290" s="1" t="s">
        <v>508</v>
      </c>
      <c r="D290" s="1" t="s">
        <v>2912</v>
      </c>
      <c r="E290" s="1" t="s">
        <v>1669</v>
      </c>
      <c r="F290" s="1" t="s">
        <v>2913</v>
      </c>
      <c r="G290" s="1" t="s">
        <v>2913</v>
      </c>
      <c r="H290" s="1" t="s">
        <v>2914</v>
      </c>
      <c r="I290" s="7" t="str" cm="1">
        <f t="array" ref="I290">IF(SUM(COUNTIF(Text_Preprocessing__2247[[#This Row],[full_text]],{"*makan siang gratis*";"*MBG*";"*makan gratis*";"*makan bergizi gratis*";"*makangratis*";"*makanan gratis*"})),"Relevan","Tidak Relevan")</f>
        <v>Relevan</v>
      </c>
      <c r="J290" s="1"/>
    </row>
    <row r="291" spans="1:10" ht="58" x14ac:dyDescent="0.35">
      <c r="A291" s="1">
        <f t="shared" si="4"/>
        <v>290</v>
      </c>
      <c r="B291" s="1" t="s">
        <v>2915</v>
      </c>
      <c r="C291" s="1" t="s">
        <v>510</v>
      </c>
      <c r="D291" s="1" t="s">
        <v>2916</v>
      </c>
      <c r="E291" s="1" t="s">
        <v>1906</v>
      </c>
      <c r="F291" s="1" t="s">
        <v>2917</v>
      </c>
      <c r="G291" s="1" t="s">
        <v>2917</v>
      </c>
      <c r="H291" s="1" t="s">
        <v>2918</v>
      </c>
      <c r="I291" s="7" t="str" cm="1">
        <f t="array" ref="I291">IF(SUM(COUNTIF(Text_Preprocessing__2247[[#This Row],[full_text]],{"*makan siang gratis*";"*MBG*";"*makan gratis*";"*makan bergizi gratis*";"*makangratis*";"*makanan gratis*"})),"Relevan","Tidak Relevan")</f>
        <v>Relevan</v>
      </c>
      <c r="J291" s="1"/>
    </row>
    <row r="292" spans="1:10" ht="29" x14ac:dyDescent="0.35">
      <c r="A292" s="1">
        <f t="shared" si="4"/>
        <v>291</v>
      </c>
      <c r="B292" s="1" t="s">
        <v>2919</v>
      </c>
      <c r="C292" s="1" t="s">
        <v>512</v>
      </c>
      <c r="D292" s="1" t="s">
        <v>2920</v>
      </c>
      <c r="E292" s="1" t="s">
        <v>2921</v>
      </c>
      <c r="F292" s="1" t="s">
        <v>2922</v>
      </c>
      <c r="G292" s="1" t="s">
        <v>2922</v>
      </c>
      <c r="H292" s="1" t="s">
        <v>2923</v>
      </c>
      <c r="I292" s="7" t="str" cm="1">
        <f t="array" ref="I292">IF(SUM(COUNTIF(Text_Preprocessing__2247[[#This Row],[full_text]],{"*makan siang gratis*";"*MBG*";"*makan gratis*";"*makan bergizi gratis*";"*makangratis*";"*makanan gratis*"})),"Relevan","Tidak Relevan")</f>
        <v>Relevan</v>
      </c>
      <c r="J292" s="1"/>
    </row>
    <row r="293" spans="1:10" ht="58" x14ac:dyDescent="0.35">
      <c r="A293" s="1">
        <f t="shared" si="4"/>
        <v>292</v>
      </c>
      <c r="B293" s="1" t="s">
        <v>2924</v>
      </c>
      <c r="C293" s="1" t="s">
        <v>447</v>
      </c>
      <c r="D293" s="1" t="s">
        <v>2925</v>
      </c>
      <c r="E293" s="1" t="s">
        <v>2599</v>
      </c>
      <c r="F293" s="1" t="s">
        <v>2926</v>
      </c>
      <c r="G293" s="1" t="s">
        <v>2926</v>
      </c>
      <c r="H293" s="1" t="s">
        <v>2927</v>
      </c>
      <c r="I293" s="7" t="str" cm="1">
        <f t="array" ref="I293">IF(SUM(COUNTIF(Text_Preprocessing__2247[[#This Row],[full_text]],{"*makan siang gratis*";"*MBG*";"*makan gratis*";"*makan bergizi gratis*";"*makangratis*";"*makanan gratis*"})),"Relevan","Tidak Relevan")</f>
        <v>Relevan</v>
      </c>
      <c r="J293" s="1"/>
    </row>
    <row r="294" spans="1:10" ht="29" x14ac:dyDescent="0.35">
      <c r="A294" s="1">
        <f t="shared" si="4"/>
        <v>293</v>
      </c>
      <c r="B294" s="1" t="s">
        <v>2928</v>
      </c>
      <c r="C294" s="1" t="s">
        <v>515</v>
      </c>
      <c r="D294" s="1" t="s">
        <v>2929</v>
      </c>
      <c r="E294" s="1" t="s">
        <v>1735</v>
      </c>
      <c r="F294" s="1" t="s">
        <v>2930</v>
      </c>
      <c r="G294" s="1" t="s">
        <v>2930</v>
      </c>
      <c r="H294" s="1" t="s">
        <v>2931</v>
      </c>
      <c r="I294" s="7" t="str" cm="1">
        <f t="array" ref="I294">IF(SUM(COUNTIF(Text_Preprocessing__2247[[#This Row],[full_text]],{"*makan siang gratis*";"*MBG*";"*makan gratis*";"*makan bergizi gratis*";"*makangratis*";"*makanan gratis*"})),"Relevan","Tidak Relevan")</f>
        <v>Relevan</v>
      </c>
      <c r="J294" s="1"/>
    </row>
    <row r="295" spans="1:10" ht="29" x14ac:dyDescent="0.35">
      <c r="A295" s="1">
        <f t="shared" si="4"/>
        <v>294</v>
      </c>
      <c r="B295" s="1" t="s">
        <v>2932</v>
      </c>
      <c r="C295" s="1" t="s">
        <v>517</v>
      </c>
      <c r="D295" s="1" t="s">
        <v>2933</v>
      </c>
      <c r="E295" s="1" t="s">
        <v>2934</v>
      </c>
      <c r="F295" s="1" t="s">
        <v>2935</v>
      </c>
      <c r="G295" s="1" t="s">
        <v>2935</v>
      </c>
      <c r="H295" s="1" t="s">
        <v>2936</v>
      </c>
      <c r="I295" s="7" t="str" cm="1">
        <f t="array" ref="I295">IF(SUM(COUNTIF(Text_Preprocessing__2247[[#This Row],[full_text]],{"*makan siang gratis*";"*MBG*";"*makan gratis*";"*makan bergizi gratis*";"*makangratis*";"*makanan gratis*"})),"Relevan","Tidak Relevan")</f>
        <v>Relevan</v>
      </c>
      <c r="J295" s="1"/>
    </row>
    <row r="296" spans="1:10" ht="29" x14ac:dyDescent="0.35">
      <c r="A296" s="1">
        <f t="shared" si="4"/>
        <v>295</v>
      </c>
      <c r="B296" s="1" t="s">
        <v>2937</v>
      </c>
      <c r="C296" s="1" t="s">
        <v>519</v>
      </c>
      <c r="D296" s="1" t="s">
        <v>2938</v>
      </c>
      <c r="E296" s="1" t="s">
        <v>1692</v>
      </c>
      <c r="F296" s="1" t="s">
        <v>2939</v>
      </c>
      <c r="G296" s="1" t="s">
        <v>2939</v>
      </c>
      <c r="H296" s="1" t="s">
        <v>2940</v>
      </c>
      <c r="I296" s="7" t="str" cm="1">
        <f t="array" ref="I296">IF(SUM(COUNTIF(Text_Preprocessing__2247[[#This Row],[full_text]],{"*makan siang gratis*";"*MBG*";"*makan gratis*";"*makan bergizi gratis*";"*makangratis*";"*makanan gratis*"})),"Relevan","Tidak Relevan")</f>
        <v>Relevan</v>
      </c>
      <c r="J296" s="1"/>
    </row>
    <row r="297" spans="1:10" ht="29" x14ac:dyDescent="0.35">
      <c r="A297" s="1">
        <f t="shared" si="4"/>
        <v>296</v>
      </c>
      <c r="B297" s="1" t="s">
        <v>2941</v>
      </c>
      <c r="C297" s="1" t="s">
        <v>519</v>
      </c>
      <c r="D297" s="1" t="s">
        <v>2942</v>
      </c>
      <c r="E297" s="1" t="s">
        <v>1735</v>
      </c>
      <c r="F297" s="1" t="s">
        <v>2943</v>
      </c>
      <c r="G297" s="1" t="s">
        <v>2943</v>
      </c>
      <c r="H297" s="1" t="s">
        <v>2944</v>
      </c>
      <c r="I297" s="7" t="str" cm="1">
        <f t="array" ref="I297">IF(SUM(COUNTIF(Text_Preprocessing__2247[[#This Row],[full_text]],{"*makan siang gratis*";"*MBG*";"*makan gratis*";"*makan bergizi gratis*";"*makangratis*";"*makanan gratis*"})),"Relevan","Tidak Relevan")</f>
        <v>Relevan</v>
      </c>
      <c r="J297" s="1"/>
    </row>
    <row r="298" spans="1:10" ht="58" x14ac:dyDescent="0.35">
      <c r="A298" s="1">
        <f t="shared" si="4"/>
        <v>297</v>
      </c>
      <c r="B298" s="1" t="s">
        <v>2945</v>
      </c>
      <c r="C298" s="1" t="s">
        <v>522</v>
      </c>
      <c r="D298" s="1" t="s">
        <v>2946</v>
      </c>
      <c r="E298" s="1" t="s">
        <v>2008</v>
      </c>
      <c r="F298" s="1" t="s">
        <v>2947</v>
      </c>
      <c r="G298" s="1" t="s">
        <v>2948</v>
      </c>
      <c r="H298" s="1" t="s">
        <v>2949</v>
      </c>
      <c r="I298" s="7" t="str" cm="1">
        <f t="array" ref="I298">IF(SUM(COUNTIF(Text_Preprocessing__2247[[#This Row],[full_text]],{"*makan siang gratis*";"*MBG*";"*makan gratis*";"*makan bergizi gratis*";"*makangratis*";"*makanan gratis*"})),"Relevan","Tidak Relevan")</f>
        <v>Relevan</v>
      </c>
      <c r="J298" s="1"/>
    </row>
    <row r="299" spans="1:10" ht="58" x14ac:dyDescent="0.35">
      <c r="A299" s="1">
        <f t="shared" si="4"/>
        <v>298</v>
      </c>
      <c r="B299" s="1" t="s">
        <v>2950</v>
      </c>
      <c r="C299" s="1" t="s">
        <v>447</v>
      </c>
      <c r="D299" s="1" t="s">
        <v>2951</v>
      </c>
      <c r="E299" s="1" t="s">
        <v>1775</v>
      </c>
      <c r="F299" s="1" t="s">
        <v>2952</v>
      </c>
      <c r="G299" s="1" t="s">
        <v>2952</v>
      </c>
      <c r="H299" s="1" t="s">
        <v>2953</v>
      </c>
      <c r="I299" s="7" t="str" cm="1">
        <f t="array" ref="I299">IF(SUM(COUNTIF(Text_Preprocessing__2247[[#This Row],[full_text]],{"*makan siang gratis*";"*MBG*";"*makan gratis*";"*makan bergizi gratis*";"*makangratis*";"*makanan gratis*"})),"Relevan","Tidak Relevan")</f>
        <v>Relevan</v>
      </c>
      <c r="J299" s="1"/>
    </row>
    <row r="300" spans="1:10" ht="43.5" x14ac:dyDescent="0.35">
      <c r="A300" s="1">
        <f t="shared" si="4"/>
        <v>299</v>
      </c>
      <c r="B300" s="1" t="s">
        <v>2954</v>
      </c>
      <c r="C300" s="1" t="s">
        <v>525</v>
      </c>
      <c r="D300" s="1" t="s">
        <v>2955</v>
      </c>
      <c r="E300" s="1" t="s">
        <v>1764</v>
      </c>
      <c r="F300" s="1" t="s">
        <v>2956</v>
      </c>
      <c r="G300" s="1" t="s">
        <v>2956</v>
      </c>
      <c r="H300" s="1" t="s">
        <v>2957</v>
      </c>
      <c r="I300" s="7" t="str" cm="1">
        <f t="array" ref="I300">IF(SUM(COUNTIF(Text_Preprocessing__2247[[#This Row],[full_text]],{"*makan siang gratis*";"*MBG*";"*makan gratis*";"*makan bergizi gratis*";"*makangratis*";"*makanan gratis*"})),"Relevan","Tidak Relevan")</f>
        <v>Relevan</v>
      </c>
      <c r="J300" s="1"/>
    </row>
    <row r="301" spans="1:10" ht="58" x14ac:dyDescent="0.35">
      <c r="A301" s="1">
        <f t="shared" si="4"/>
        <v>300</v>
      </c>
      <c r="B301" s="1" t="s">
        <v>2958</v>
      </c>
      <c r="C301" s="1" t="s">
        <v>447</v>
      </c>
      <c r="D301" s="1" t="s">
        <v>2959</v>
      </c>
      <c r="E301" s="1" t="s">
        <v>2442</v>
      </c>
      <c r="F301" s="1" t="s">
        <v>2960</v>
      </c>
      <c r="G301" s="1" t="s">
        <v>2960</v>
      </c>
      <c r="H301" s="1" t="s">
        <v>2961</v>
      </c>
      <c r="I301" s="7" t="str" cm="1">
        <f t="array" ref="I301">IF(SUM(COUNTIF(Text_Preprocessing__2247[[#This Row],[full_text]],{"*makan siang gratis*";"*MBG*";"*makan gratis*";"*makan bergizi gratis*";"*makangratis*";"*makanan gratis*"})),"Relevan","Tidak Relevan")</f>
        <v>Relevan</v>
      </c>
      <c r="J301" s="1"/>
    </row>
    <row r="302" spans="1:10" x14ac:dyDescent="0.35">
      <c r="A302" s="1">
        <f t="shared" si="4"/>
        <v>301</v>
      </c>
      <c r="B302" s="1" t="s">
        <v>2962</v>
      </c>
      <c r="C302" s="1" t="s">
        <v>528</v>
      </c>
      <c r="D302" s="1" t="s">
        <v>2963</v>
      </c>
      <c r="E302" s="1" t="s">
        <v>1596</v>
      </c>
      <c r="F302" s="1" t="s">
        <v>2964</v>
      </c>
      <c r="G302" s="1" t="s">
        <v>2965</v>
      </c>
      <c r="H302" s="1" t="s">
        <v>2966</v>
      </c>
      <c r="I302" s="7" t="str" cm="1">
        <f t="array" ref="I302">IF(SUM(COUNTIF(Text_Preprocessing__2247[[#This Row],[full_text]],{"*makan siang gratis*";"*MBG*";"*makan gratis*";"*makan bergizi gratis*";"*makangratis*";"*makanan gratis*"})),"Relevan","Tidak Relevan")</f>
        <v>Tidak Relevan</v>
      </c>
      <c r="J302" s="1" t="s">
        <v>3622</v>
      </c>
    </row>
    <row r="303" spans="1:10" ht="58" x14ac:dyDescent="0.35">
      <c r="A303" s="1">
        <f t="shared" si="4"/>
        <v>302</v>
      </c>
      <c r="B303" s="1" t="s">
        <v>2967</v>
      </c>
      <c r="C303" s="1" t="s">
        <v>442</v>
      </c>
      <c r="D303" s="1" t="s">
        <v>2968</v>
      </c>
      <c r="E303" s="1" t="s">
        <v>2609</v>
      </c>
      <c r="F303" s="1" t="s">
        <v>2969</v>
      </c>
      <c r="G303" s="1" t="s">
        <v>2969</v>
      </c>
      <c r="H303" s="1" t="s">
        <v>2970</v>
      </c>
      <c r="I303" s="7" t="str" cm="1">
        <f t="array" ref="I303">IF(SUM(COUNTIF(Text_Preprocessing__2247[[#This Row],[full_text]],{"*makan siang gratis*";"*MBG*";"*makan gratis*";"*makan bergizi gratis*";"*makangratis*";"*makanan gratis*"})),"Relevan","Tidak Relevan")</f>
        <v>Relevan</v>
      </c>
      <c r="J303" s="1"/>
    </row>
    <row r="304" spans="1:10" ht="43.5" x14ac:dyDescent="0.35">
      <c r="A304" s="1">
        <f t="shared" si="4"/>
        <v>303</v>
      </c>
      <c r="B304" s="1" t="s">
        <v>2971</v>
      </c>
      <c r="C304" s="1" t="s">
        <v>531</v>
      </c>
      <c r="D304" s="1" t="s">
        <v>2972</v>
      </c>
      <c r="E304" s="1" t="s">
        <v>2782</v>
      </c>
      <c r="F304" s="1" t="s">
        <v>2973</v>
      </c>
      <c r="G304" s="1" t="s">
        <v>2973</v>
      </c>
      <c r="H304" s="1" t="s">
        <v>2974</v>
      </c>
      <c r="I304" s="7" t="str" cm="1">
        <f t="array" ref="I304">IF(SUM(COUNTIF(Text_Preprocessing__2247[[#This Row],[full_text]],{"*makan siang gratis*";"*MBG*";"*makan gratis*";"*makan bergizi gratis*";"*makangratis*";"*makanan gratis*"})),"Relevan","Tidak Relevan")</f>
        <v>Relevan</v>
      </c>
      <c r="J304" s="1"/>
    </row>
    <row r="305" spans="1:10" ht="58" x14ac:dyDescent="0.35">
      <c r="A305" s="1">
        <f t="shared" si="4"/>
        <v>304</v>
      </c>
      <c r="B305" s="1" t="s">
        <v>2975</v>
      </c>
      <c r="C305" s="1" t="s">
        <v>533</v>
      </c>
      <c r="D305" s="1" t="s">
        <v>2976</v>
      </c>
      <c r="E305" s="1" t="s">
        <v>2977</v>
      </c>
      <c r="F305" s="1" t="s">
        <v>2978</v>
      </c>
      <c r="G305" s="1" t="s">
        <v>2979</v>
      </c>
      <c r="H305" s="1" t="s">
        <v>2980</v>
      </c>
      <c r="I305" s="7" t="str" cm="1">
        <f t="array" ref="I305">IF(SUM(COUNTIF(Text_Preprocessing__2247[[#This Row],[full_text]],{"*makan siang gratis*";"*MBG*";"*makan gratis*";"*makan bergizi gratis*";"*makangratis*";"*makanan gratis*"})),"Relevan","Tidak Relevan")</f>
        <v>Tidak Relevan</v>
      </c>
      <c r="J305" s="1" t="s">
        <v>3622</v>
      </c>
    </row>
    <row r="306" spans="1:10" ht="58" x14ac:dyDescent="0.35">
      <c r="A306" s="1">
        <f t="shared" si="4"/>
        <v>305</v>
      </c>
      <c r="B306" s="1" t="s">
        <v>2981</v>
      </c>
      <c r="C306" s="1" t="s">
        <v>535</v>
      </c>
      <c r="D306" s="1" t="s">
        <v>2982</v>
      </c>
      <c r="E306" s="1" t="s">
        <v>2977</v>
      </c>
      <c r="F306" s="1" t="s">
        <v>2983</v>
      </c>
      <c r="G306" s="1" t="s">
        <v>2984</v>
      </c>
      <c r="H306" s="1" t="s">
        <v>2985</v>
      </c>
      <c r="I306" s="7" t="str" cm="1">
        <f t="array" ref="I306">IF(SUM(COUNTIF(Text_Preprocessing__2247[[#This Row],[full_text]],{"*makan siang gratis*";"*MBG*";"*makan gratis*";"*makan bergizi gratis*";"*makangratis*";"*makanan gratis*"})),"Relevan","Tidak Relevan")</f>
        <v>Relevan</v>
      </c>
      <c r="J306" s="1"/>
    </row>
    <row r="307" spans="1:10" ht="43.5" x14ac:dyDescent="0.35">
      <c r="A307" s="1">
        <f t="shared" si="4"/>
        <v>306</v>
      </c>
      <c r="B307" s="1" t="s">
        <v>2986</v>
      </c>
      <c r="C307" s="1" t="s">
        <v>537</v>
      </c>
      <c r="D307" s="1" t="s">
        <v>2987</v>
      </c>
      <c r="E307" s="1" t="s">
        <v>2258</v>
      </c>
      <c r="F307" s="1" t="s">
        <v>2988</v>
      </c>
      <c r="G307" s="1" t="s">
        <v>2988</v>
      </c>
      <c r="H307" s="1" t="s">
        <v>2989</v>
      </c>
      <c r="I307" s="7" t="str" cm="1">
        <f t="array" ref="I307">IF(SUM(COUNTIF(Text_Preprocessing__2247[[#This Row],[full_text]],{"*makan siang gratis*";"*MBG*";"*makan gratis*";"*makan bergizi gratis*";"*makangratis*";"*makanan gratis*"})),"Relevan","Tidak Relevan")</f>
        <v>Relevan</v>
      </c>
      <c r="J307" s="1"/>
    </row>
    <row r="308" spans="1:10" ht="43.5" x14ac:dyDescent="0.35">
      <c r="A308" s="1">
        <f t="shared" si="4"/>
        <v>307</v>
      </c>
      <c r="B308" s="1" t="s">
        <v>2990</v>
      </c>
      <c r="C308" s="1" t="s">
        <v>539</v>
      </c>
      <c r="D308" s="1" t="s">
        <v>2991</v>
      </c>
      <c r="E308" s="1" t="s">
        <v>2164</v>
      </c>
      <c r="F308" s="1" t="s">
        <v>2992</v>
      </c>
      <c r="G308" s="1" t="s">
        <v>2993</v>
      </c>
      <c r="H308" s="1" t="s">
        <v>2994</v>
      </c>
      <c r="I308" s="7" t="str" cm="1">
        <f t="array" ref="I308">IF(SUM(COUNTIF(Text_Preprocessing__2247[[#This Row],[full_text]],{"*makan siang gratis*";"*MBG*";"*makan gratis*";"*makan bergizi gratis*";"*makangratis*";"*makanan gratis*"})),"Relevan","Tidak Relevan")</f>
        <v>Tidak Relevan</v>
      </c>
      <c r="J308" s="1" t="s">
        <v>3622</v>
      </c>
    </row>
    <row r="309" spans="1:10" x14ac:dyDescent="0.35">
      <c r="A309" s="1">
        <f t="shared" si="4"/>
        <v>308</v>
      </c>
      <c r="B309" s="1" t="s">
        <v>2995</v>
      </c>
      <c r="C309" s="1" t="s">
        <v>541</v>
      </c>
      <c r="D309" s="1" t="s">
        <v>2996</v>
      </c>
      <c r="E309" s="1" t="s">
        <v>1804</v>
      </c>
      <c r="F309" s="1" t="s">
        <v>2996</v>
      </c>
      <c r="G309" s="1" t="s">
        <v>2996</v>
      </c>
      <c r="H309" s="1" t="s">
        <v>2997</v>
      </c>
      <c r="I309" s="7" t="str" cm="1">
        <f t="array" ref="I309">IF(SUM(COUNTIF(Text_Preprocessing__2247[[#This Row],[full_text]],{"*makan siang gratis*";"*MBG*";"*makan gratis*";"*makan bergizi gratis*";"*makangratis*";"*makanan gratis*"})),"Relevan","Tidak Relevan")</f>
        <v>Relevan</v>
      </c>
      <c r="J309" s="1"/>
    </row>
    <row r="310" spans="1:10" ht="58" x14ac:dyDescent="0.35">
      <c r="A310" s="1">
        <f t="shared" si="4"/>
        <v>309</v>
      </c>
      <c r="B310" s="1" t="s">
        <v>2998</v>
      </c>
      <c r="C310" s="1" t="s">
        <v>543</v>
      </c>
      <c r="D310" s="1" t="s">
        <v>2999</v>
      </c>
      <c r="E310" s="1" t="s">
        <v>2609</v>
      </c>
      <c r="F310" s="1" t="s">
        <v>3000</v>
      </c>
      <c r="G310" s="1" t="s">
        <v>3000</v>
      </c>
      <c r="H310" s="1" t="s">
        <v>3001</v>
      </c>
      <c r="I310" s="7" t="str" cm="1">
        <f t="array" ref="I310">IF(SUM(COUNTIF(Text_Preprocessing__2247[[#This Row],[full_text]],{"*makan siang gratis*";"*MBG*";"*makan gratis*";"*makan bergizi gratis*";"*makangratis*";"*makanan gratis*"})),"Relevan","Tidak Relevan")</f>
        <v>Relevan</v>
      </c>
      <c r="J310" s="1"/>
    </row>
    <row r="311" spans="1:10" ht="58" x14ac:dyDescent="0.35">
      <c r="A311" s="1">
        <f t="shared" si="4"/>
        <v>310</v>
      </c>
      <c r="B311" s="1" t="s">
        <v>3002</v>
      </c>
      <c r="C311" s="1" t="s">
        <v>545</v>
      </c>
      <c r="D311" s="1" t="s">
        <v>3003</v>
      </c>
      <c r="E311" s="1" t="s">
        <v>2082</v>
      </c>
      <c r="F311" s="1" t="s">
        <v>3004</v>
      </c>
      <c r="G311" s="1" t="s">
        <v>3004</v>
      </c>
      <c r="H311" s="1" t="s">
        <v>3005</v>
      </c>
      <c r="I311" s="7" t="str" cm="1">
        <f t="array" ref="I311">IF(SUM(COUNTIF(Text_Preprocessing__2247[[#This Row],[full_text]],{"*makan siang gratis*";"*MBG*";"*makan gratis*";"*makan bergizi gratis*";"*makangratis*";"*makanan gratis*"})),"Relevan","Tidak Relevan")</f>
        <v>Relevan</v>
      </c>
      <c r="J311" s="1"/>
    </row>
    <row r="312" spans="1:10" ht="43.5" x14ac:dyDescent="0.35">
      <c r="A312" s="1">
        <f t="shared" si="4"/>
        <v>311</v>
      </c>
      <c r="B312" s="1" t="s">
        <v>3006</v>
      </c>
      <c r="C312" s="1" t="s">
        <v>547</v>
      </c>
      <c r="D312" s="1" t="s">
        <v>3007</v>
      </c>
      <c r="E312" s="1" t="s">
        <v>1719</v>
      </c>
      <c r="F312" s="1" t="s">
        <v>3008</v>
      </c>
      <c r="G312" s="1" t="s">
        <v>3008</v>
      </c>
      <c r="H312" s="1" t="s">
        <v>3009</v>
      </c>
      <c r="I312" s="7" t="str" cm="1">
        <f t="array" ref="I312">IF(SUM(COUNTIF(Text_Preprocessing__2247[[#This Row],[full_text]],{"*makan siang gratis*";"*MBG*";"*makan gratis*";"*makan bergizi gratis*";"*makangratis*";"*makanan gratis*"})),"Relevan","Tidak Relevan")</f>
        <v>Relevan</v>
      </c>
      <c r="J312" s="1"/>
    </row>
    <row r="313" spans="1:10" ht="58" x14ac:dyDescent="0.35">
      <c r="A313" s="1">
        <f t="shared" si="4"/>
        <v>312</v>
      </c>
      <c r="B313" s="1" t="s">
        <v>3010</v>
      </c>
      <c r="C313" s="1" t="s">
        <v>549</v>
      </c>
      <c r="D313" s="1" t="s">
        <v>3011</v>
      </c>
      <c r="E313" s="1" t="s">
        <v>3012</v>
      </c>
      <c r="F313" s="1" t="s">
        <v>3013</v>
      </c>
      <c r="G313" s="1" t="s">
        <v>3013</v>
      </c>
      <c r="H313" s="1" t="s">
        <v>3014</v>
      </c>
      <c r="I313" s="7" t="str" cm="1">
        <f t="array" ref="I313">IF(SUM(COUNTIF(Text_Preprocessing__2247[[#This Row],[full_text]],{"*makan siang gratis*";"*MBG*";"*makan gratis*";"*makan bergizi gratis*";"*makangratis*";"*makanan gratis*"})),"Relevan","Tidak Relevan")</f>
        <v>Relevan</v>
      </c>
      <c r="J313" s="1"/>
    </row>
    <row r="314" spans="1:10" ht="29" x14ac:dyDescent="0.35">
      <c r="A314" s="1">
        <f t="shared" si="4"/>
        <v>313</v>
      </c>
      <c r="B314" s="1" t="s">
        <v>3015</v>
      </c>
      <c r="C314" s="1" t="s">
        <v>551</v>
      </c>
      <c r="D314" s="1" t="s">
        <v>3016</v>
      </c>
      <c r="E314" s="1" t="s">
        <v>1844</v>
      </c>
      <c r="F314" s="1" t="s">
        <v>3017</v>
      </c>
      <c r="G314" s="1" t="s">
        <v>3017</v>
      </c>
      <c r="H314" s="1" t="s">
        <v>3018</v>
      </c>
      <c r="I314" s="7" t="str" cm="1">
        <f t="array" ref="I314">IF(SUM(COUNTIF(Text_Preprocessing__2247[[#This Row],[full_text]],{"*makan siang gratis*";"*MBG*";"*makan gratis*";"*makan bergizi gratis*";"*makangratis*";"*makanan gratis*"})),"Relevan","Tidak Relevan")</f>
        <v>Relevan</v>
      </c>
      <c r="J314" s="1"/>
    </row>
    <row r="315" spans="1:10" ht="72.5" x14ac:dyDescent="0.35">
      <c r="A315" s="1">
        <f t="shared" si="4"/>
        <v>314</v>
      </c>
      <c r="B315" s="1" t="s">
        <v>3019</v>
      </c>
      <c r="C315" s="1" t="s">
        <v>555</v>
      </c>
      <c r="D315" s="1" t="s">
        <v>3020</v>
      </c>
      <c r="E315" s="1" t="s">
        <v>3021</v>
      </c>
      <c r="F315" s="1" t="s">
        <v>3022</v>
      </c>
      <c r="G315" s="1" t="s">
        <v>3023</v>
      </c>
      <c r="H315" s="1" t="s">
        <v>3024</v>
      </c>
      <c r="I315" s="7" t="str" cm="1">
        <f t="array" ref="I315">IF(SUM(COUNTIF(Text_Preprocessing__2247[[#This Row],[full_text]],{"*makan siang gratis*";"*MBG*";"*makan gratis*";"*makan bergizi gratis*";"*makangratis*";"*makanan gratis*"})),"Relevan","Tidak Relevan")</f>
        <v>Relevan</v>
      </c>
      <c r="J315" s="1"/>
    </row>
    <row r="316" spans="1:10" ht="43.5" x14ac:dyDescent="0.35">
      <c r="A316" s="1">
        <f t="shared" si="4"/>
        <v>315</v>
      </c>
      <c r="B316" s="1" t="s">
        <v>3025</v>
      </c>
      <c r="C316" s="1" t="s">
        <v>557</v>
      </c>
      <c r="D316" s="1" t="s">
        <v>3026</v>
      </c>
      <c r="E316" s="1" t="s">
        <v>2092</v>
      </c>
      <c r="F316" s="1" t="s">
        <v>3027</v>
      </c>
      <c r="G316" s="1" t="s">
        <v>3028</v>
      </c>
      <c r="H316" s="1" t="s">
        <v>3029</v>
      </c>
      <c r="I316" s="7" t="str" cm="1">
        <f t="array" ref="I316">IF(SUM(COUNTIF(Text_Preprocessing__2247[[#This Row],[full_text]],{"*makan siang gratis*";"*MBG*";"*makan gratis*";"*makan bergizi gratis*";"*makangratis*";"*makanan gratis*"})),"Relevan","Tidak Relevan")</f>
        <v>Tidak Relevan</v>
      </c>
      <c r="J316" s="1" t="s">
        <v>3622</v>
      </c>
    </row>
    <row r="317" spans="1:10" ht="29" x14ac:dyDescent="0.35">
      <c r="A317" s="1">
        <f t="shared" si="4"/>
        <v>316</v>
      </c>
      <c r="B317" s="1" t="s">
        <v>3030</v>
      </c>
      <c r="C317" s="1" t="s">
        <v>559</v>
      </c>
      <c r="D317" s="1" t="s">
        <v>3031</v>
      </c>
      <c r="E317" s="1" t="s">
        <v>2348</v>
      </c>
      <c r="F317" s="1" t="s">
        <v>3032</v>
      </c>
      <c r="G317" s="1" t="s">
        <v>3032</v>
      </c>
      <c r="H317" s="1" t="s">
        <v>3033</v>
      </c>
      <c r="I317" s="7" t="str" cm="1">
        <f t="array" ref="I317">IF(SUM(COUNTIF(Text_Preprocessing__2247[[#This Row],[full_text]],{"*makan siang gratis*";"*MBG*";"*makan gratis*";"*makan bergizi gratis*";"*makangratis*";"*makanan gratis*"})),"Relevan","Tidak Relevan")</f>
        <v>Relevan</v>
      </c>
      <c r="J317" s="1"/>
    </row>
    <row r="318" spans="1:10" ht="58" x14ac:dyDescent="0.35">
      <c r="A318" s="1">
        <f t="shared" si="4"/>
        <v>317</v>
      </c>
      <c r="B318" s="1" t="s">
        <v>3034</v>
      </c>
      <c r="C318" s="1" t="s">
        <v>561</v>
      </c>
      <c r="D318" s="1" t="s">
        <v>3035</v>
      </c>
      <c r="E318" s="1" t="s">
        <v>3036</v>
      </c>
      <c r="F318" s="1" t="s">
        <v>3037</v>
      </c>
      <c r="G318" s="1" t="s">
        <v>3037</v>
      </c>
      <c r="H318" s="1" t="s">
        <v>3038</v>
      </c>
      <c r="I318" s="7" t="str" cm="1">
        <f t="array" ref="I318">IF(SUM(COUNTIF(Text_Preprocessing__2247[[#This Row],[full_text]],{"*makan siang gratis*";"*MBG*";"*makan gratis*";"*makan bergizi gratis*";"*makangratis*";"*makanan gratis*"})),"Relevan","Tidak Relevan")</f>
        <v>Relevan</v>
      </c>
      <c r="J318" s="1"/>
    </row>
    <row r="319" spans="1:10" ht="58" x14ac:dyDescent="0.35">
      <c r="A319" s="1">
        <f t="shared" si="4"/>
        <v>318</v>
      </c>
      <c r="B319" s="1" t="s">
        <v>3039</v>
      </c>
      <c r="C319" s="1" t="s">
        <v>563</v>
      </c>
      <c r="D319" s="1" t="s">
        <v>3040</v>
      </c>
      <c r="E319" s="1" t="s">
        <v>3041</v>
      </c>
      <c r="F319" s="1" t="s">
        <v>3042</v>
      </c>
      <c r="G319" s="1" t="s">
        <v>3042</v>
      </c>
      <c r="H319" s="1" t="s">
        <v>3043</v>
      </c>
      <c r="I319" s="7" t="str" cm="1">
        <f t="array" ref="I319">IF(SUM(COUNTIF(Text_Preprocessing__2247[[#This Row],[full_text]],{"*makan siang gratis*";"*MBG*";"*makan gratis*";"*makan bergizi gratis*";"*makangratis*";"*makanan gratis*"})),"Relevan","Tidak Relevan")</f>
        <v>Relevan</v>
      </c>
      <c r="J319" s="1"/>
    </row>
    <row r="320" spans="1:10" ht="58" x14ac:dyDescent="0.35">
      <c r="A320" s="1">
        <f t="shared" si="4"/>
        <v>319</v>
      </c>
      <c r="B320" s="1" t="s">
        <v>3044</v>
      </c>
      <c r="C320" s="1" t="s">
        <v>565</v>
      </c>
      <c r="D320" s="1" t="s">
        <v>3045</v>
      </c>
      <c r="E320" s="1" t="s">
        <v>2159</v>
      </c>
      <c r="F320" s="1" t="s">
        <v>3046</v>
      </c>
      <c r="G320" s="1" t="s">
        <v>3046</v>
      </c>
      <c r="H320" s="1" t="s">
        <v>3047</v>
      </c>
      <c r="I320" s="7" t="str" cm="1">
        <f t="array" ref="I320">IF(SUM(COUNTIF(Text_Preprocessing__2247[[#This Row],[full_text]],{"*makan siang gratis*";"*MBG*";"*makan gratis*";"*makan bergizi gratis*";"*makangratis*";"*makanan gratis*"})),"Relevan","Tidak Relevan")</f>
        <v>Relevan</v>
      </c>
      <c r="J320" s="1"/>
    </row>
    <row r="321" spans="1:10" ht="58" x14ac:dyDescent="0.35">
      <c r="A321" s="1">
        <f t="shared" si="4"/>
        <v>320</v>
      </c>
      <c r="B321" s="1" t="s">
        <v>3048</v>
      </c>
      <c r="C321" s="1" t="s">
        <v>567</v>
      </c>
      <c r="D321" s="1" t="s">
        <v>3049</v>
      </c>
      <c r="E321" s="1" t="s">
        <v>2312</v>
      </c>
      <c r="F321" s="1" t="s">
        <v>3050</v>
      </c>
      <c r="G321" s="1" t="s">
        <v>3050</v>
      </c>
      <c r="H321" s="1" t="s">
        <v>3051</v>
      </c>
      <c r="I321" s="7" t="str" cm="1">
        <f t="array" ref="I321">IF(SUM(COUNTIF(Text_Preprocessing__2247[[#This Row],[full_text]],{"*makan siang gratis*";"*MBG*";"*makan gratis*";"*makan bergizi gratis*";"*makangratis*";"*makanan gratis*"})),"Relevan","Tidak Relevan")</f>
        <v>Relevan</v>
      </c>
      <c r="J321" s="1"/>
    </row>
    <row r="322" spans="1:10" ht="58" x14ac:dyDescent="0.35">
      <c r="A322" s="1">
        <f t="shared" si="4"/>
        <v>321</v>
      </c>
      <c r="B322" s="1" t="s">
        <v>3052</v>
      </c>
      <c r="C322" s="1" t="s">
        <v>569</v>
      </c>
      <c r="D322" s="1" t="s">
        <v>3053</v>
      </c>
      <c r="E322" s="1" t="s">
        <v>1629</v>
      </c>
      <c r="F322" s="1" t="s">
        <v>3054</v>
      </c>
      <c r="G322" s="1" t="s">
        <v>3054</v>
      </c>
      <c r="H322" s="1" t="s">
        <v>3055</v>
      </c>
      <c r="I322" s="7" t="str" cm="1">
        <f t="array" ref="I322">IF(SUM(COUNTIF(Text_Preprocessing__2247[[#This Row],[full_text]],{"*makan siang gratis*";"*MBG*";"*makan gratis*";"*makan bergizi gratis*";"*makangratis*";"*makanan gratis*"})),"Relevan","Tidak Relevan")</f>
        <v>Relevan</v>
      </c>
      <c r="J322" s="1"/>
    </row>
    <row r="323" spans="1:10" ht="43.5" x14ac:dyDescent="0.35">
      <c r="A323" s="1">
        <f t="shared" ref="A323:A386" si="5">SUM(A322+1)</f>
        <v>322</v>
      </c>
      <c r="B323" s="1" t="s">
        <v>3056</v>
      </c>
      <c r="C323" s="1" t="s">
        <v>571</v>
      </c>
      <c r="D323" s="1" t="s">
        <v>3057</v>
      </c>
      <c r="E323" s="1" t="s">
        <v>1990</v>
      </c>
      <c r="F323" s="1" t="s">
        <v>3058</v>
      </c>
      <c r="G323" s="1" t="s">
        <v>3058</v>
      </c>
      <c r="H323" s="1" t="s">
        <v>3059</v>
      </c>
      <c r="I323" s="7" t="str" cm="1">
        <f t="array" ref="I323">IF(SUM(COUNTIF(Text_Preprocessing__2247[[#This Row],[full_text]],{"*makan siang gratis*";"*MBG*";"*makan gratis*";"*makan bergizi gratis*";"*makangratis*";"*makanan gratis*"})),"Relevan","Tidak Relevan")</f>
        <v>Relevan</v>
      </c>
      <c r="J323" s="1"/>
    </row>
    <row r="324" spans="1:10" ht="29" x14ac:dyDescent="0.35">
      <c r="A324" s="1">
        <f t="shared" si="5"/>
        <v>323</v>
      </c>
      <c r="B324" s="1" t="s">
        <v>3060</v>
      </c>
      <c r="C324" s="1" t="s">
        <v>484</v>
      </c>
      <c r="D324" s="1" t="s">
        <v>3061</v>
      </c>
      <c r="E324" s="1" t="s">
        <v>2348</v>
      </c>
      <c r="F324" s="1" t="s">
        <v>3062</v>
      </c>
      <c r="G324" s="1" t="s">
        <v>3062</v>
      </c>
      <c r="H324" s="1" t="s">
        <v>3063</v>
      </c>
      <c r="I324" s="7" t="str" cm="1">
        <f t="array" ref="I324">IF(SUM(COUNTIF(Text_Preprocessing__2247[[#This Row],[full_text]],{"*makan siang gratis*";"*MBG*";"*makan gratis*";"*makan bergizi gratis*";"*makangratis*";"*makanan gratis*"})),"Relevan","Tidak Relevan")</f>
        <v>Relevan</v>
      </c>
      <c r="J324" s="1"/>
    </row>
    <row r="325" spans="1:10" ht="58" x14ac:dyDescent="0.35">
      <c r="A325" s="1">
        <f t="shared" si="5"/>
        <v>324</v>
      </c>
      <c r="B325" s="1" t="s">
        <v>3064</v>
      </c>
      <c r="C325" s="1" t="s">
        <v>575</v>
      </c>
      <c r="D325" s="1" t="s">
        <v>3065</v>
      </c>
      <c r="E325" s="1" t="s">
        <v>2312</v>
      </c>
      <c r="F325" s="1" t="s">
        <v>3066</v>
      </c>
      <c r="G325" s="1" t="s">
        <v>3066</v>
      </c>
      <c r="H325" s="1" t="s">
        <v>3067</v>
      </c>
      <c r="I325" s="7" t="str" cm="1">
        <f t="array" ref="I325">IF(SUM(COUNTIF(Text_Preprocessing__2247[[#This Row],[full_text]],{"*makan siang gratis*";"*MBG*";"*makan gratis*";"*makan bergizi gratis*";"*makangratis*";"*makanan gratis*"})),"Relevan","Tidak Relevan")</f>
        <v>Relevan</v>
      </c>
      <c r="J325" s="1"/>
    </row>
    <row r="326" spans="1:10" ht="58" x14ac:dyDescent="0.35">
      <c r="A326" s="1">
        <f t="shared" si="5"/>
        <v>325</v>
      </c>
      <c r="B326" s="1" t="s">
        <v>3068</v>
      </c>
      <c r="C326" s="1" t="s">
        <v>577</v>
      </c>
      <c r="D326" s="1" t="s">
        <v>3069</v>
      </c>
      <c r="E326" s="1" t="s">
        <v>3070</v>
      </c>
      <c r="F326" s="1" t="s">
        <v>3071</v>
      </c>
      <c r="G326" s="1" t="s">
        <v>3071</v>
      </c>
      <c r="H326" s="1" t="s">
        <v>3072</v>
      </c>
      <c r="I326" s="7" t="str" cm="1">
        <f t="array" ref="I326">IF(SUM(COUNTIF(Text_Preprocessing__2247[[#This Row],[full_text]],{"*makan siang gratis*";"*MBG*";"*makan gratis*";"*makan bergizi gratis*";"*makangratis*";"*makanan gratis*"})),"Relevan","Tidak Relevan")</f>
        <v>Relevan</v>
      </c>
      <c r="J326" s="1"/>
    </row>
    <row r="327" spans="1:10" ht="43.5" x14ac:dyDescent="0.35">
      <c r="A327" s="1">
        <f t="shared" si="5"/>
        <v>326</v>
      </c>
      <c r="B327" s="1" t="s">
        <v>3073</v>
      </c>
      <c r="C327" s="1" t="s">
        <v>577</v>
      </c>
      <c r="D327" s="1" t="s">
        <v>3074</v>
      </c>
      <c r="E327" s="1" t="s">
        <v>1764</v>
      </c>
      <c r="F327" s="1" t="s">
        <v>3075</v>
      </c>
      <c r="G327" s="1" t="s">
        <v>3075</v>
      </c>
      <c r="H327" s="1" t="s">
        <v>3076</v>
      </c>
      <c r="I327" s="7" t="str" cm="1">
        <f t="array" ref="I327">IF(SUM(COUNTIF(Text_Preprocessing__2247[[#This Row],[full_text]],{"*makan siang gratis*";"*MBG*";"*makan gratis*";"*makan bergizi gratis*";"*makangratis*";"*makanan gratis*"})),"Relevan","Tidak Relevan")</f>
        <v>Relevan</v>
      </c>
      <c r="J327" s="1"/>
    </row>
    <row r="328" spans="1:10" ht="58" x14ac:dyDescent="0.35">
      <c r="A328" s="1">
        <f t="shared" si="5"/>
        <v>327</v>
      </c>
      <c r="B328" s="1" t="s">
        <v>3077</v>
      </c>
      <c r="C328" s="1" t="s">
        <v>435</v>
      </c>
      <c r="D328" s="1" t="s">
        <v>3078</v>
      </c>
      <c r="E328" s="1" t="s">
        <v>3079</v>
      </c>
      <c r="F328" s="1" t="s">
        <v>3080</v>
      </c>
      <c r="G328" s="1" t="s">
        <v>3080</v>
      </c>
      <c r="H328" s="1" t="s">
        <v>3081</v>
      </c>
      <c r="I328" s="7" t="str" cm="1">
        <f t="array" ref="I328">IF(SUM(COUNTIF(Text_Preprocessing__2247[[#This Row],[full_text]],{"*makan siang gratis*";"*MBG*";"*makan gratis*";"*makan bergizi gratis*";"*makangratis*";"*makanan gratis*"})),"Relevan","Tidak Relevan")</f>
        <v>Relevan</v>
      </c>
      <c r="J328" s="1"/>
    </row>
    <row r="329" spans="1:10" ht="58" x14ac:dyDescent="0.35">
      <c r="A329" s="1">
        <f t="shared" si="5"/>
        <v>328</v>
      </c>
      <c r="B329" s="1" t="s">
        <v>3082</v>
      </c>
      <c r="C329" s="1" t="s">
        <v>76</v>
      </c>
      <c r="D329" s="1" t="s">
        <v>3083</v>
      </c>
      <c r="E329" s="1" t="s">
        <v>2796</v>
      </c>
      <c r="F329" s="1" t="s">
        <v>3084</v>
      </c>
      <c r="G329" s="1" t="s">
        <v>3084</v>
      </c>
      <c r="H329" s="1" t="s">
        <v>3085</v>
      </c>
      <c r="I329" s="7" t="str" cm="1">
        <f t="array" ref="I329">IF(SUM(COUNTIF(Text_Preprocessing__2247[[#This Row],[full_text]],{"*makan siang gratis*";"*MBG*";"*makan gratis*";"*makan bergizi gratis*";"*makangratis*";"*makanan gratis*"})),"Relevan","Tidak Relevan")</f>
        <v>Relevan</v>
      </c>
      <c r="J329" s="1"/>
    </row>
    <row r="330" spans="1:10" ht="29" x14ac:dyDescent="0.35">
      <c r="A330" s="1">
        <f t="shared" si="5"/>
        <v>329</v>
      </c>
      <c r="B330" s="1" t="s">
        <v>3086</v>
      </c>
      <c r="C330" s="1" t="s">
        <v>582</v>
      </c>
      <c r="D330" s="1" t="s">
        <v>3087</v>
      </c>
      <c r="E330" s="1" t="s">
        <v>1613</v>
      </c>
      <c r="F330" s="1" t="s">
        <v>3088</v>
      </c>
      <c r="G330" s="1" t="s">
        <v>3089</v>
      </c>
      <c r="H330" s="1" t="s">
        <v>3090</v>
      </c>
      <c r="I330" s="7" t="str" cm="1">
        <f t="array" ref="I330">IF(SUM(COUNTIF(Text_Preprocessing__2247[[#This Row],[full_text]],{"*makan siang gratis*";"*MBG*";"*makan gratis*";"*makan bergizi gratis*";"*makangratis*";"*makanan gratis*"})),"Relevan","Tidak Relevan")</f>
        <v>Relevan</v>
      </c>
      <c r="J330" s="1"/>
    </row>
    <row r="331" spans="1:10" ht="58" x14ac:dyDescent="0.35">
      <c r="A331" s="1">
        <f t="shared" si="5"/>
        <v>330</v>
      </c>
      <c r="B331" s="1" t="s">
        <v>3091</v>
      </c>
      <c r="C331" s="1" t="s">
        <v>584</v>
      </c>
      <c r="D331" s="1" t="s">
        <v>3092</v>
      </c>
      <c r="E331" s="1" t="s">
        <v>3079</v>
      </c>
      <c r="F331" s="1" t="s">
        <v>3093</v>
      </c>
      <c r="G331" s="1" t="s">
        <v>3093</v>
      </c>
      <c r="H331" s="1" t="s">
        <v>3094</v>
      </c>
      <c r="I331" s="7" t="str" cm="1">
        <f t="array" ref="I331">IF(SUM(COUNTIF(Text_Preprocessing__2247[[#This Row],[full_text]],{"*makan siang gratis*";"*MBG*";"*makan gratis*";"*makan bergizi gratis*";"*makangratis*";"*makanan gratis*"})),"Relevan","Tidak Relevan")</f>
        <v>Tidak Relevan</v>
      </c>
      <c r="J331" s="1" t="s">
        <v>3622</v>
      </c>
    </row>
    <row r="332" spans="1:10" ht="43.5" x14ac:dyDescent="0.35">
      <c r="A332" s="1">
        <f t="shared" si="5"/>
        <v>331</v>
      </c>
      <c r="B332" s="1" t="s">
        <v>3095</v>
      </c>
      <c r="C332" s="1" t="s">
        <v>586</v>
      </c>
      <c r="D332" s="1" t="s">
        <v>3096</v>
      </c>
      <c r="E332" s="1" t="s">
        <v>1663</v>
      </c>
      <c r="F332" s="1" t="s">
        <v>3097</v>
      </c>
      <c r="G332" s="1" t="s">
        <v>3098</v>
      </c>
      <c r="H332" s="1" t="s">
        <v>3099</v>
      </c>
      <c r="I332" s="7" t="str" cm="1">
        <f t="array" ref="I332">IF(SUM(COUNTIF(Text_Preprocessing__2247[[#This Row],[full_text]],{"*makan siang gratis*";"*MBG*";"*makan gratis*";"*makan bergizi gratis*";"*makangratis*";"*makanan gratis*"})),"Relevan","Tidak Relevan")</f>
        <v>Tidak Relevan</v>
      </c>
      <c r="J332" s="1" t="s">
        <v>3622</v>
      </c>
    </row>
    <row r="333" spans="1:10" ht="58" x14ac:dyDescent="0.35">
      <c r="A333" s="1">
        <f t="shared" si="5"/>
        <v>332</v>
      </c>
      <c r="B333" s="1" t="s">
        <v>3100</v>
      </c>
      <c r="C333" s="1" t="s">
        <v>588</v>
      </c>
      <c r="D333" s="1" t="s">
        <v>3101</v>
      </c>
      <c r="E333" s="1" t="s">
        <v>2558</v>
      </c>
      <c r="F333" s="1" t="s">
        <v>3102</v>
      </c>
      <c r="G333" s="1" t="s">
        <v>3103</v>
      </c>
      <c r="H333" s="1" t="s">
        <v>3104</v>
      </c>
      <c r="I333" s="7" t="str" cm="1">
        <f t="array" ref="I333">IF(SUM(COUNTIF(Text_Preprocessing__2247[[#This Row],[full_text]],{"*makan siang gratis*";"*MBG*";"*makan gratis*";"*makan bergizi gratis*";"*makangratis*";"*makanan gratis*"})),"Relevan","Tidak Relevan")</f>
        <v>Relevan</v>
      </c>
      <c r="J333" s="1"/>
    </row>
    <row r="334" spans="1:10" ht="58" x14ac:dyDescent="0.35">
      <c r="A334" s="1">
        <f t="shared" si="5"/>
        <v>333</v>
      </c>
      <c r="B334" s="1" t="s">
        <v>3105</v>
      </c>
      <c r="C334" s="1" t="s">
        <v>590</v>
      </c>
      <c r="D334" s="1" t="s">
        <v>3106</v>
      </c>
      <c r="E334" s="1" t="s">
        <v>3107</v>
      </c>
      <c r="F334" s="1" t="s">
        <v>3108</v>
      </c>
      <c r="G334" s="1" t="s">
        <v>3109</v>
      </c>
      <c r="H334" s="1" t="s">
        <v>3110</v>
      </c>
      <c r="I334" s="7" t="str" cm="1">
        <f t="array" ref="I334">IF(SUM(COUNTIF(Text_Preprocessing__2247[[#This Row],[full_text]],{"*makan siang gratis*";"*MBG*";"*makan gratis*";"*makan bergizi gratis*";"*makangratis*";"*makanan gratis*"})),"Relevan","Tidak Relevan")</f>
        <v>Relevan</v>
      </c>
      <c r="J334" s="1"/>
    </row>
    <row r="335" spans="1:10" ht="58" x14ac:dyDescent="0.35">
      <c r="A335" s="1">
        <f t="shared" si="5"/>
        <v>334</v>
      </c>
      <c r="B335" s="1" t="s">
        <v>3111</v>
      </c>
      <c r="C335" s="1" t="s">
        <v>592</v>
      </c>
      <c r="D335" s="1" t="s">
        <v>3112</v>
      </c>
      <c r="E335" s="1" t="s">
        <v>3113</v>
      </c>
      <c r="F335" s="1" t="s">
        <v>3114</v>
      </c>
      <c r="G335" s="1" t="s">
        <v>3114</v>
      </c>
      <c r="H335" s="1" t="s">
        <v>3115</v>
      </c>
      <c r="I335" s="7" t="str" cm="1">
        <f t="array" ref="I335">IF(SUM(COUNTIF(Text_Preprocessing__2247[[#This Row],[full_text]],{"*makan siang gratis*";"*MBG*";"*makan gratis*";"*makan bergizi gratis*";"*makangratis*";"*makanan gratis*"})),"Relevan","Tidak Relevan")</f>
        <v>Relevan</v>
      </c>
      <c r="J335" s="1"/>
    </row>
    <row r="336" spans="1:10" ht="58" x14ac:dyDescent="0.35">
      <c r="A336" s="1">
        <f t="shared" si="5"/>
        <v>335</v>
      </c>
      <c r="B336" s="1" t="s">
        <v>3116</v>
      </c>
      <c r="C336" s="1" t="s">
        <v>594</v>
      </c>
      <c r="D336" s="1" t="s">
        <v>3117</v>
      </c>
      <c r="E336" s="1" t="s">
        <v>3118</v>
      </c>
      <c r="F336" s="1" t="s">
        <v>3119</v>
      </c>
      <c r="G336" s="1" t="s">
        <v>3119</v>
      </c>
      <c r="H336" s="1" t="s">
        <v>3120</v>
      </c>
      <c r="I336" s="7" t="str" cm="1">
        <f t="array" ref="I336">IF(SUM(COUNTIF(Text_Preprocessing__2247[[#This Row],[full_text]],{"*makan siang gratis*";"*MBG*";"*makan gratis*";"*makan bergizi gratis*";"*makangratis*";"*makanan gratis*"})),"Relevan","Tidak Relevan")</f>
        <v>Relevan</v>
      </c>
      <c r="J336" s="1"/>
    </row>
    <row r="337" spans="1:10" ht="58" x14ac:dyDescent="0.35">
      <c r="A337" s="1">
        <f t="shared" si="5"/>
        <v>336</v>
      </c>
      <c r="B337" s="1" t="s">
        <v>3121</v>
      </c>
      <c r="C337" s="1" t="s">
        <v>596</v>
      </c>
      <c r="D337" s="1" t="s">
        <v>3122</v>
      </c>
      <c r="E337" s="1" t="s">
        <v>1853</v>
      </c>
      <c r="F337" s="1" t="s">
        <v>3123</v>
      </c>
      <c r="G337" s="1" t="s">
        <v>3123</v>
      </c>
      <c r="H337" s="1" t="s">
        <v>3124</v>
      </c>
      <c r="I337" s="7" t="str" cm="1">
        <f t="array" ref="I337">IF(SUM(COUNTIF(Text_Preprocessing__2247[[#This Row],[full_text]],{"*makan siang gratis*";"*MBG*";"*makan gratis*";"*makan bergizi gratis*";"*makangratis*";"*makanan gratis*"})),"Relevan","Tidak Relevan")</f>
        <v>Relevan</v>
      </c>
      <c r="J337" s="1"/>
    </row>
    <row r="338" spans="1:10" ht="29" x14ac:dyDescent="0.35">
      <c r="A338" s="1">
        <f t="shared" si="5"/>
        <v>337</v>
      </c>
      <c r="B338" s="1" t="s">
        <v>3125</v>
      </c>
      <c r="C338" s="1" t="s">
        <v>598</v>
      </c>
      <c r="D338" s="1" t="s">
        <v>3126</v>
      </c>
      <c r="E338" s="1" t="s">
        <v>2229</v>
      </c>
      <c r="F338" s="1" t="s">
        <v>3127</v>
      </c>
      <c r="G338" s="1" t="s">
        <v>3127</v>
      </c>
      <c r="H338" s="1" t="s">
        <v>3128</v>
      </c>
      <c r="I338" s="7" t="str" cm="1">
        <f t="array" ref="I338">IF(SUM(COUNTIF(Text_Preprocessing__2247[[#This Row],[full_text]],{"*makan siang gratis*";"*MBG*";"*makan gratis*";"*makan bergizi gratis*";"*makangratis*";"*makanan gratis*"})),"Relevan","Tidak Relevan")</f>
        <v>Relevan</v>
      </c>
      <c r="J338" s="1"/>
    </row>
    <row r="339" spans="1:10" x14ac:dyDescent="0.35">
      <c r="A339" s="1">
        <f t="shared" si="5"/>
        <v>338</v>
      </c>
      <c r="B339" s="1" t="s">
        <v>3129</v>
      </c>
      <c r="C339" s="1" t="s">
        <v>600</v>
      </c>
      <c r="D339" s="1" t="s">
        <v>3130</v>
      </c>
      <c r="E339" s="1" t="s">
        <v>3131</v>
      </c>
      <c r="F339" s="1" t="s">
        <v>3130</v>
      </c>
      <c r="G339" s="1" t="s">
        <v>3130</v>
      </c>
      <c r="H339" s="1" t="s">
        <v>3132</v>
      </c>
      <c r="I339" s="7" t="str" cm="1">
        <f t="array" ref="I339">IF(SUM(COUNTIF(Text_Preprocessing__2247[[#This Row],[full_text]],{"*makan siang gratis*";"*MBG*";"*makan gratis*";"*makan bergizi gratis*";"*makangratis*";"*makanan gratis*"})),"Relevan","Tidak Relevan")</f>
        <v>Relevan</v>
      </c>
      <c r="J339" s="1"/>
    </row>
    <row r="340" spans="1:10" ht="43.5" x14ac:dyDescent="0.35">
      <c r="A340" s="1">
        <f t="shared" si="5"/>
        <v>339</v>
      </c>
      <c r="B340" s="1" t="s">
        <v>3133</v>
      </c>
      <c r="C340" s="1" t="s">
        <v>602</v>
      </c>
      <c r="D340" s="1" t="s">
        <v>3134</v>
      </c>
      <c r="E340" s="1" t="s">
        <v>2862</v>
      </c>
      <c r="F340" s="1" t="s">
        <v>3135</v>
      </c>
      <c r="G340" s="1" t="s">
        <v>3135</v>
      </c>
      <c r="H340" s="1" t="s">
        <v>3136</v>
      </c>
      <c r="I340" s="7" t="str" cm="1">
        <f t="array" ref="I340">IF(SUM(COUNTIF(Text_Preprocessing__2247[[#This Row],[full_text]],{"*makan siang gratis*";"*MBG*";"*makan gratis*";"*makan bergizi gratis*";"*makangratis*";"*makanan gratis*"})),"Relevan","Tidak Relevan")</f>
        <v>Relevan</v>
      </c>
      <c r="J340" s="1"/>
    </row>
    <row r="341" spans="1:10" ht="58" x14ac:dyDescent="0.35">
      <c r="A341" s="1">
        <f t="shared" si="5"/>
        <v>340</v>
      </c>
      <c r="B341" s="1" t="s">
        <v>3137</v>
      </c>
      <c r="C341" s="1" t="s">
        <v>604</v>
      </c>
      <c r="D341" s="1" t="s">
        <v>3138</v>
      </c>
      <c r="E341" s="1" t="s">
        <v>2558</v>
      </c>
      <c r="F341" s="1" t="s">
        <v>3139</v>
      </c>
      <c r="G341" s="1" t="s">
        <v>3139</v>
      </c>
      <c r="H341" s="1" t="s">
        <v>3140</v>
      </c>
      <c r="I341" s="7" t="str" cm="1">
        <f t="array" ref="I341">IF(SUM(COUNTIF(Text_Preprocessing__2247[[#This Row],[full_text]],{"*makan siang gratis*";"*MBG*";"*makan gratis*";"*makan bergizi gratis*";"*makangratis*";"*makanan gratis*"})),"Relevan","Tidak Relevan")</f>
        <v>Relevan</v>
      </c>
      <c r="J341" s="1"/>
    </row>
    <row r="342" spans="1:10" ht="58" x14ac:dyDescent="0.35">
      <c r="A342" s="1">
        <f t="shared" si="5"/>
        <v>341</v>
      </c>
      <c r="B342" s="1" t="s">
        <v>3141</v>
      </c>
      <c r="C342" s="1" t="s">
        <v>606</v>
      </c>
      <c r="D342" s="1" t="s">
        <v>3142</v>
      </c>
      <c r="E342" s="1" t="s">
        <v>2154</v>
      </c>
      <c r="F342" s="1" t="s">
        <v>3143</v>
      </c>
      <c r="G342" s="1" t="s">
        <v>3144</v>
      </c>
      <c r="H342" s="1" t="s">
        <v>3145</v>
      </c>
      <c r="I342" s="7" t="str" cm="1">
        <f t="array" ref="I342">IF(SUM(COUNTIF(Text_Preprocessing__2247[[#This Row],[full_text]],{"*makan siang gratis*";"*MBG*";"*makan gratis*";"*makan bergizi gratis*";"*makangratis*";"*makanan gratis*"})),"Relevan","Tidak Relevan")</f>
        <v>Relevan</v>
      </c>
      <c r="J342" s="1"/>
    </row>
    <row r="343" spans="1:10" ht="29" x14ac:dyDescent="0.35">
      <c r="A343" s="1">
        <f t="shared" si="5"/>
        <v>342</v>
      </c>
      <c r="B343" s="1" t="s">
        <v>3146</v>
      </c>
      <c r="C343" s="1" t="s">
        <v>608</v>
      </c>
      <c r="D343" s="1" t="s">
        <v>3147</v>
      </c>
      <c r="E343" s="1" t="s">
        <v>1785</v>
      </c>
      <c r="F343" s="1" t="s">
        <v>3148</v>
      </c>
      <c r="G343" s="1" t="s">
        <v>3148</v>
      </c>
      <c r="H343" s="1" t="s">
        <v>3149</v>
      </c>
      <c r="I343" s="7" t="str" cm="1">
        <f t="array" ref="I343">IF(SUM(COUNTIF(Text_Preprocessing__2247[[#This Row],[full_text]],{"*makan siang gratis*";"*MBG*";"*makan gratis*";"*makan bergizi gratis*";"*makangratis*";"*makanan gratis*"})),"Relevan","Tidak Relevan")</f>
        <v>Relevan</v>
      </c>
      <c r="J343" s="1"/>
    </row>
    <row r="344" spans="1:10" ht="43.5" x14ac:dyDescent="0.35">
      <c r="A344" s="1">
        <f t="shared" si="5"/>
        <v>343</v>
      </c>
      <c r="B344" s="1" t="s">
        <v>3150</v>
      </c>
      <c r="C344" s="1" t="s">
        <v>610</v>
      </c>
      <c r="D344" s="1" t="s">
        <v>3151</v>
      </c>
      <c r="E344" s="1" t="s">
        <v>1764</v>
      </c>
      <c r="F344" s="1" t="s">
        <v>3152</v>
      </c>
      <c r="G344" s="1" t="s">
        <v>3152</v>
      </c>
      <c r="H344" s="1" t="s">
        <v>3153</v>
      </c>
      <c r="I344" s="7" t="str" cm="1">
        <f t="array" ref="I344">IF(SUM(COUNTIF(Text_Preprocessing__2247[[#This Row],[full_text]],{"*makan siang gratis*";"*MBG*";"*makan gratis*";"*makan bergizi gratis*";"*makangratis*";"*makanan gratis*"})),"Relevan","Tidak Relevan")</f>
        <v>Relevan</v>
      </c>
      <c r="J344" s="1"/>
    </row>
    <row r="345" spans="1:10" ht="29" x14ac:dyDescent="0.35">
      <c r="A345" s="1">
        <f t="shared" si="5"/>
        <v>344</v>
      </c>
      <c r="B345" s="1" t="s">
        <v>3154</v>
      </c>
      <c r="C345" s="1" t="s">
        <v>612</v>
      </c>
      <c r="D345" s="1" t="s">
        <v>3155</v>
      </c>
      <c r="E345" s="1" t="s">
        <v>1799</v>
      </c>
      <c r="F345" s="1" t="s">
        <v>3156</v>
      </c>
      <c r="G345" s="1" t="s">
        <v>3156</v>
      </c>
      <c r="H345" s="1" t="s">
        <v>3157</v>
      </c>
      <c r="I345" s="7" t="str" cm="1">
        <f t="array" ref="I345">IF(SUM(COUNTIF(Text_Preprocessing__2247[[#This Row],[full_text]],{"*makan siang gratis*";"*MBG*";"*makan gratis*";"*makan bergizi gratis*";"*makangratis*";"*makanan gratis*"})),"Relevan","Tidak Relevan")</f>
        <v>Relevan</v>
      </c>
      <c r="J345" s="1"/>
    </row>
    <row r="346" spans="1:10" ht="29" x14ac:dyDescent="0.35">
      <c r="A346" s="1">
        <f t="shared" si="5"/>
        <v>345</v>
      </c>
      <c r="B346" s="1" t="s">
        <v>3158</v>
      </c>
      <c r="C346" s="1" t="s">
        <v>614</v>
      </c>
      <c r="D346" s="1" t="s">
        <v>3159</v>
      </c>
      <c r="E346" s="1" t="s">
        <v>1799</v>
      </c>
      <c r="F346" s="1" t="s">
        <v>3160</v>
      </c>
      <c r="G346" s="1" t="s">
        <v>3160</v>
      </c>
      <c r="H346" s="1" t="s">
        <v>3161</v>
      </c>
      <c r="I346" s="7" t="str" cm="1">
        <f t="array" ref="I346">IF(SUM(COUNTIF(Text_Preprocessing__2247[[#This Row],[full_text]],{"*makan siang gratis*";"*MBG*";"*makan gratis*";"*makan bergizi gratis*";"*makangratis*";"*makanan gratis*"})),"Relevan","Tidak Relevan")</f>
        <v>Relevan</v>
      </c>
      <c r="J346" s="1"/>
    </row>
    <row r="347" spans="1:10" ht="29" x14ac:dyDescent="0.35">
      <c r="A347" s="1">
        <f t="shared" si="5"/>
        <v>346</v>
      </c>
      <c r="B347" s="1" t="s">
        <v>3162</v>
      </c>
      <c r="C347" s="1" t="s">
        <v>614</v>
      </c>
      <c r="D347" s="1" t="s">
        <v>3163</v>
      </c>
      <c r="E347" s="1" t="s">
        <v>1829</v>
      </c>
      <c r="F347" s="1" t="s">
        <v>3164</v>
      </c>
      <c r="G347" s="1" t="s">
        <v>3164</v>
      </c>
      <c r="H347" s="1" t="s">
        <v>3165</v>
      </c>
      <c r="I347" s="7" t="str" cm="1">
        <f t="array" ref="I347">IF(SUM(COUNTIF(Text_Preprocessing__2247[[#This Row],[full_text]],{"*makan siang gratis*";"*MBG*";"*makan gratis*";"*makan bergizi gratis*";"*makangratis*";"*makanan gratis*"})),"Relevan","Tidak Relevan")</f>
        <v>Relevan</v>
      </c>
      <c r="J347" s="1"/>
    </row>
    <row r="348" spans="1:10" ht="58" x14ac:dyDescent="0.35">
      <c r="A348" s="1">
        <f t="shared" si="5"/>
        <v>347</v>
      </c>
      <c r="B348" s="1" t="s">
        <v>3166</v>
      </c>
      <c r="C348" s="1" t="s">
        <v>617</v>
      </c>
      <c r="D348" s="1" t="s">
        <v>3167</v>
      </c>
      <c r="E348" s="1" t="s">
        <v>2505</v>
      </c>
      <c r="F348" s="1" t="s">
        <v>3168</v>
      </c>
      <c r="G348" s="1" t="s">
        <v>3168</v>
      </c>
      <c r="H348" s="1" t="s">
        <v>3169</v>
      </c>
      <c r="I348" s="7" t="str" cm="1">
        <f t="array" ref="I348">IF(SUM(COUNTIF(Text_Preprocessing__2247[[#This Row],[full_text]],{"*makan siang gratis*";"*MBG*";"*makan gratis*";"*makan bergizi gratis*";"*makangratis*";"*makanan gratis*"})),"Relevan","Tidak Relevan")</f>
        <v>Relevan</v>
      </c>
      <c r="J348" s="1"/>
    </row>
    <row r="349" spans="1:10" x14ac:dyDescent="0.35">
      <c r="A349" s="1">
        <f t="shared" si="5"/>
        <v>348</v>
      </c>
      <c r="B349" s="1" t="s">
        <v>3170</v>
      </c>
      <c r="C349" s="1" t="s">
        <v>221</v>
      </c>
      <c r="D349" s="1" t="s">
        <v>3171</v>
      </c>
      <c r="E349" s="1" t="s">
        <v>1804</v>
      </c>
      <c r="F349" s="1" t="s">
        <v>3171</v>
      </c>
      <c r="G349" s="1" t="s">
        <v>3171</v>
      </c>
      <c r="H349" s="1" t="s">
        <v>3172</v>
      </c>
      <c r="I349" s="7" t="str" cm="1">
        <f t="array" ref="I349">IF(SUM(COUNTIF(Text_Preprocessing__2247[[#This Row],[full_text]],{"*makan siang gratis*";"*MBG*";"*makan gratis*";"*makan bergizi gratis*";"*makangratis*";"*makanan gratis*"})),"Relevan","Tidak Relevan")</f>
        <v>Relevan</v>
      </c>
      <c r="J349" s="1"/>
    </row>
    <row r="350" spans="1:10" ht="43.5" x14ac:dyDescent="0.35">
      <c r="A350" s="1">
        <f t="shared" si="5"/>
        <v>349</v>
      </c>
      <c r="B350" s="1" t="s">
        <v>3173</v>
      </c>
      <c r="C350" s="1" t="s">
        <v>620</v>
      </c>
      <c r="D350" s="1" t="s">
        <v>3174</v>
      </c>
      <c r="E350" s="1" t="s">
        <v>2604</v>
      </c>
      <c r="F350" s="1" t="s">
        <v>3175</v>
      </c>
      <c r="G350" s="1" t="s">
        <v>3175</v>
      </c>
      <c r="H350" s="1" t="s">
        <v>3176</v>
      </c>
      <c r="I350" s="7" t="str" cm="1">
        <f t="array" ref="I350">IF(SUM(COUNTIF(Text_Preprocessing__2247[[#This Row],[full_text]],{"*makan siang gratis*";"*MBG*";"*makan gratis*";"*makan bergizi gratis*";"*makangratis*";"*makanan gratis*"})),"Relevan","Tidak Relevan")</f>
        <v>Relevan</v>
      </c>
      <c r="J350" s="1"/>
    </row>
    <row r="351" spans="1:10" ht="29" x14ac:dyDescent="0.35">
      <c r="A351" s="1">
        <f t="shared" si="5"/>
        <v>350</v>
      </c>
      <c r="B351" s="1" t="s">
        <v>3177</v>
      </c>
      <c r="C351" s="1" t="s">
        <v>460</v>
      </c>
      <c r="D351" s="1" t="s">
        <v>3178</v>
      </c>
      <c r="E351" s="1" t="s">
        <v>1844</v>
      </c>
      <c r="F351" s="1" t="s">
        <v>3179</v>
      </c>
      <c r="G351" s="1" t="s">
        <v>3179</v>
      </c>
      <c r="H351" s="1" t="s">
        <v>3180</v>
      </c>
      <c r="I351" s="7" t="str" cm="1">
        <f t="array" ref="I351">IF(SUM(COUNTIF(Text_Preprocessing__2247[[#This Row],[full_text]],{"*makan siang gratis*";"*MBG*";"*makan gratis*";"*makan bergizi gratis*";"*makangratis*";"*makanan gratis*"})),"Relevan","Tidak Relevan")</f>
        <v>Relevan</v>
      </c>
      <c r="J351" s="1"/>
    </row>
    <row r="352" spans="1:10" ht="29" x14ac:dyDescent="0.35">
      <c r="A352" s="1">
        <f t="shared" si="5"/>
        <v>351</v>
      </c>
      <c r="B352" s="1" t="s">
        <v>3181</v>
      </c>
      <c r="C352" s="1" t="s">
        <v>460</v>
      </c>
      <c r="D352" s="1" t="s">
        <v>3182</v>
      </c>
      <c r="E352" s="1" t="s">
        <v>1730</v>
      </c>
      <c r="F352" s="1" t="s">
        <v>3183</v>
      </c>
      <c r="G352" s="1" t="s">
        <v>3183</v>
      </c>
      <c r="H352" s="1" t="s">
        <v>3184</v>
      </c>
      <c r="I352" s="7" t="str" cm="1">
        <f t="array" ref="I352">IF(SUM(COUNTIF(Text_Preprocessing__2247[[#This Row],[full_text]],{"*makan siang gratis*";"*MBG*";"*makan gratis*";"*makan bergizi gratis*";"*makangratis*";"*makanan gratis*"})),"Relevan","Tidak Relevan")</f>
        <v>Relevan</v>
      </c>
      <c r="J352" s="1"/>
    </row>
    <row r="353" spans="1:10" ht="29" x14ac:dyDescent="0.35">
      <c r="A353" s="1">
        <f t="shared" si="5"/>
        <v>352</v>
      </c>
      <c r="B353" s="1" t="s">
        <v>3185</v>
      </c>
      <c r="C353" s="1" t="s">
        <v>460</v>
      </c>
      <c r="D353" s="1" t="s">
        <v>3186</v>
      </c>
      <c r="E353" s="1" t="s">
        <v>1929</v>
      </c>
      <c r="F353" s="1" t="s">
        <v>3187</v>
      </c>
      <c r="G353" s="1" t="s">
        <v>3187</v>
      </c>
      <c r="H353" s="1" t="s">
        <v>3188</v>
      </c>
      <c r="I353" s="7" t="str" cm="1">
        <f t="array" ref="I353">IF(SUM(COUNTIF(Text_Preprocessing__2247[[#This Row],[full_text]],{"*makan siang gratis*";"*MBG*";"*makan gratis*";"*makan bergizi gratis*";"*makangratis*";"*makanan gratis*"})),"Relevan","Tidak Relevan")</f>
        <v>Relevan</v>
      </c>
      <c r="J353" s="1"/>
    </row>
    <row r="354" spans="1:10" ht="29" x14ac:dyDescent="0.35">
      <c r="A354" s="1">
        <f t="shared" si="5"/>
        <v>353</v>
      </c>
      <c r="B354" s="1" t="s">
        <v>3189</v>
      </c>
      <c r="C354" s="1" t="s">
        <v>460</v>
      </c>
      <c r="D354" s="1" t="s">
        <v>3190</v>
      </c>
      <c r="E354" s="1" t="s">
        <v>1929</v>
      </c>
      <c r="F354" s="1" t="s">
        <v>3191</v>
      </c>
      <c r="G354" s="1" t="s">
        <v>3191</v>
      </c>
      <c r="H354" s="1" t="s">
        <v>3192</v>
      </c>
      <c r="I354" s="7" t="str" cm="1">
        <f t="array" ref="I354">IF(SUM(COUNTIF(Text_Preprocessing__2247[[#This Row],[full_text]],{"*makan siang gratis*";"*MBG*";"*makan gratis*";"*makan bergizi gratis*";"*makangratis*";"*makanan gratis*"})),"Relevan","Tidak Relevan")</f>
        <v>Relevan</v>
      </c>
      <c r="J354" s="1"/>
    </row>
    <row r="355" spans="1:10" ht="43.5" x14ac:dyDescent="0.35">
      <c r="A355" s="1">
        <f t="shared" si="5"/>
        <v>354</v>
      </c>
      <c r="B355" s="1" t="s">
        <v>3193</v>
      </c>
      <c r="C355" s="1" t="s">
        <v>620</v>
      </c>
      <c r="D355" s="1" t="s">
        <v>3194</v>
      </c>
      <c r="E355" s="1" t="s">
        <v>1719</v>
      </c>
      <c r="F355" s="1" t="s">
        <v>3195</v>
      </c>
      <c r="G355" s="1" t="s">
        <v>3195</v>
      </c>
      <c r="H355" s="1" t="s">
        <v>3196</v>
      </c>
      <c r="I355" s="7" t="str" cm="1">
        <f t="array" ref="I355">IF(SUM(COUNTIF(Text_Preprocessing__2247[[#This Row],[full_text]],{"*makan siang gratis*";"*MBG*";"*makan gratis*";"*makan bergizi gratis*";"*makangratis*";"*makanan gratis*"})),"Relevan","Tidak Relevan")</f>
        <v>Relevan</v>
      </c>
      <c r="J355" s="1"/>
    </row>
    <row r="356" spans="1:10" ht="29" x14ac:dyDescent="0.35">
      <c r="A356" s="1">
        <f t="shared" si="5"/>
        <v>355</v>
      </c>
      <c r="B356" s="1" t="s">
        <v>3197</v>
      </c>
      <c r="C356" s="1" t="s">
        <v>460</v>
      </c>
      <c r="D356" s="1" t="s">
        <v>3198</v>
      </c>
      <c r="E356" s="1" t="s">
        <v>1730</v>
      </c>
      <c r="F356" s="1" t="s">
        <v>3199</v>
      </c>
      <c r="G356" s="1" t="s">
        <v>3199</v>
      </c>
      <c r="H356" s="1" t="s">
        <v>3200</v>
      </c>
      <c r="I356" s="7" t="str" cm="1">
        <f t="array" ref="I356">IF(SUM(COUNTIF(Text_Preprocessing__2247[[#This Row],[full_text]],{"*makan siang gratis*";"*MBG*";"*makan gratis*";"*makan bergizi gratis*";"*makangratis*";"*makanan gratis*"})),"Relevan","Tidak Relevan")</f>
        <v>Relevan</v>
      </c>
      <c r="J356" s="1"/>
    </row>
    <row r="357" spans="1:10" ht="58" x14ac:dyDescent="0.35">
      <c r="A357" s="1">
        <f t="shared" si="5"/>
        <v>356</v>
      </c>
      <c r="B357" s="1" t="s">
        <v>3201</v>
      </c>
      <c r="C357" s="1" t="s">
        <v>93</v>
      </c>
      <c r="D357" s="1" t="s">
        <v>3202</v>
      </c>
      <c r="E357" s="1" t="s">
        <v>2215</v>
      </c>
      <c r="F357" s="1" t="s">
        <v>3203</v>
      </c>
      <c r="G357" s="1" t="s">
        <v>3203</v>
      </c>
      <c r="H357" s="1" t="s">
        <v>3204</v>
      </c>
      <c r="I357" s="7" t="str" cm="1">
        <f t="array" ref="I357">IF(SUM(COUNTIF(Text_Preprocessing__2247[[#This Row],[full_text]],{"*makan siang gratis*";"*MBG*";"*makan gratis*";"*makan bergizi gratis*";"*makangratis*";"*makanan gratis*"})),"Relevan","Tidak Relevan")</f>
        <v>Relevan</v>
      </c>
      <c r="J357" s="1"/>
    </row>
    <row r="358" spans="1:10" ht="29" x14ac:dyDescent="0.35">
      <c r="A358" s="1">
        <f t="shared" si="5"/>
        <v>357</v>
      </c>
      <c r="B358" s="1" t="s">
        <v>3205</v>
      </c>
      <c r="C358" s="1" t="s">
        <v>629</v>
      </c>
      <c r="D358" s="1" t="s">
        <v>3206</v>
      </c>
      <c r="E358" s="1" t="s">
        <v>1730</v>
      </c>
      <c r="F358" s="1" t="s">
        <v>3207</v>
      </c>
      <c r="G358" s="1" t="s">
        <v>3207</v>
      </c>
      <c r="H358" s="1" t="s">
        <v>3208</v>
      </c>
      <c r="I358" s="7" t="str" cm="1">
        <f t="array" ref="I358">IF(SUM(COUNTIF(Text_Preprocessing__2247[[#This Row],[full_text]],{"*makan siang gratis*";"*MBG*";"*makan gratis*";"*makan bergizi gratis*";"*makangratis*";"*makanan gratis*"})),"Relevan","Tidak Relevan")</f>
        <v>Relevan</v>
      </c>
      <c r="J358" s="1"/>
    </row>
    <row r="359" spans="1:10" ht="29" x14ac:dyDescent="0.35">
      <c r="A359" s="1">
        <f t="shared" si="5"/>
        <v>358</v>
      </c>
      <c r="B359" s="1" t="s">
        <v>3209</v>
      </c>
      <c r="C359" s="1" t="s">
        <v>629</v>
      </c>
      <c r="D359" s="1" t="s">
        <v>3210</v>
      </c>
      <c r="E359" s="1" t="s">
        <v>1692</v>
      </c>
      <c r="F359" s="1" t="s">
        <v>3211</v>
      </c>
      <c r="G359" s="1" t="s">
        <v>3211</v>
      </c>
      <c r="H359" s="1" t="s">
        <v>3212</v>
      </c>
      <c r="I359" s="7" t="str" cm="1">
        <f t="array" ref="I359">IF(SUM(COUNTIF(Text_Preprocessing__2247[[#This Row],[full_text]],{"*makan siang gratis*";"*MBG*";"*makan gratis*";"*makan bergizi gratis*";"*makangratis*";"*makanan gratis*"})),"Relevan","Tidak Relevan")</f>
        <v>Relevan</v>
      </c>
      <c r="J359" s="1"/>
    </row>
    <row r="360" spans="1:10" ht="29" x14ac:dyDescent="0.35">
      <c r="A360" s="1">
        <f t="shared" si="5"/>
        <v>359</v>
      </c>
      <c r="B360" s="1" t="s">
        <v>3213</v>
      </c>
      <c r="C360" s="1" t="s">
        <v>629</v>
      </c>
      <c r="D360" s="1" t="s">
        <v>3214</v>
      </c>
      <c r="E360" s="1" t="s">
        <v>1929</v>
      </c>
      <c r="F360" s="1" t="s">
        <v>3215</v>
      </c>
      <c r="G360" s="1" t="s">
        <v>3215</v>
      </c>
      <c r="H360" s="1" t="s">
        <v>3216</v>
      </c>
      <c r="I360" s="7" t="str" cm="1">
        <f t="array" ref="I360">IF(SUM(COUNTIF(Text_Preprocessing__2247[[#This Row],[full_text]],{"*makan siang gratis*";"*MBG*";"*makan gratis*";"*makan bergizi gratis*";"*makangratis*";"*makanan gratis*"})),"Relevan","Tidak Relevan")</f>
        <v>Relevan</v>
      </c>
      <c r="J360" s="1"/>
    </row>
    <row r="361" spans="1:10" ht="29" x14ac:dyDescent="0.35">
      <c r="A361" s="1">
        <f t="shared" si="5"/>
        <v>360</v>
      </c>
      <c r="B361" s="1" t="s">
        <v>3217</v>
      </c>
      <c r="C361" s="1" t="s">
        <v>629</v>
      </c>
      <c r="D361" s="1" t="s">
        <v>3218</v>
      </c>
      <c r="E361" s="1" t="s">
        <v>1730</v>
      </c>
      <c r="F361" s="1" t="s">
        <v>3219</v>
      </c>
      <c r="G361" s="1" t="s">
        <v>3219</v>
      </c>
      <c r="H361" s="1" t="s">
        <v>3220</v>
      </c>
      <c r="I361" s="7" t="str" cm="1">
        <f t="array" ref="I361">IF(SUM(COUNTIF(Text_Preprocessing__2247[[#This Row],[full_text]],{"*makan siang gratis*";"*MBG*";"*makan gratis*";"*makan bergizi gratis*";"*makangratis*";"*makanan gratis*"})),"Relevan","Tidak Relevan")</f>
        <v>Relevan</v>
      </c>
      <c r="J361" s="1"/>
    </row>
    <row r="362" spans="1:10" ht="43.5" x14ac:dyDescent="0.35">
      <c r="A362" s="1">
        <f t="shared" si="5"/>
        <v>361</v>
      </c>
      <c r="B362" s="1" t="s">
        <v>3221</v>
      </c>
      <c r="C362" s="1" t="s">
        <v>634</v>
      </c>
      <c r="D362" s="1" t="s">
        <v>3222</v>
      </c>
      <c r="E362" s="1" t="s">
        <v>2748</v>
      </c>
      <c r="F362" s="1" t="s">
        <v>3223</v>
      </c>
      <c r="G362" s="1" t="s">
        <v>3223</v>
      </c>
      <c r="H362" s="1" t="s">
        <v>3224</v>
      </c>
      <c r="I362" s="7" t="str" cm="1">
        <f t="array" ref="I362">IF(SUM(COUNTIF(Text_Preprocessing__2247[[#This Row],[full_text]],{"*makan siang gratis*";"*MBG*";"*makan gratis*";"*makan bergizi gratis*";"*makangratis*";"*makanan gratis*"})),"Relevan","Tidak Relevan")</f>
        <v>Tidak Relevan</v>
      </c>
      <c r="J362" s="1" t="s">
        <v>3622</v>
      </c>
    </row>
    <row r="363" spans="1:10" ht="43.5" x14ac:dyDescent="0.35">
      <c r="A363" s="1">
        <f t="shared" si="5"/>
        <v>362</v>
      </c>
      <c r="B363" s="1" t="s">
        <v>3225</v>
      </c>
      <c r="C363" s="1" t="s">
        <v>636</v>
      </c>
      <c r="D363" s="1" t="s">
        <v>3226</v>
      </c>
      <c r="E363" s="1" t="s">
        <v>3227</v>
      </c>
      <c r="F363" s="1" t="s">
        <v>3228</v>
      </c>
      <c r="G363" s="1" t="s">
        <v>3228</v>
      </c>
      <c r="H363" s="1" t="s">
        <v>3229</v>
      </c>
      <c r="I363" s="7" t="str" cm="1">
        <f t="array" ref="I363">IF(SUM(COUNTIF(Text_Preprocessing__2247[[#This Row],[full_text]],{"*makan siang gratis*";"*MBG*";"*makan gratis*";"*makan bergizi gratis*";"*makangratis*";"*makanan gratis*"})),"Relevan","Tidak Relevan")</f>
        <v>Tidak Relevan</v>
      </c>
      <c r="J363" s="1" t="s">
        <v>3622</v>
      </c>
    </row>
    <row r="364" spans="1:10" ht="58" x14ac:dyDescent="0.35">
      <c r="A364" s="1">
        <f t="shared" si="5"/>
        <v>363</v>
      </c>
      <c r="B364" s="1" t="s">
        <v>3230</v>
      </c>
      <c r="C364" s="1" t="s">
        <v>638</v>
      </c>
      <c r="D364" s="1" t="s">
        <v>3231</v>
      </c>
      <c r="E364" s="1" t="s">
        <v>2743</v>
      </c>
      <c r="F364" s="1" t="s">
        <v>3232</v>
      </c>
      <c r="G364" s="1" t="s">
        <v>3232</v>
      </c>
      <c r="H364" s="1" t="s">
        <v>3233</v>
      </c>
      <c r="I364" s="7" t="str" cm="1">
        <f t="array" ref="I364">IF(SUM(COUNTIF(Text_Preprocessing__2247[[#This Row],[full_text]],{"*makan siang gratis*";"*MBG*";"*makan gratis*";"*makan bergizi gratis*";"*makangratis*";"*makanan gratis*"})),"Relevan","Tidak Relevan")</f>
        <v>Relevan</v>
      </c>
      <c r="J364" s="1"/>
    </row>
    <row r="365" spans="1:10" ht="58" x14ac:dyDescent="0.35">
      <c r="A365" s="1">
        <f t="shared" si="5"/>
        <v>364</v>
      </c>
      <c r="B365" s="1" t="s">
        <v>3234</v>
      </c>
      <c r="C365" s="1" t="s">
        <v>330</v>
      </c>
      <c r="D365" s="1" t="s">
        <v>3235</v>
      </c>
      <c r="E365" s="1" t="s">
        <v>1629</v>
      </c>
      <c r="F365" s="1" t="s">
        <v>3236</v>
      </c>
      <c r="G365" s="1" t="s">
        <v>3236</v>
      </c>
      <c r="H365" s="1" t="s">
        <v>3237</v>
      </c>
      <c r="I365" s="7" t="str" cm="1">
        <f t="array" ref="I365">IF(SUM(COUNTIF(Text_Preprocessing__2247[[#This Row],[full_text]],{"*makan siang gratis*";"*MBG*";"*makan gratis*";"*makan bergizi gratis*";"*makangratis*";"*makanan gratis*"})),"Relevan","Tidak Relevan")</f>
        <v>Relevan</v>
      </c>
      <c r="J365" s="1"/>
    </row>
    <row r="366" spans="1:10" ht="43.5" x14ac:dyDescent="0.35">
      <c r="A366" s="1">
        <f t="shared" si="5"/>
        <v>365</v>
      </c>
      <c r="B366" s="1" t="s">
        <v>3238</v>
      </c>
      <c r="C366" s="1" t="s">
        <v>641</v>
      </c>
      <c r="D366" s="1" t="s">
        <v>3239</v>
      </c>
      <c r="E366" s="1" t="s">
        <v>1893</v>
      </c>
      <c r="F366" s="1" t="s">
        <v>3240</v>
      </c>
      <c r="G366" s="1" t="s">
        <v>3240</v>
      </c>
      <c r="H366" s="1" t="s">
        <v>3241</v>
      </c>
      <c r="I366" s="7" t="str" cm="1">
        <f t="array" ref="I366">IF(SUM(COUNTIF(Text_Preprocessing__2247[[#This Row],[full_text]],{"*makan siang gratis*";"*MBG*";"*makan gratis*";"*makan bergizi gratis*";"*makangratis*";"*makanan gratis*"})),"Relevan","Tidak Relevan")</f>
        <v>Relevan</v>
      </c>
      <c r="J366" s="1"/>
    </row>
    <row r="367" spans="1:10" ht="58" x14ac:dyDescent="0.35">
      <c r="A367" s="1">
        <f t="shared" si="5"/>
        <v>366</v>
      </c>
      <c r="B367" s="1" t="s">
        <v>3242</v>
      </c>
      <c r="C367" s="1" t="s">
        <v>643</v>
      </c>
      <c r="D367" s="1" t="s">
        <v>3243</v>
      </c>
      <c r="E367" s="1" t="s">
        <v>3244</v>
      </c>
      <c r="F367" s="1" t="s">
        <v>3245</v>
      </c>
      <c r="G367" s="1" t="s">
        <v>3246</v>
      </c>
      <c r="H367" s="1" t="s">
        <v>3247</v>
      </c>
      <c r="I367" s="7" t="str" cm="1">
        <f t="array" ref="I367">IF(SUM(COUNTIF(Text_Preprocessing__2247[[#This Row],[full_text]],{"*makan siang gratis*";"*MBG*";"*makan gratis*";"*makan bergizi gratis*";"*makangratis*";"*makanan gratis*"})),"Relevan","Tidak Relevan")</f>
        <v>Relevan</v>
      </c>
      <c r="J367" s="1"/>
    </row>
    <row r="368" spans="1:10" ht="29" x14ac:dyDescent="0.35">
      <c r="A368" s="1">
        <f t="shared" si="5"/>
        <v>367</v>
      </c>
      <c r="B368" s="1" t="s">
        <v>3248</v>
      </c>
      <c r="C368" s="1" t="s">
        <v>645</v>
      </c>
      <c r="D368" s="1" t="s">
        <v>3249</v>
      </c>
      <c r="E368" s="1" t="s">
        <v>1799</v>
      </c>
      <c r="F368" s="1" t="s">
        <v>3250</v>
      </c>
      <c r="G368" s="1" t="s">
        <v>3250</v>
      </c>
      <c r="H368" s="1" t="s">
        <v>3251</v>
      </c>
      <c r="I368" s="7" t="str" cm="1">
        <f t="array" ref="I368">IF(SUM(COUNTIF(Text_Preprocessing__2247[[#This Row],[full_text]],{"*makan siang gratis*";"*MBG*";"*makan gratis*";"*makan bergizi gratis*";"*makangratis*";"*makanan gratis*"})),"Relevan","Tidak Relevan")</f>
        <v>Relevan</v>
      </c>
      <c r="J368" s="1"/>
    </row>
    <row r="369" spans="1:10" ht="43.5" x14ac:dyDescent="0.35">
      <c r="A369" s="1">
        <f t="shared" si="5"/>
        <v>368</v>
      </c>
      <c r="B369" s="1" t="s">
        <v>3252</v>
      </c>
      <c r="C369" s="1" t="s">
        <v>647</v>
      </c>
      <c r="D369" s="1" t="s">
        <v>3253</v>
      </c>
      <c r="E369" s="1" t="s">
        <v>1624</v>
      </c>
      <c r="F369" s="1" t="s">
        <v>3254</v>
      </c>
      <c r="G369" s="1" t="s">
        <v>3254</v>
      </c>
      <c r="H369" s="1" t="s">
        <v>3255</v>
      </c>
      <c r="I369" s="7" t="str" cm="1">
        <f t="array" ref="I369">IF(SUM(COUNTIF(Text_Preprocessing__2247[[#This Row],[full_text]],{"*makan siang gratis*";"*MBG*";"*makan gratis*";"*makan bergizi gratis*";"*makangratis*";"*makanan gratis*"})),"Relevan","Tidak Relevan")</f>
        <v>Relevan</v>
      </c>
      <c r="J369" s="1"/>
    </row>
    <row r="370" spans="1:10" ht="43.5" x14ac:dyDescent="0.35">
      <c r="A370" s="1">
        <f t="shared" si="5"/>
        <v>369</v>
      </c>
      <c r="B370" s="1" t="s">
        <v>3256</v>
      </c>
      <c r="C370" s="1" t="s">
        <v>649</v>
      </c>
      <c r="D370" s="1" t="s">
        <v>3257</v>
      </c>
      <c r="E370" s="1" t="s">
        <v>3258</v>
      </c>
      <c r="F370" s="1" t="s">
        <v>3259</v>
      </c>
      <c r="G370" s="1" t="s">
        <v>3259</v>
      </c>
      <c r="H370" s="1" t="s">
        <v>3260</v>
      </c>
      <c r="I370" s="7" t="str" cm="1">
        <f t="array" ref="I370">IF(SUM(COUNTIF(Text_Preprocessing__2247[[#This Row],[full_text]],{"*makan siang gratis*";"*MBG*";"*makan gratis*";"*makan bergizi gratis*";"*makangratis*";"*makanan gratis*"})),"Relevan","Tidak Relevan")</f>
        <v>Relevan</v>
      </c>
      <c r="J370" s="1"/>
    </row>
    <row r="371" spans="1:10" ht="43.5" x14ac:dyDescent="0.35">
      <c r="A371" s="1">
        <f t="shared" si="5"/>
        <v>370</v>
      </c>
      <c r="B371" s="1" t="s">
        <v>3261</v>
      </c>
      <c r="C371" s="1" t="s">
        <v>651</v>
      </c>
      <c r="D371" s="1" t="s">
        <v>3262</v>
      </c>
      <c r="E371" s="1" t="s">
        <v>3263</v>
      </c>
      <c r="F371" s="1" t="s">
        <v>3264</v>
      </c>
      <c r="G371" s="1" t="s">
        <v>3264</v>
      </c>
      <c r="H371" s="1" t="s">
        <v>3265</v>
      </c>
      <c r="I371" s="7" t="str" cm="1">
        <f t="array" ref="I371">IF(SUM(COUNTIF(Text_Preprocessing__2247[[#This Row],[full_text]],{"*makan siang gratis*";"*MBG*";"*makan gratis*";"*makan bergizi gratis*";"*makangratis*";"*makanan gratis*"})),"Relevan","Tidak Relevan")</f>
        <v>Relevan</v>
      </c>
      <c r="J371" s="1"/>
    </row>
    <row r="372" spans="1:10" ht="43.5" x14ac:dyDescent="0.35">
      <c r="A372" s="1">
        <f t="shared" si="5"/>
        <v>371</v>
      </c>
      <c r="B372" s="1" t="s">
        <v>3266</v>
      </c>
      <c r="C372" s="1" t="s">
        <v>653</v>
      </c>
      <c r="D372" s="1" t="s">
        <v>3267</v>
      </c>
      <c r="E372" s="1" t="s">
        <v>1785</v>
      </c>
      <c r="F372" s="1" t="s">
        <v>3268</v>
      </c>
      <c r="G372" s="1" t="s">
        <v>3268</v>
      </c>
      <c r="H372" s="1" t="s">
        <v>3269</v>
      </c>
      <c r="I372" s="7" t="str" cm="1">
        <f t="array" ref="I372">IF(SUM(COUNTIF(Text_Preprocessing__2247[[#This Row],[full_text]],{"*makan siang gratis*";"*MBG*";"*makan gratis*";"*makan bergizi gratis*";"*makangratis*";"*makanan gratis*"})),"Relevan","Tidak Relevan")</f>
        <v>Relevan</v>
      </c>
      <c r="J372" s="1"/>
    </row>
    <row r="373" spans="1:10" ht="43.5" x14ac:dyDescent="0.35">
      <c r="A373" s="1">
        <f t="shared" si="5"/>
        <v>372</v>
      </c>
      <c r="B373" s="1" t="s">
        <v>3270</v>
      </c>
      <c r="C373" s="1" t="s">
        <v>655</v>
      </c>
      <c r="D373" s="1" t="s">
        <v>3271</v>
      </c>
      <c r="E373" s="1" t="s">
        <v>1652</v>
      </c>
      <c r="F373" s="1" t="s">
        <v>3272</v>
      </c>
      <c r="G373" s="1" t="s">
        <v>3272</v>
      </c>
      <c r="H373" s="1" t="s">
        <v>3273</v>
      </c>
      <c r="I373" s="7" t="str" cm="1">
        <f t="array" ref="I373">IF(SUM(COUNTIF(Text_Preprocessing__2247[[#This Row],[full_text]],{"*makan siang gratis*";"*MBG*";"*makan gratis*";"*makan bergizi gratis*";"*makangratis*";"*makanan gratis*"})),"Relevan","Tidak Relevan")</f>
        <v>Relevan</v>
      </c>
      <c r="J373" s="1"/>
    </row>
    <row r="374" spans="1:10" ht="58" x14ac:dyDescent="0.35">
      <c r="A374" s="1">
        <f t="shared" si="5"/>
        <v>373</v>
      </c>
      <c r="B374" s="1" t="s">
        <v>3278</v>
      </c>
      <c r="C374" s="1" t="s">
        <v>274</v>
      </c>
      <c r="D374" s="1" t="s">
        <v>3279</v>
      </c>
      <c r="E374" s="1" t="s">
        <v>2154</v>
      </c>
      <c r="F374" s="1" t="s">
        <v>3280</v>
      </c>
      <c r="G374" s="1" t="s">
        <v>3280</v>
      </c>
      <c r="H374" s="1" t="s">
        <v>3281</v>
      </c>
      <c r="I374" s="7" t="str" cm="1">
        <f t="array" ref="I374">IF(SUM(COUNTIF(Text_Preprocessing__2247[[#This Row],[full_text]],{"*makan siang gratis*";"*MBG*";"*makan gratis*";"*makan bergizi gratis*";"*makangratis*";"*makanan gratis*"})),"Relevan","Tidak Relevan")</f>
        <v>Relevan</v>
      </c>
      <c r="J374" s="1"/>
    </row>
    <row r="375" spans="1:10" ht="58" x14ac:dyDescent="0.35">
      <c r="A375" s="1">
        <f t="shared" si="5"/>
        <v>374</v>
      </c>
      <c r="B375" s="1" t="s">
        <v>3282</v>
      </c>
      <c r="C375" s="1" t="s">
        <v>660</v>
      </c>
      <c r="D375" s="1" t="s">
        <v>3283</v>
      </c>
      <c r="E375" s="1" t="s">
        <v>2114</v>
      </c>
      <c r="F375" s="1" t="s">
        <v>3284</v>
      </c>
      <c r="G375" s="1" t="s">
        <v>3284</v>
      </c>
      <c r="H375" s="1" t="s">
        <v>3285</v>
      </c>
      <c r="I375" s="7" t="str" cm="1">
        <f t="array" ref="I375">IF(SUM(COUNTIF(Text_Preprocessing__2247[[#This Row],[full_text]],{"*makan siang gratis*";"*MBG*";"*makan gratis*";"*makan bergizi gratis*";"*makangratis*";"*makanan gratis*"})),"Relevan","Tidak Relevan")</f>
        <v>Relevan</v>
      </c>
      <c r="J375" s="1"/>
    </row>
    <row r="376" spans="1:10" ht="58" x14ac:dyDescent="0.35">
      <c r="A376" s="1">
        <f t="shared" si="5"/>
        <v>375</v>
      </c>
      <c r="B376" s="1" t="s">
        <v>3286</v>
      </c>
      <c r="C376" s="1" t="s">
        <v>662</v>
      </c>
      <c r="D376" s="1" t="s">
        <v>3287</v>
      </c>
      <c r="E376" s="1" t="s">
        <v>1906</v>
      </c>
      <c r="F376" s="1" t="s">
        <v>3288</v>
      </c>
      <c r="G376" s="1" t="s">
        <v>3288</v>
      </c>
      <c r="H376" s="1" t="s">
        <v>3289</v>
      </c>
      <c r="I376" s="7" t="str" cm="1">
        <f t="array" ref="I376">IF(SUM(COUNTIF(Text_Preprocessing__2247[[#This Row],[full_text]],{"*makan siang gratis*";"*MBG*";"*makan gratis*";"*makan bergizi gratis*";"*makangratis*";"*makanan gratis*"})),"Relevan","Tidak Relevan")</f>
        <v>Relevan</v>
      </c>
      <c r="J376" s="1"/>
    </row>
    <row r="377" spans="1:10" ht="58" x14ac:dyDescent="0.35">
      <c r="A377" s="1">
        <f t="shared" si="5"/>
        <v>376</v>
      </c>
      <c r="B377" s="1" t="s">
        <v>3290</v>
      </c>
      <c r="C377" s="1" t="s">
        <v>664</v>
      </c>
      <c r="D377" s="1" t="s">
        <v>3291</v>
      </c>
      <c r="E377" s="1" t="s">
        <v>2109</v>
      </c>
      <c r="F377" s="1" t="s">
        <v>3292</v>
      </c>
      <c r="G377" s="1" t="s">
        <v>3292</v>
      </c>
      <c r="H377" s="1" t="s">
        <v>3293</v>
      </c>
      <c r="I377" s="7" t="str" cm="1">
        <f t="array" ref="I377">IF(SUM(COUNTIF(Text_Preprocessing__2247[[#This Row],[full_text]],{"*makan siang gratis*";"*MBG*";"*makan gratis*";"*makan bergizi gratis*";"*makangratis*";"*makanan gratis*"})),"Relevan","Tidak Relevan")</f>
        <v>Relevan</v>
      </c>
      <c r="J377" s="1"/>
    </row>
    <row r="378" spans="1:10" ht="43.5" x14ac:dyDescent="0.35">
      <c r="A378" s="1">
        <f t="shared" si="5"/>
        <v>377</v>
      </c>
      <c r="B378" s="1" t="s">
        <v>3294</v>
      </c>
      <c r="C378" s="1" t="s">
        <v>666</v>
      </c>
      <c r="D378" s="1" t="s">
        <v>3295</v>
      </c>
      <c r="E378" s="1" t="s">
        <v>1785</v>
      </c>
      <c r="F378" s="1" t="s">
        <v>3296</v>
      </c>
      <c r="G378" s="1" t="s">
        <v>3296</v>
      </c>
      <c r="H378" s="1" t="s">
        <v>3297</v>
      </c>
      <c r="I378" s="7" t="str" cm="1">
        <f t="array" ref="I378">IF(SUM(COUNTIF(Text_Preprocessing__2247[[#This Row],[full_text]],{"*makan siang gratis*";"*MBG*";"*makan gratis*";"*makan bergizi gratis*";"*makangratis*";"*makanan gratis*"})),"Relevan","Tidak Relevan")</f>
        <v>Relevan</v>
      </c>
      <c r="J378" s="1"/>
    </row>
    <row r="379" spans="1:10" ht="58" x14ac:dyDescent="0.35">
      <c r="A379" s="1">
        <f t="shared" si="5"/>
        <v>378</v>
      </c>
      <c r="B379" s="1" t="s">
        <v>3298</v>
      </c>
      <c r="C379" s="1" t="s">
        <v>668</v>
      </c>
      <c r="D379" s="1" t="s">
        <v>3299</v>
      </c>
      <c r="E379" s="1" t="s">
        <v>1674</v>
      </c>
      <c r="F379" s="1" t="s">
        <v>3300</v>
      </c>
      <c r="G379" s="1" t="s">
        <v>3300</v>
      </c>
      <c r="H379" s="1" t="s">
        <v>3301</v>
      </c>
      <c r="I379" s="7" t="str" cm="1">
        <f t="array" ref="I379">IF(SUM(COUNTIF(Text_Preprocessing__2247[[#This Row],[full_text]],{"*makan siang gratis*";"*MBG*";"*makan gratis*";"*makan bergizi gratis*";"*makangratis*";"*makanan gratis*"})),"Relevan","Tidak Relevan")</f>
        <v>Relevan</v>
      </c>
      <c r="J379" s="1"/>
    </row>
    <row r="380" spans="1:10" x14ac:dyDescent="0.35">
      <c r="A380" s="1">
        <f t="shared" si="5"/>
        <v>379</v>
      </c>
      <c r="B380" s="1" t="s">
        <v>3302</v>
      </c>
      <c r="C380" s="1" t="s">
        <v>671</v>
      </c>
      <c r="D380" s="1" t="s">
        <v>3303</v>
      </c>
      <c r="E380" s="1" t="s">
        <v>1809</v>
      </c>
      <c r="F380" s="1" t="s">
        <v>3303</v>
      </c>
      <c r="G380" s="1" t="s">
        <v>3303</v>
      </c>
      <c r="H380" s="1" t="s">
        <v>3304</v>
      </c>
      <c r="I380" s="7" t="str" cm="1">
        <f t="array" ref="I380">IF(SUM(COUNTIF(Text_Preprocessing__2247[[#This Row],[full_text]],{"*makan siang gratis*";"*MBG*";"*makan gratis*";"*makan bergizi gratis*";"*makangratis*";"*makanan gratis*"})),"Relevan","Tidak Relevan")</f>
        <v>Tidak Relevan</v>
      </c>
      <c r="J380" s="1" t="s">
        <v>3622</v>
      </c>
    </row>
    <row r="381" spans="1:10" ht="43.5" x14ac:dyDescent="0.35">
      <c r="A381" s="1">
        <f t="shared" si="5"/>
        <v>380</v>
      </c>
      <c r="B381" s="1" t="s">
        <v>3305</v>
      </c>
      <c r="C381" s="1" t="s">
        <v>673</v>
      </c>
      <c r="D381" s="1" t="s">
        <v>3306</v>
      </c>
      <c r="E381" s="1" t="s">
        <v>2387</v>
      </c>
      <c r="F381" s="1" t="s">
        <v>3307</v>
      </c>
      <c r="G381" s="1" t="s">
        <v>3308</v>
      </c>
      <c r="H381" s="1" t="s">
        <v>3309</v>
      </c>
      <c r="I381" s="7" t="str" cm="1">
        <f t="array" ref="I381">IF(SUM(COUNTIF(Text_Preprocessing__2247[[#This Row],[full_text]],{"*makan siang gratis*";"*MBG*";"*makan gratis*";"*makan bergizi gratis*";"*makangratis*";"*makanan gratis*"})),"Relevan","Tidak Relevan")</f>
        <v>Relevan</v>
      </c>
      <c r="J381" s="1"/>
    </row>
    <row r="382" spans="1:10" ht="43.5" x14ac:dyDescent="0.35">
      <c r="A382" s="1">
        <f t="shared" si="5"/>
        <v>381</v>
      </c>
      <c r="B382" s="1" t="s">
        <v>3310</v>
      </c>
      <c r="C382" s="1" t="s">
        <v>675</v>
      </c>
      <c r="D382" s="1" t="s">
        <v>3311</v>
      </c>
      <c r="E382" s="1" t="s">
        <v>1785</v>
      </c>
      <c r="F382" s="1" t="s">
        <v>3312</v>
      </c>
      <c r="G382" s="1" t="s">
        <v>3312</v>
      </c>
      <c r="H382" s="1" t="s">
        <v>3313</v>
      </c>
      <c r="I382" s="7" t="str" cm="1">
        <f t="array" ref="I382">IF(SUM(COUNTIF(Text_Preprocessing__2247[[#This Row],[full_text]],{"*makan siang gratis*";"*MBG*";"*makan gratis*";"*makan bergizi gratis*";"*makangratis*";"*makanan gratis*"})),"Relevan","Tidak Relevan")</f>
        <v>Relevan</v>
      </c>
      <c r="J382" s="1"/>
    </row>
    <row r="383" spans="1:10" ht="43.5" x14ac:dyDescent="0.35">
      <c r="A383" s="1">
        <f t="shared" si="5"/>
        <v>382</v>
      </c>
      <c r="B383" s="1" t="s">
        <v>3314</v>
      </c>
      <c r="C383" s="1" t="s">
        <v>677</v>
      </c>
      <c r="D383" s="1" t="s">
        <v>3315</v>
      </c>
      <c r="E383" s="1" t="s">
        <v>1990</v>
      </c>
      <c r="F383" s="1" t="s">
        <v>3316</v>
      </c>
      <c r="G383" s="1" t="s">
        <v>3316</v>
      </c>
      <c r="H383" s="1" t="s">
        <v>3317</v>
      </c>
      <c r="I383" s="7" t="str" cm="1">
        <f t="array" ref="I383">IF(SUM(COUNTIF(Text_Preprocessing__2247[[#This Row],[full_text]],{"*makan siang gratis*";"*MBG*";"*makan gratis*";"*makan bergizi gratis*";"*makangratis*";"*makanan gratis*"})),"Relevan","Tidak Relevan")</f>
        <v>Relevan</v>
      </c>
      <c r="J383" s="1"/>
    </row>
    <row r="384" spans="1:10" ht="58" x14ac:dyDescent="0.35">
      <c r="A384" s="1">
        <f t="shared" si="5"/>
        <v>383</v>
      </c>
      <c r="B384" s="1" t="s">
        <v>3318</v>
      </c>
      <c r="C384" s="1" t="s">
        <v>679</v>
      </c>
      <c r="D384" s="1" t="s">
        <v>3319</v>
      </c>
      <c r="E384" s="1" t="s">
        <v>1758</v>
      </c>
      <c r="F384" s="1" t="s">
        <v>3320</v>
      </c>
      <c r="G384" s="1" t="s">
        <v>3321</v>
      </c>
      <c r="H384" s="1" t="s">
        <v>3322</v>
      </c>
      <c r="I384" s="7" t="str" cm="1">
        <f t="array" ref="I384">IF(SUM(COUNTIF(Text_Preprocessing__2247[[#This Row],[full_text]],{"*makan siang gratis*";"*MBG*";"*makan gratis*";"*makan bergizi gratis*";"*makangratis*";"*makanan gratis*"})),"Relevan","Tidak Relevan")</f>
        <v>Relevan</v>
      </c>
      <c r="J384" s="1"/>
    </row>
    <row r="385" spans="1:10" ht="29" x14ac:dyDescent="0.35">
      <c r="A385" s="1">
        <f t="shared" si="5"/>
        <v>384</v>
      </c>
      <c r="B385" s="1" t="s">
        <v>3323</v>
      </c>
      <c r="C385" s="1" t="s">
        <v>681</v>
      </c>
      <c r="D385" s="1" t="s">
        <v>3324</v>
      </c>
      <c r="E385" s="1" t="s">
        <v>1844</v>
      </c>
      <c r="F385" s="1" t="s">
        <v>3325</v>
      </c>
      <c r="G385" s="1" t="s">
        <v>3325</v>
      </c>
      <c r="H385" s="1" t="s">
        <v>3326</v>
      </c>
      <c r="I385" s="7" t="str" cm="1">
        <f t="array" ref="I385">IF(SUM(COUNTIF(Text_Preprocessing__2247[[#This Row],[full_text]],{"*makan siang gratis*";"*MBG*";"*makan gratis*";"*makan bergizi gratis*";"*makangratis*";"*makanan gratis*"})),"Relevan","Tidak Relevan")</f>
        <v>Tidak Relevan</v>
      </c>
      <c r="J385" s="1" t="s">
        <v>3622</v>
      </c>
    </row>
    <row r="386" spans="1:10" ht="43.5" x14ac:dyDescent="0.35">
      <c r="A386" s="1">
        <f t="shared" si="5"/>
        <v>385</v>
      </c>
      <c r="B386" s="1" t="s">
        <v>3327</v>
      </c>
      <c r="C386" s="1" t="s">
        <v>683</v>
      </c>
      <c r="D386" s="1" t="s">
        <v>3328</v>
      </c>
      <c r="E386" s="1" t="s">
        <v>3329</v>
      </c>
      <c r="F386" s="1" t="s">
        <v>3330</v>
      </c>
      <c r="G386" s="1" t="s">
        <v>3330</v>
      </c>
      <c r="H386" s="1" t="s">
        <v>3331</v>
      </c>
      <c r="I386" s="7" t="str" cm="1">
        <f t="array" ref="I386">IF(SUM(COUNTIF(Text_Preprocessing__2247[[#This Row],[full_text]],{"*makan siang gratis*";"*MBG*";"*makan gratis*";"*makan bergizi gratis*";"*makangratis*";"*makanan gratis*"})),"Relevan","Tidak Relevan")</f>
        <v>Relevan</v>
      </c>
      <c r="J386" s="1"/>
    </row>
    <row r="387" spans="1:10" ht="58" x14ac:dyDescent="0.35">
      <c r="A387" s="1">
        <f t="shared" ref="A387:A450" si="6">SUM(A386+1)</f>
        <v>386</v>
      </c>
      <c r="B387" s="1" t="s">
        <v>3332</v>
      </c>
      <c r="C387" s="1" t="s">
        <v>685</v>
      </c>
      <c r="D387" s="1" t="s">
        <v>3333</v>
      </c>
      <c r="E387" s="1" t="s">
        <v>1607</v>
      </c>
      <c r="F387" s="1" t="s">
        <v>3334</v>
      </c>
      <c r="G387" s="1" t="s">
        <v>3335</v>
      </c>
      <c r="H387" s="1" t="s">
        <v>3336</v>
      </c>
      <c r="I387" s="7" t="str" cm="1">
        <f t="array" ref="I387">IF(SUM(COUNTIF(Text_Preprocessing__2247[[#This Row],[full_text]],{"*makan siang gratis*";"*MBG*";"*makan gratis*";"*makan bergizi gratis*";"*makangratis*";"*makanan gratis*"})),"Relevan","Tidak Relevan")</f>
        <v>Relevan</v>
      </c>
      <c r="J387" s="1"/>
    </row>
    <row r="388" spans="1:10" ht="29" x14ac:dyDescent="0.35">
      <c r="A388" s="1">
        <f t="shared" si="6"/>
        <v>387</v>
      </c>
      <c r="B388" s="1" t="s">
        <v>3337</v>
      </c>
      <c r="C388" s="1" t="s">
        <v>687</v>
      </c>
      <c r="D388" s="1" t="s">
        <v>3338</v>
      </c>
      <c r="E388" s="1" t="s">
        <v>2229</v>
      </c>
      <c r="F388" s="1" t="s">
        <v>3339</v>
      </c>
      <c r="G388" s="1" t="s">
        <v>3339</v>
      </c>
      <c r="H388" s="1" t="s">
        <v>3340</v>
      </c>
      <c r="I388" s="7" t="str" cm="1">
        <f t="array" ref="I388">IF(SUM(COUNTIF(Text_Preprocessing__2247[[#This Row],[full_text]],{"*makan siang gratis*";"*MBG*";"*makan gratis*";"*makan bergizi gratis*";"*makangratis*";"*makanan gratis*"})),"Relevan","Tidak Relevan")</f>
        <v>Relevan</v>
      </c>
      <c r="J388" s="1"/>
    </row>
    <row r="389" spans="1:10" ht="43.5" x14ac:dyDescent="0.35">
      <c r="A389" s="1">
        <f t="shared" si="6"/>
        <v>388</v>
      </c>
      <c r="B389" s="1" t="s">
        <v>3341</v>
      </c>
      <c r="C389" s="1" t="s">
        <v>689</v>
      </c>
      <c r="D389" s="1" t="s">
        <v>3342</v>
      </c>
      <c r="E389" s="1" t="s">
        <v>2748</v>
      </c>
      <c r="F389" s="1" t="s">
        <v>3343</v>
      </c>
      <c r="G389" s="1" t="s">
        <v>3343</v>
      </c>
      <c r="H389" s="1" t="s">
        <v>3344</v>
      </c>
      <c r="I389" s="7" t="str" cm="1">
        <f t="array" ref="I389">IF(SUM(COUNTIF(Text_Preprocessing__2247[[#This Row],[full_text]],{"*makan siang gratis*";"*MBG*";"*makan gratis*";"*makan bergizi gratis*";"*makangratis*";"*makanan gratis*"})),"Relevan","Tidak Relevan")</f>
        <v>Relevan</v>
      </c>
      <c r="J389" s="1"/>
    </row>
    <row r="390" spans="1:10" ht="29" x14ac:dyDescent="0.35">
      <c r="A390" s="1">
        <f t="shared" si="6"/>
        <v>389</v>
      </c>
      <c r="B390" s="1" t="s">
        <v>3345</v>
      </c>
      <c r="C390" s="1" t="s">
        <v>691</v>
      </c>
      <c r="D390" s="1" t="s">
        <v>3346</v>
      </c>
      <c r="E390" s="1" t="s">
        <v>1730</v>
      </c>
      <c r="F390" s="1" t="s">
        <v>3347</v>
      </c>
      <c r="G390" s="1" t="s">
        <v>3348</v>
      </c>
      <c r="H390" s="1" t="s">
        <v>3349</v>
      </c>
      <c r="I390" s="7" t="str" cm="1">
        <f t="array" ref="I390">IF(SUM(COUNTIF(Text_Preprocessing__2247[[#This Row],[full_text]],{"*makan siang gratis*";"*MBG*";"*makan gratis*";"*makan bergizi gratis*";"*makangratis*";"*makanan gratis*"})),"Relevan","Tidak Relevan")</f>
        <v>Relevan</v>
      </c>
      <c r="J390" s="1"/>
    </row>
    <row r="391" spans="1:10" ht="58" x14ac:dyDescent="0.35">
      <c r="A391" s="1">
        <f t="shared" si="6"/>
        <v>390</v>
      </c>
      <c r="B391" s="1" t="s">
        <v>3350</v>
      </c>
      <c r="C391" s="1" t="s">
        <v>693</v>
      </c>
      <c r="D391" s="1" t="s">
        <v>3351</v>
      </c>
      <c r="E391" s="1" t="s">
        <v>2558</v>
      </c>
      <c r="F391" s="1" t="s">
        <v>3352</v>
      </c>
      <c r="G391" s="1" t="s">
        <v>3353</v>
      </c>
      <c r="H391" s="1" t="s">
        <v>3354</v>
      </c>
      <c r="I391" s="7" t="str" cm="1">
        <f t="array" ref="I391">IF(SUM(COUNTIF(Text_Preprocessing__2247[[#This Row],[full_text]],{"*makan siang gratis*";"*MBG*";"*makan gratis*";"*makan bergizi gratis*";"*makangratis*";"*makanan gratis*"})),"Relevan","Tidak Relevan")</f>
        <v>Relevan</v>
      </c>
      <c r="J391" s="1"/>
    </row>
    <row r="392" spans="1:10" ht="43.5" x14ac:dyDescent="0.35">
      <c r="A392" s="1">
        <f t="shared" si="6"/>
        <v>391</v>
      </c>
      <c r="B392" s="1" t="s">
        <v>3359</v>
      </c>
      <c r="C392" s="1" t="s">
        <v>697</v>
      </c>
      <c r="D392" s="1" t="s">
        <v>3360</v>
      </c>
      <c r="E392" s="1" t="s">
        <v>2862</v>
      </c>
      <c r="F392" s="1" t="s">
        <v>3361</v>
      </c>
      <c r="G392" s="1" t="s">
        <v>3361</v>
      </c>
      <c r="H392" s="1" t="s">
        <v>3362</v>
      </c>
      <c r="I392" s="7" t="str" cm="1">
        <f t="array" ref="I392">IF(SUM(COUNTIF(Text_Preprocessing__2247[[#This Row],[full_text]],{"*makan siang gratis*";"*MBG*";"*makan gratis*";"*makan bergizi gratis*";"*makangratis*";"*makanan gratis*"})),"Relevan","Tidak Relevan")</f>
        <v>Relevan</v>
      </c>
      <c r="J392" s="1"/>
    </row>
    <row r="393" spans="1:10" x14ac:dyDescent="0.35">
      <c r="A393" s="1">
        <f t="shared" si="6"/>
        <v>392</v>
      </c>
      <c r="B393" s="1" t="s">
        <v>3355</v>
      </c>
      <c r="C393" s="1" t="s">
        <v>699</v>
      </c>
      <c r="D393" s="1" t="s">
        <v>3356</v>
      </c>
      <c r="E393" s="1" t="s">
        <v>3357</v>
      </c>
      <c r="F393" s="1" t="s">
        <v>3356</v>
      </c>
      <c r="G393" s="1" t="s">
        <v>3356</v>
      </c>
      <c r="H393" s="1" t="s">
        <v>3358</v>
      </c>
      <c r="I393" s="7" t="str" cm="1">
        <f t="array" ref="I393">IF(SUM(COUNTIF(Text_Preprocessing__2247[[#This Row],[full_text]],{"*makan siang gratis*";"*MBG*";"*makan gratis*";"*makan bergizi gratis*";"*makangratis*";"*makanan gratis*"})),"Relevan","Tidak Relevan")</f>
        <v>Relevan</v>
      </c>
      <c r="J393" s="1"/>
    </row>
    <row r="394" spans="1:10" ht="29" x14ac:dyDescent="0.35">
      <c r="A394" s="1">
        <f t="shared" si="6"/>
        <v>393</v>
      </c>
      <c r="B394" s="1" t="s">
        <v>3363</v>
      </c>
      <c r="C394" s="1" t="s">
        <v>701</v>
      </c>
      <c r="D394" s="1" t="s">
        <v>3364</v>
      </c>
      <c r="E394" s="1" t="s">
        <v>3365</v>
      </c>
      <c r="F394" s="1" t="s">
        <v>3364</v>
      </c>
      <c r="G394" s="1" t="s">
        <v>3366</v>
      </c>
      <c r="H394" s="1" t="s">
        <v>3367</v>
      </c>
      <c r="I394" s="7" t="str" cm="1">
        <f t="array" ref="I394">IF(SUM(COUNTIF(Text_Preprocessing__2247[[#This Row],[full_text]],{"*makan siang gratis*";"*MBG*";"*makan gratis*";"*makan bergizi gratis*";"*makangratis*";"*makanan gratis*"})),"Relevan","Tidak Relevan")</f>
        <v>Relevan</v>
      </c>
      <c r="J394" s="1"/>
    </row>
    <row r="395" spans="1:10" ht="58" x14ac:dyDescent="0.35">
      <c r="A395" s="1">
        <f t="shared" si="6"/>
        <v>394</v>
      </c>
      <c r="B395" s="1" t="s">
        <v>3368</v>
      </c>
      <c r="C395" s="1" t="s">
        <v>703</v>
      </c>
      <c r="D395" s="1" t="s">
        <v>3369</v>
      </c>
      <c r="E395" s="1" t="s">
        <v>2299</v>
      </c>
      <c r="F395" s="1" t="s">
        <v>3370</v>
      </c>
      <c r="G395" s="1" t="s">
        <v>3371</v>
      </c>
      <c r="H395" s="1" t="s">
        <v>3372</v>
      </c>
      <c r="I395" s="7" t="str" cm="1">
        <f t="array" ref="I395">IF(SUM(COUNTIF(Text_Preprocessing__2247[[#This Row],[full_text]],{"*makan siang gratis*";"*MBG*";"*makan gratis*";"*makan bergizi gratis*";"*makangratis*";"*makanan gratis*"})),"Relevan","Tidak Relevan")</f>
        <v>Relevan</v>
      </c>
      <c r="J395" s="1"/>
    </row>
    <row r="396" spans="1:10" x14ac:dyDescent="0.35">
      <c r="A396" s="1">
        <f t="shared" si="6"/>
        <v>395</v>
      </c>
      <c r="B396" s="1" t="s">
        <v>3373</v>
      </c>
      <c r="C396" s="1" t="s">
        <v>705</v>
      </c>
      <c r="D396" s="1" t="s">
        <v>3374</v>
      </c>
      <c r="E396" s="1" t="s">
        <v>3131</v>
      </c>
      <c r="F396" s="1" t="s">
        <v>3374</v>
      </c>
      <c r="G396" s="1" t="s">
        <v>3374</v>
      </c>
      <c r="H396" s="1" t="s">
        <v>3375</v>
      </c>
      <c r="I396" s="7" t="str" cm="1">
        <f t="array" ref="I396">IF(SUM(COUNTIF(Text_Preprocessing__2247[[#This Row],[full_text]],{"*makan siang gratis*";"*MBG*";"*makan gratis*";"*makan bergizi gratis*";"*makangratis*";"*makanan gratis*"})),"Relevan","Tidak Relevan")</f>
        <v>Relevan</v>
      </c>
      <c r="J396" s="1"/>
    </row>
    <row r="397" spans="1:10" ht="58" x14ac:dyDescent="0.35">
      <c r="A397" s="1">
        <f t="shared" si="6"/>
        <v>396</v>
      </c>
      <c r="B397" s="1" t="s">
        <v>3376</v>
      </c>
      <c r="C397" s="1" t="s">
        <v>703</v>
      </c>
      <c r="D397" s="1" t="s">
        <v>3377</v>
      </c>
      <c r="E397" s="1" t="s">
        <v>2041</v>
      </c>
      <c r="F397" s="1" t="s">
        <v>3378</v>
      </c>
      <c r="G397" s="1" t="s">
        <v>3378</v>
      </c>
      <c r="H397" s="1" t="s">
        <v>3379</v>
      </c>
      <c r="I397" s="7" t="str" cm="1">
        <f t="array" ref="I397">IF(SUM(COUNTIF(Text_Preprocessing__2247[[#This Row],[full_text]],{"*makan siang gratis*";"*MBG*";"*makan gratis*";"*makan bergizi gratis*";"*makangratis*";"*makanan gratis*"})),"Relevan","Tidak Relevan")</f>
        <v>Relevan</v>
      </c>
      <c r="J397" s="1"/>
    </row>
    <row r="398" spans="1:10" ht="58" x14ac:dyDescent="0.35">
      <c r="A398" s="1">
        <f t="shared" si="6"/>
        <v>397</v>
      </c>
      <c r="B398" s="1" t="s">
        <v>3380</v>
      </c>
      <c r="C398" s="1" t="s">
        <v>157</v>
      </c>
      <c r="D398" s="1" t="s">
        <v>3381</v>
      </c>
      <c r="E398" s="1" t="s">
        <v>2149</v>
      </c>
      <c r="F398" s="1" t="s">
        <v>3382</v>
      </c>
      <c r="G398" s="1" t="s">
        <v>3382</v>
      </c>
      <c r="H398" s="1" t="s">
        <v>3383</v>
      </c>
      <c r="I398" s="7" t="str" cm="1">
        <f t="array" ref="I398">IF(SUM(COUNTIF(Text_Preprocessing__2247[[#This Row],[full_text]],{"*makan siang gratis*";"*MBG*";"*makan gratis*";"*makan bergizi gratis*";"*makangratis*";"*makanan gratis*"})),"Relevan","Tidak Relevan")</f>
        <v>Relevan</v>
      </c>
      <c r="J398" s="1"/>
    </row>
    <row r="399" spans="1:10" ht="29" x14ac:dyDescent="0.35">
      <c r="A399" s="1">
        <f t="shared" si="6"/>
        <v>398</v>
      </c>
      <c r="B399" s="1" t="s">
        <v>3384</v>
      </c>
      <c r="C399" s="1" t="s">
        <v>711</v>
      </c>
      <c r="D399" s="1" t="s">
        <v>3385</v>
      </c>
      <c r="E399" s="1" t="s">
        <v>1735</v>
      </c>
      <c r="F399" s="1" t="s">
        <v>3386</v>
      </c>
      <c r="G399" s="1" t="s">
        <v>3386</v>
      </c>
      <c r="H399" s="1" t="s">
        <v>3387</v>
      </c>
      <c r="I399" s="7" t="str" cm="1">
        <f t="array" ref="I399">IF(SUM(COUNTIF(Text_Preprocessing__2247[[#This Row],[full_text]],{"*makan siang gratis*";"*MBG*";"*makan gratis*";"*makan bergizi gratis*";"*makangratis*";"*makanan gratis*"})),"Relevan","Tidak Relevan")</f>
        <v>Relevan</v>
      </c>
      <c r="J399" s="1"/>
    </row>
    <row r="400" spans="1:10" ht="29" x14ac:dyDescent="0.35">
      <c r="A400" s="1">
        <f t="shared" si="6"/>
        <v>399</v>
      </c>
      <c r="B400" s="1" t="s">
        <v>3388</v>
      </c>
      <c r="C400" s="1" t="s">
        <v>713</v>
      </c>
      <c r="D400" s="1" t="s">
        <v>3389</v>
      </c>
      <c r="E400" s="1" t="s">
        <v>1730</v>
      </c>
      <c r="F400" s="1" t="s">
        <v>3390</v>
      </c>
      <c r="G400" s="1" t="s">
        <v>3390</v>
      </c>
      <c r="H400" s="1" t="s">
        <v>3391</v>
      </c>
      <c r="I400" s="7" t="str" cm="1">
        <f t="array" ref="I400">IF(SUM(COUNTIF(Text_Preprocessing__2247[[#This Row],[full_text]],{"*makan siang gratis*";"*MBG*";"*makan gratis*";"*makan bergizi gratis*";"*makangratis*";"*makanan gratis*"})),"Relevan","Tidak Relevan")</f>
        <v>Relevan</v>
      </c>
      <c r="J400" s="1"/>
    </row>
    <row r="401" spans="1:10" ht="43.5" x14ac:dyDescent="0.35">
      <c r="A401" s="1">
        <f t="shared" si="6"/>
        <v>400</v>
      </c>
      <c r="B401" s="1" t="s">
        <v>3392</v>
      </c>
      <c r="C401" s="1" t="s">
        <v>715</v>
      </c>
      <c r="D401" s="1" t="s">
        <v>3393</v>
      </c>
      <c r="E401" s="1" t="s">
        <v>2210</v>
      </c>
      <c r="F401" s="1" t="s">
        <v>3394</v>
      </c>
      <c r="G401" s="1" t="s">
        <v>3395</v>
      </c>
      <c r="H401" s="1" t="s">
        <v>3396</v>
      </c>
      <c r="I401" s="7" t="str" cm="1">
        <f t="array" ref="I401">IF(SUM(COUNTIF(Text_Preprocessing__2247[[#This Row],[full_text]],{"*makan siang gratis*";"*MBG*";"*makan gratis*";"*makan bergizi gratis*";"*makangratis*";"*makanan gratis*"})),"Relevan","Tidak Relevan")</f>
        <v>Tidak Relevan</v>
      </c>
      <c r="J401" s="1" t="s">
        <v>3622</v>
      </c>
    </row>
    <row r="402" spans="1:10" ht="58" x14ac:dyDescent="0.35">
      <c r="A402" s="1">
        <f t="shared" si="6"/>
        <v>401</v>
      </c>
      <c r="B402" s="1" t="s">
        <v>3397</v>
      </c>
      <c r="C402" s="1" t="s">
        <v>76</v>
      </c>
      <c r="D402" s="1" t="s">
        <v>3398</v>
      </c>
      <c r="E402" s="1" t="s">
        <v>1853</v>
      </c>
      <c r="F402" s="1" t="s">
        <v>3399</v>
      </c>
      <c r="G402" s="1" t="s">
        <v>3399</v>
      </c>
      <c r="H402" s="1" t="s">
        <v>3400</v>
      </c>
      <c r="I402" s="7" t="str" cm="1">
        <f t="array" ref="I402">IF(SUM(COUNTIF(Text_Preprocessing__2247[[#This Row],[full_text]],{"*makan siang gratis*";"*MBG*";"*makan gratis*";"*makan bergizi gratis*";"*makangratis*";"*makanan gratis*"})),"Relevan","Tidak Relevan")</f>
        <v>Relevan</v>
      </c>
      <c r="J402" s="1"/>
    </row>
    <row r="403" spans="1:10" ht="43.5" x14ac:dyDescent="0.35">
      <c r="A403" s="1">
        <f t="shared" si="6"/>
        <v>402</v>
      </c>
      <c r="B403" s="1" t="s">
        <v>3401</v>
      </c>
      <c r="C403" s="1" t="s">
        <v>718</v>
      </c>
      <c r="D403" s="1" t="s">
        <v>3402</v>
      </c>
      <c r="E403" s="1" t="s">
        <v>2748</v>
      </c>
      <c r="F403" s="1" t="s">
        <v>3403</v>
      </c>
      <c r="G403" s="1" t="s">
        <v>3403</v>
      </c>
      <c r="H403" s="1" t="s">
        <v>3404</v>
      </c>
      <c r="I403" s="7" t="str" cm="1">
        <f t="array" ref="I403">IF(SUM(COUNTIF(Text_Preprocessing__2247[[#This Row],[full_text]],{"*makan siang gratis*";"*MBG*";"*makan gratis*";"*makan bergizi gratis*";"*makangratis*";"*makanan gratis*"})),"Relevan","Tidak Relevan")</f>
        <v>Relevan</v>
      </c>
      <c r="J403" s="1"/>
    </row>
    <row r="404" spans="1:10" ht="58" x14ac:dyDescent="0.35">
      <c r="A404" s="1">
        <f t="shared" si="6"/>
        <v>403</v>
      </c>
      <c r="B404" s="1" t="s">
        <v>3405</v>
      </c>
      <c r="C404" s="1" t="s">
        <v>105</v>
      </c>
      <c r="D404" s="1" t="s">
        <v>3406</v>
      </c>
      <c r="E404" s="1" t="s">
        <v>2599</v>
      </c>
      <c r="F404" s="1" t="s">
        <v>3407</v>
      </c>
      <c r="G404" s="1" t="s">
        <v>3407</v>
      </c>
      <c r="H404" s="1" t="s">
        <v>3408</v>
      </c>
      <c r="I404" s="7" t="str" cm="1">
        <f t="array" ref="I404">IF(SUM(COUNTIF(Text_Preprocessing__2247[[#This Row],[full_text]],{"*makan siang gratis*";"*MBG*";"*makan gratis*";"*makan bergizi gratis*";"*makangratis*";"*makanan gratis*"})),"Relevan","Tidak Relevan")</f>
        <v>Relevan</v>
      </c>
      <c r="J404" s="1"/>
    </row>
    <row r="405" spans="1:10" ht="58" x14ac:dyDescent="0.35">
      <c r="A405" s="1">
        <f t="shared" si="6"/>
        <v>404</v>
      </c>
      <c r="B405" s="1" t="s">
        <v>3409</v>
      </c>
      <c r="C405" s="1" t="s">
        <v>721</v>
      </c>
      <c r="D405" s="1" t="s">
        <v>3410</v>
      </c>
      <c r="E405" s="1" t="s">
        <v>2143</v>
      </c>
      <c r="F405" s="1" t="s">
        <v>3411</v>
      </c>
      <c r="G405" s="1" t="s">
        <v>3411</v>
      </c>
      <c r="H405" s="1" t="s">
        <v>3412</v>
      </c>
      <c r="I405" s="7" t="str" cm="1">
        <f t="array" ref="I405">IF(SUM(COUNTIF(Text_Preprocessing__2247[[#This Row],[full_text]],{"*makan siang gratis*";"*MBG*";"*makan gratis*";"*makan bergizi gratis*";"*makangratis*";"*makanan gratis*"})),"Relevan","Tidak Relevan")</f>
        <v>Relevan</v>
      </c>
      <c r="J405" s="1"/>
    </row>
    <row r="406" spans="1:10" ht="58" x14ac:dyDescent="0.35">
      <c r="A406" s="1">
        <f t="shared" si="6"/>
        <v>405</v>
      </c>
      <c r="B406" s="1" t="s">
        <v>3413</v>
      </c>
      <c r="C406" s="1" t="s">
        <v>653</v>
      </c>
      <c r="D406" s="1" t="s">
        <v>3414</v>
      </c>
      <c r="E406" s="1" t="s">
        <v>2640</v>
      </c>
      <c r="F406" s="1" t="s">
        <v>3415</v>
      </c>
      <c r="G406" s="1" t="s">
        <v>3415</v>
      </c>
      <c r="H406" s="1" t="s">
        <v>3416</v>
      </c>
      <c r="I406" s="7" t="str" cm="1">
        <f t="array" ref="I406">IF(SUM(COUNTIF(Text_Preprocessing__2247[[#This Row],[full_text]],{"*makan siang gratis*";"*MBG*";"*makan gratis*";"*makan bergizi gratis*";"*makangratis*";"*makanan gratis*"})),"Relevan","Tidak Relevan")</f>
        <v>Relevan</v>
      </c>
      <c r="J406" s="1"/>
    </row>
    <row r="407" spans="1:10" ht="58" x14ac:dyDescent="0.35">
      <c r="A407" s="1">
        <f t="shared" si="6"/>
        <v>406</v>
      </c>
      <c r="B407" s="1" t="s">
        <v>3417</v>
      </c>
      <c r="C407" s="1" t="s">
        <v>510</v>
      </c>
      <c r="D407" s="1" t="s">
        <v>3418</v>
      </c>
      <c r="E407" s="1" t="s">
        <v>2640</v>
      </c>
      <c r="F407" s="1" t="s">
        <v>3419</v>
      </c>
      <c r="G407" s="1" t="s">
        <v>3419</v>
      </c>
      <c r="H407" s="1" t="s">
        <v>3420</v>
      </c>
      <c r="I407" s="7" t="str" cm="1">
        <f t="array" ref="I407">IF(SUM(COUNTIF(Text_Preprocessing__2247[[#This Row],[full_text]],{"*makan siang gratis*";"*MBG*";"*makan gratis*";"*makan bergizi gratis*";"*makangratis*";"*makanan gratis*"})),"Relevan","Tidak Relevan")</f>
        <v>Relevan</v>
      </c>
      <c r="J407" s="1"/>
    </row>
    <row r="408" spans="1:10" ht="58" x14ac:dyDescent="0.35">
      <c r="A408" s="1">
        <f t="shared" si="6"/>
        <v>407</v>
      </c>
      <c r="B408" s="1" t="s">
        <v>3421</v>
      </c>
      <c r="C408" s="1" t="s">
        <v>172</v>
      </c>
      <c r="D408" s="1" t="s">
        <v>3422</v>
      </c>
      <c r="E408" s="1" t="s">
        <v>2109</v>
      </c>
      <c r="F408" s="1" t="s">
        <v>3423</v>
      </c>
      <c r="G408" s="1" t="s">
        <v>3423</v>
      </c>
      <c r="H408" s="1" t="s">
        <v>3424</v>
      </c>
      <c r="I408" s="7" t="str" cm="1">
        <f t="array" ref="I408">IF(SUM(COUNTIF(Text_Preprocessing__2247[[#This Row],[full_text]],{"*makan siang gratis*";"*MBG*";"*makan gratis*";"*makan bergizi gratis*";"*makangratis*";"*makanan gratis*"})),"Relevan","Tidak Relevan")</f>
        <v>Relevan</v>
      </c>
      <c r="J408" s="1"/>
    </row>
    <row r="409" spans="1:10" x14ac:dyDescent="0.35">
      <c r="A409" s="1">
        <f t="shared" si="6"/>
        <v>408</v>
      </c>
      <c r="B409" s="1" t="s">
        <v>3425</v>
      </c>
      <c r="C409" s="1" t="s">
        <v>726</v>
      </c>
      <c r="D409" s="1" t="s">
        <v>3426</v>
      </c>
      <c r="E409" s="1" t="s">
        <v>1844</v>
      </c>
      <c r="F409" s="1" t="s">
        <v>3427</v>
      </c>
      <c r="G409" s="1" t="s">
        <v>3428</v>
      </c>
      <c r="H409" s="1" t="s">
        <v>3429</v>
      </c>
      <c r="I409" s="7" t="str" cm="1">
        <f t="array" ref="I409">IF(SUM(COUNTIF(Text_Preprocessing__2247[[#This Row],[full_text]],{"*makan siang gratis*";"*MBG*";"*makan gratis*";"*makan bergizi gratis*";"*makangratis*";"*makanan gratis*"})),"Relevan","Tidak Relevan")</f>
        <v>Relevan</v>
      </c>
      <c r="J409" s="1"/>
    </row>
    <row r="410" spans="1:10" ht="58" x14ac:dyDescent="0.35">
      <c r="A410" s="1">
        <f t="shared" si="6"/>
        <v>409</v>
      </c>
      <c r="B410" s="1" t="s">
        <v>3430</v>
      </c>
      <c r="C410" s="1" t="s">
        <v>565</v>
      </c>
      <c r="D410" s="1" t="s">
        <v>3431</v>
      </c>
      <c r="E410" s="1" t="s">
        <v>2082</v>
      </c>
      <c r="F410" s="1" t="s">
        <v>3432</v>
      </c>
      <c r="G410" s="1" t="s">
        <v>3432</v>
      </c>
      <c r="H410" s="1" t="s">
        <v>3433</v>
      </c>
      <c r="I410" s="7" t="str" cm="1">
        <f t="array" ref="I410">IF(SUM(COUNTIF(Text_Preprocessing__2247[[#This Row],[full_text]],{"*makan siang gratis*";"*MBG*";"*makan gratis*";"*makan bergizi gratis*";"*makangratis*";"*makanan gratis*"})),"Relevan","Tidak Relevan")</f>
        <v>Relevan</v>
      </c>
      <c r="J410" s="1"/>
    </row>
    <row r="411" spans="1:10" ht="58" x14ac:dyDescent="0.35">
      <c r="A411" s="1">
        <f t="shared" si="6"/>
        <v>410</v>
      </c>
      <c r="B411" s="1" t="s">
        <v>3434</v>
      </c>
      <c r="C411" s="1" t="s">
        <v>442</v>
      </c>
      <c r="D411" s="1" t="s">
        <v>3435</v>
      </c>
      <c r="E411" s="1" t="s">
        <v>1629</v>
      </c>
      <c r="F411" s="1" t="s">
        <v>3436</v>
      </c>
      <c r="G411" s="1" t="s">
        <v>3436</v>
      </c>
      <c r="H411" s="1" t="s">
        <v>3437</v>
      </c>
      <c r="I411" s="7" t="str" cm="1">
        <f t="array" ref="I411">IF(SUM(COUNTIF(Text_Preprocessing__2247[[#This Row],[full_text]],{"*makan siang gratis*";"*MBG*";"*makan gratis*";"*makan bergizi gratis*";"*makangratis*";"*makanan gratis*"})),"Relevan","Tidak Relevan")</f>
        <v>Relevan</v>
      </c>
      <c r="J411" s="1"/>
    </row>
    <row r="412" spans="1:10" ht="43.5" x14ac:dyDescent="0.35">
      <c r="A412" s="1">
        <f t="shared" si="6"/>
        <v>411</v>
      </c>
      <c r="B412" s="1" t="s">
        <v>3438</v>
      </c>
      <c r="C412" s="1" t="s">
        <v>730</v>
      </c>
      <c r="D412" s="1" t="s">
        <v>3439</v>
      </c>
      <c r="E412" s="1" t="s">
        <v>2253</v>
      </c>
      <c r="F412" s="1" t="s">
        <v>3440</v>
      </c>
      <c r="G412" s="1" t="s">
        <v>3441</v>
      </c>
      <c r="H412" s="1" t="s">
        <v>3442</v>
      </c>
      <c r="I412" s="7" t="str" cm="1">
        <f t="array" ref="I412">IF(SUM(COUNTIF(Text_Preprocessing__2247[[#This Row],[full_text]],{"*makan siang gratis*";"*MBG*";"*makan gratis*";"*makan bergizi gratis*";"*makangratis*";"*makanan gratis*"})),"Relevan","Tidak Relevan")</f>
        <v>Relevan</v>
      </c>
      <c r="J412" s="1"/>
    </row>
    <row r="413" spans="1:10" ht="72.5" x14ac:dyDescent="0.35">
      <c r="A413" s="1">
        <f t="shared" si="6"/>
        <v>412</v>
      </c>
      <c r="B413" s="1" t="s">
        <v>3443</v>
      </c>
      <c r="C413" s="1" t="s">
        <v>732</v>
      </c>
      <c r="D413" s="1" t="s">
        <v>3444</v>
      </c>
      <c r="E413" s="1" t="s">
        <v>3445</v>
      </c>
      <c r="F413" s="1" t="s">
        <v>3446</v>
      </c>
      <c r="G413" s="1" t="s">
        <v>3446</v>
      </c>
      <c r="H413" s="1" t="s">
        <v>3447</v>
      </c>
      <c r="I413" s="7" t="str" cm="1">
        <f t="array" ref="I413">IF(SUM(COUNTIF(Text_Preprocessing__2247[[#This Row],[full_text]],{"*makan siang gratis*";"*MBG*";"*makan gratis*";"*makan bergizi gratis*";"*makangratis*";"*makanan gratis*"})),"Relevan","Tidak Relevan")</f>
        <v>Relevan</v>
      </c>
      <c r="J413" s="1"/>
    </row>
    <row r="414" spans="1:10" ht="29" x14ac:dyDescent="0.35">
      <c r="A414" s="1">
        <f t="shared" si="6"/>
        <v>413</v>
      </c>
      <c r="B414" s="1" t="s">
        <v>3448</v>
      </c>
      <c r="C414" s="1" t="s">
        <v>734</v>
      </c>
      <c r="D414" s="1" t="s">
        <v>3449</v>
      </c>
      <c r="E414" s="1" t="s">
        <v>1799</v>
      </c>
      <c r="F414" s="1" t="s">
        <v>3450</v>
      </c>
      <c r="G414" s="1" t="s">
        <v>3450</v>
      </c>
      <c r="H414" s="1" t="s">
        <v>3451</v>
      </c>
      <c r="I414" s="7" t="str" cm="1">
        <f t="array" ref="I414">IF(SUM(COUNTIF(Text_Preprocessing__2247[[#This Row],[full_text]],{"*makan siang gratis*";"*MBG*";"*makan gratis*";"*makan bergizi gratis*";"*makangratis*";"*makanan gratis*"})),"Relevan","Tidak Relevan")</f>
        <v>Relevan</v>
      </c>
      <c r="J414" s="1"/>
    </row>
    <row r="415" spans="1:10" ht="58" x14ac:dyDescent="0.35">
      <c r="A415" s="1">
        <f t="shared" si="6"/>
        <v>414</v>
      </c>
      <c r="B415" s="1" t="s">
        <v>3452</v>
      </c>
      <c r="C415" s="1" t="s">
        <v>703</v>
      </c>
      <c r="D415" s="1" t="s">
        <v>3453</v>
      </c>
      <c r="E415" s="1" t="s">
        <v>3454</v>
      </c>
      <c r="F415" s="1" t="s">
        <v>3455</v>
      </c>
      <c r="G415" s="1" t="s">
        <v>3455</v>
      </c>
      <c r="H415" s="1" t="s">
        <v>3456</v>
      </c>
      <c r="I415" s="7" t="str" cm="1">
        <f t="array" ref="I415">IF(SUM(COUNTIF(Text_Preprocessing__2247[[#This Row],[full_text]],{"*makan siang gratis*";"*MBG*";"*makan gratis*";"*makan bergizi gratis*";"*makangratis*";"*makanan gratis*"})),"Relevan","Tidak Relevan")</f>
        <v>Relevan</v>
      </c>
      <c r="J415" s="1"/>
    </row>
    <row r="416" spans="1:10" ht="58" x14ac:dyDescent="0.35">
      <c r="A416" s="1">
        <f t="shared" si="6"/>
        <v>415</v>
      </c>
      <c r="B416" s="1" t="s">
        <v>3457</v>
      </c>
      <c r="C416" s="1" t="s">
        <v>737</v>
      </c>
      <c r="D416" s="1" t="s">
        <v>3458</v>
      </c>
      <c r="E416" s="1" t="s">
        <v>3459</v>
      </c>
      <c r="F416" s="1" t="s">
        <v>3460</v>
      </c>
      <c r="G416" s="1" t="s">
        <v>3460</v>
      </c>
      <c r="H416" s="1" t="s">
        <v>3461</v>
      </c>
      <c r="I416" s="7" t="str" cm="1">
        <f t="array" ref="I416">IF(SUM(COUNTIF(Text_Preprocessing__2247[[#This Row],[full_text]],{"*makan siang gratis*";"*MBG*";"*makan gratis*";"*makan bergizi gratis*";"*makangratis*";"*makanan gratis*"})),"Relevan","Tidak Relevan")</f>
        <v>Relevan</v>
      </c>
      <c r="J416" s="1"/>
    </row>
    <row r="417" spans="1:10" ht="43.5" x14ac:dyDescent="0.35">
      <c r="A417" s="1">
        <f t="shared" si="6"/>
        <v>416</v>
      </c>
      <c r="B417" s="1" t="s">
        <v>3462</v>
      </c>
      <c r="C417" s="1" t="s">
        <v>739</v>
      </c>
      <c r="D417" s="1" t="s">
        <v>3463</v>
      </c>
      <c r="E417" s="1" t="s">
        <v>1607</v>
      </c>
      <c r="F417" s="1" t="s">
        <v>3464</v>
      </c>
      <c r="G417" s="1" t="s">
        <v>3464</v>
      </c>
      <c r="H417" s="1" t="s">
        <v>3465</v>
      </c>
      <c r="I417" s="7" t="str" cm="1">
        <f t="array" ref="I417">IF(SUM(COUNTIF(Text_Preprocessing__2247[[#This Row],[full_text]],{"*makan siang gratis*";"*MBG*";"*makan gratis*";"*makan bergizi gratis*";"*makangratis*";"*makanan gratis*"})),"Relevan","Tidak Relevan")</f>
        <v>Relevan</v>
      </c>
      <c r="J417" s="1"/>
    </row>
    <row r="418" spans="1:10" ht="43.5" x14ac:dyDescent="0.35">
      <c r="A418" s="1">
        <f t="shared" si="6"/>
        <v>417</v>
      </c>
      <c r="B418" s="1" t="s">
        <v>3466</v>
      </c>
      <c r="C418" s="1" t="s">
        <v>739</v>
      </c>
      <c r="D418" s="1" t="s">
        <v>3467</v>
      </c>
      <c r="E418" s="1" t="s">
        <v>3468</v>
      </c>
      <c r="F418" s="1" t="s">
        <v>3469</v>
      </c>
      <c r="G418" s="1" t="s">
        <v>3469</v>
      </c>
      <c r="H418" s="1" t="s">
        <v>3470</v>
      </c>
      <c r="I418" s="7" t="str" cm="1">
        <f t="array" ref="I418">IF(SUM(COUNTIF(Text_Preprocessing__2247[[#This Row],[full_text]],{"*makan siang gratis*";"*MBG*";"*makan gratis*";"*makan bergizi gratis*";"*makangratis*";"*makanan gratis*"})),"Relevan","Tidak Relevan")</f>
        <v>Relevan</v>
      </c>
      <c r="J418" s="1"/>
    </row>
    <row r="419" spans="1:10" ht="43.5" x14ac:dyDescent="0.35">
      <c r="A419" s="1">
        <f t="shared" si="6"/>
        <v>418</v>
      </c>
      <c r="B419" s="1" t="s">
        <v>3471</v>
      </c>
      <c r="C419" s="1" t="s">
        <v>742</v>
      </c>
      <c r="D419" s="1" t="s">
        <v>3472</v>
      </c>
      <c r="E419" s="1" t="s">
        <v>1686</v>
      </c>
      <c r="F419" s="1" t="s">
        <v>3473</v>
      </c>
      <c r="G419" s="1" t="s">
        <v>3473</v>
      </c>
      <c r="H419" s="1" t="s">
        <v>3474</v>
      </c>
      <c r="I419" s="7" t="str" cm="1">
        <f t="array" ref="I419">IF(SUM(COUNTIF(Text_Preprocessing__2247[[#This Row],[full_text]],{"*makan siang gratis*";"*MBG*";"*makan gratis*";"*makan bergizi gratis*";"*makangratis*";"*makanan gratis*"})),"Relevan","Tidak Relevan")</f>
        <v>Relevan</v>
      </c>
      <c r="J419" s="1"/>
    </row>
    <row r="420" spans="1:10" ht="58" x14ac:dyDescent="0.35">
      <c r="A420" s="1">
        <f t="shared" si="6"/>
        <v>419</v>
      </c>
      <c r="B420" s="1" t="s">
        <v>3475</v>
      </c>
      <c r="C420" s="1" t="s">
        <v>379</v>
      </c>
      <c r="D420" s="1" t="s">
        <v>3476</v>
      </c>
      <c r="E420" s="1" t="s">
        <v>2159</v>
      </c>
      <c r="F420" s="1" t="s">
        <v>3477</v>
      </c>
      <c r="G420" s="1" t="s">
        <v>3477</v>
      </c>
      <c r="H420" s="1" t="s">
        <v>3478</v>
      </c>
      <c r="I420" s="7" t="str" cm="1">
        <f t="array" ref="I420">IF(SUM(COUNTIF(Text_Preprocessing__2247[[#This Row],[full_text]],{"*makan siang gratis*";"*MBG*";"*makan gratis*";"*makan bergizi gratis*";"*makangratis*";"*makanan gratis*"})),"Relevan","Tidak Relevan")</f>
        <v>Relevan</v>
      </c>
      <c r="J420" s="1"/>
    </row>
    <row r="421" spans="1:10" ht="58" x14ac:dyDescent="0.35">
      <c r="A421" s="1">
        <f t="shared" si="6"/>
        <v>420</v>
      </c>
      <c r="B421" s="1" t="s">
        <v>3479</v>
      </c>
      <c r="C421" s="1" t="s">
        <v>746</v>
      </c>
      <c r="D421" s="1" t="s">
        <v>3480</v>
      </c>
      <c r="E421" s="1" t="s">
        <v>3481</v>
      </c>
      <c r="F421" s="1" t="s">
        <v>3482</v>
      </c>
      <c r="G421" s="1" t="s">
        <v>3482</v>
      </c>
      <c r="H421" s="1" t="s">
        <v>3483</v>
      </c>
      <c r="I421" s="7" t="str" cm="1">
        <f t="array" ref="I421">IF(SUM(COUNTIF(Text_Preprocessing__2247[[#This Row],[full_text]],{"*makan siang gratis*";"*MBG*";"*makan gratis*";"*makan bergizi gratis*";"*makangratis*";"*makanan gratis*"})),"Relevan","Tidak Relevan")</f>
        <v>Relevan</v>
      </c>
      <c r="J421" s="1"/>
    </row>
    <row r="422" spans="1:10" ht="58" x14ac:dyDescent="0.35">
      <c r="A422" s="1">
        <f t="shared" si="6"/>
        <v>421</v>
      </c>
      <c r="B422" s="1" t="s">
        <v>3484</v>
      </c>
      <c r="C422" s="1" t="s">
        <v>748</v>
      </c>
      <c r="D422" s="1" t="s">
        <v>3485</v>
      </c>
      <c r="E422" s="1" t="s">
        <v>2069</v>
      </c>
      <c r="F422" s="1" t="s">
        <v>3486</v>
      </c>
      <c r="G422" s="1" t="s">
        <v>3487</v>
      </c>
      <c r="H422" s="1" t="s">
        <v>3488</v>
      </c>
      <c r="I422" s="7" t="str" cm="1">
        <f t="array" ref="I422">IF(SUM(COUNTIF(Text_Preprocessing__2247[[#This Row],[full_text]],{"*makan siang gratis*";"*MBG*";"*makan gratis*";"*makan bergizi gratis*";"*makangratis*";"*makanan gratis*"})),"Relevan","Tidak Relevan")</f>
        <v>Relevan</v>
      </c>
      <c r="J422" s="1"/>
    </row>
    <row r="423" spans="1:10" ht="43.5" x14ac:dyDescent="0.35">
      <c r="A423" s="1">
        <f t="shared" si="6"/>
        <v>422</v>
      </c>
      <c r="B423" s="1" t="s">
        <v>3489</v>
      </c>
      <c r="C423" s="1" t="s">
        <v>750</v>
      </c>
      <c r="D423" s="1" t="s">
        <v>3490</v>
      </c>
      <c r="E423" s="1" t="s">
        <v>1990</v>
      </c>
      <c r="F423" s="1" t="s">
        <v>3491</v>
      </c>
      <c r="G423" s="1" t="s">
        <v>3491</v>
      </c>
      <c r="H423" s="1" t="s">
        <v>3492</v>
      </c>
      <c r="I423" s="7" t="str" cm="1">
        <f t="array" ref="I423">IF(SUM(COUNTIF(Text_Preprocessing__2247[[#This Row],[full_text]],{"*makan siang gratis*";"*MBG*";"*makan gratis*";"*makan bergizi gratis*";"*makangratis*";"*makanan gratis*"})),"Relevan","Tidak Relevan")</f>
        <v>Relevan</v>
      </c>
      <c r="J423" s="1"/>
    </row>
    <row r="424" spans="1:10" ht="29" x14ac:dyDescent="0.35">
      <c r="A424" s="1">
        <f t="shared" si="6"/>
        <v>423</v>
      </c>
      <c r="B424" s="1" t="s">
        <v>3493</v>
      </c>
      <c r="C424" s="1" t="s">
        <v>752</v>
      </c>
      <c r="D424" s="1" t="s">
        <v>3494</v>
      </c>
      <c r="E424" s="1" t="s">
        <v>2229</v>
      </c>
      <c r="F424" s="1" t="s">
        <v>3495</v>
      </c>
      <c r="G424" s="1" t="s">
        <v>3495</v>
      </c>
      <c r="H424" s="1" t="s">
        <v>3496</v>
      </c>
      <c r="I424" s="7" t="str" cm="1">
        <f t="array" ref="I424">IF(SUM(COUNTIF(Text_Preprocessing__2247[[#This Row],[full_text]],{"*makan siang gratis*";"*MBG*";"*makan gratis*";"*makan bergizi gratis*";"*makangratis*";"*makanan gratis*"})),"Relevan","Tidak Relevan")</f>
        <v>Tidak Relevan</v>
      </c>
      <c r="J424" s="1" t="s">
        <v>3622</v>
      </c>
    </row>
    <row r="425" spans="1:10" ht="58" x14ac:dyDescent="0.35">
      <c r="A425" s="1">
        <f t="shared" si="6"/>
        <v>424</v>
      </c>
      <c r="B425" s="1" t="s">
        <v>3497</v>
      </c>
      <c r="C425" s="1" t="s">
        <v>754</v>
      </c>
      <c r="D425" s="1" t="s">
        <v>3498</v>
      </c>
      <c r="E425" s="1" t="s">
        <v>2609</v>
      </c>
      <c r="F425" s="1" t="s">
        <v>3499</v>
      </c>
      <c r="G425" s="1" t="s">
        <v>3500</v>
      </c>
      <c r="H425" s="1" t="s">
        <v>3501</v>
      </c>
      <c r="I425" s="7" t="str" cm="1">
        <f t="array" ref="I425">IF(SUM(COUNTIF(Text_Preprocessing__2247[[#This Row],[full_text]],{"*makan siang gratis*";"*MBG*";"*makan gratis*";"*makan bergizi gratis*";"*makangratis*";"*makanan gratis*"})),"Relevan","Tidak Relevan")</f>
        <v>Relevan</v>
      </c>
      <c r="J425" s="1"/>
    </row>
    <row r="426" spans="1:10" ht="58" x14ac:dyDescent="0.35">
      <c r="A426" s="1">
        <f t="shared" si="6"/>
        <v>425</v>
      </c>
      <c r="B426" s="1" t="s">
        <v>3502</v>
      </c>
      <c r="C426" s="1" t="s">
        <v>754</v>
      </c>
      <c r="D426" s="1" t="s">
        <v>3503</v>
      </c>
      <c r="E426" s="1" t="s">
        <v>2299</v>
      </c>
      <c r="F426" s="1" t="s">
        <v>3504</v>
      </c>
      <c r="G426" s="1" t="s">
        <v>3505</v>
      </c>
      <c r="H426" s="1" t="s">
        <v>3506</v>
      </c>
      <c r="I426" s="7" t="str" cm="1">
        <f t="array" ref="I426">IF(SUM(COUNTIF(Text_Preprocessing__2247[[#This Row],[full_text]],{"*makan siang gratis*";"*MBG*";"*makan gratis*";"*makan bergizi gratis*";"*makangratis*";"*makanan gratis*"})),"Relevan","Tidak Relevan")</f>
        <v>Tidak Relevan</v>
      </c>
      <c r="J426" s="1" t="s">
        <v>3622</v>
      </c>
    </row>
    <row r="427" spans="1:10" ht="43.5" x14ac:dyDescent="0.35">
      <c r="A427" s="1">
        <f t="shared" si="6"/>
        <v>426</v>
      </c>
      <c r="B427" s="1" t="s">
        <v>3507</v>
      </c>
      <c r="C427" s="1" t="s">
        <v>757</v>
      </c>
      <c r="D427" s="1" t="s">
        <v>3508</v>
      </c>
      <c r="E427" s="1" t="s">
        <v>2782</v>
      </c>
      <c r="F427" s="1" t="s">
        <v>3509</v>
      </c>
      <c r="G427" s="1" t="s">
        <v>3510</v>
      </c>
      <c r="H427" s="1" t="s">
        <v>3511</v>
      </c>
      <c r="I427" s="7" t="str" cm="1">
        <f t="array" ref="I427">IF(SUM(COUNTIF(Text_Preprocessing__2247[[#This Row],[full_text]],{"*makan siang gratis*";"*MBG*";"*makan gratis*";"*makan bergizi gratis*";"*makangratis*";"*makanan gratis*"})),"Relevan","Tidak Relevan")</f>
        <v>Relevan</v>
      </c>
      <c r="J427" s="1"/>
    </row>
    <row r="428" spans="1:10" ht="43.5" x14ac:dyDescent="0.35">
      <c r="A428" s="1">
        <f t="shared" si="6"/>
        <v>427</v>
      </c>
      <c r="B428" s="1" t="s">
        <v>3512</v>
      </c>
      <c r="C428" s="1" t="s">
        <v>442</v>
      </c>
      <c r="D428" s="1" t="s">
        <v>3513</v>
      </c>
      <c r="E428" s="1" t="s">
        <v>1652</v>
      </c>
      <c r="F428" s="1" t="s">
        <v>3514</v>
      </c>
      <c r="G428" s="1" t="s">
        <v>3514</v>
      </c>
      <c r="H428" s="1" t="s">
        <v>3515</v>
      </c>
      <c r="I428" s="7" t="str" cm="1">
        <f t="array" ref="I428">IF(SUM(COUNTIF(Text_Preprocessing__2247[[#This Row],[full_text]],{"*makan siang gratis*";"*MBG*";"*makan gratis*";"*makan bergizi gratis*";"*makangratis*";"*makanan gratis*"})),"Relevan","Tidak Relevan")</f>
        <v>Relevan</v>
      </c>
      <c r="J428" s="1"/>
    </row>
    <row r="429" spans="1:10" ht="43.5" x14ac:dyDescent="0.35">
      <c r="A429" s="1">
        <f t="shared" si="6"/>
        <v>428</v>
      </c>
      <c r="B429" s="1" t="s">
        <v>3516</v>
      </c>
      <c r="C429" s="1" t="s">
        <v>760</v>
      </c>
      <c r="D429" s="1" t="s">
        <v>3517</v>
      </c>
      <c r="E429" s="1" t="s">
        <v>1624</v>
      </c>
      <c r="F429" s="1" t="s">
        <v>3518</v>
      </c>
      <c r="G429" s="1" t="s">
        <v>3519</v>
      </c>
      <c r="H429" s="1" t="s">
        <v>3520</v>
      </c>
      <c r="I429" s="7" t="str" cm="1">
        <f t="array" ref="I429">IF(SUM(COUNTIF(Text_Preprocessing__2247[[#This Row],[full_text]],{"*makan siang gratis*";"*MBG*";"*makan gratis*";"*makan bergizi gratis*";"*makangratis*";"*makanan gratis*"})),"Relevan","Tidak Relevan")</f>
        <v>Relevan</v>
      </c>
      <c r="J429" s="1"/>
    </row>
    <row r="430" spans="1:10" ht="43.5" x14ac:dyDescent="0.35">
      <c r="A430" s="1">
        <f t="shared" si="6"/>
        <v>429</v>
      </c>
      <c r="B430" s="1" t="s">
        <v>3521</v>
      </c>
      <c r="C430" s="1" t="s">
        <v>762</v>
      </c>
      <c r="D430" s="1" t="s">
        <v>3522</v>
      </c>
      <c r="E430" s="1" t="s">
        <v>2272</v>
      </c>
      <c r="F430" s="1" t="s">
        <v>3523</v>
      </c>
      <c r="G430" s="1" t="s">
        <v>3523</v>
      </c>
      <c r="H430" s="1" t="s">
        <v>3524</v>
      </c>
      <c r="I430" s="7" t="str" cm="1">
        <f t="array" ref="I430">IF(SUM(COUNTIF(Text_Preprocessing__2247[[#This Row],[full_text]],{"*makan siang gratis*";"*MBG*";"*makan gratis*";"*makan bergizi gratis*";"*makangratis*";"*makanan gratis*"})),"Relevan","Tidak Relevan")</f>
        <v>Relevan</v>
      </c>
      <c r="J430" s="1"/>
    </row>
    <row r="431" spans="1:10" ht="58" x14ac:dyDescent="0.35">
      <c r="A431" s="1">
        <f t="shared" si="6"/>
        <v>430</v>
      </c>
      <c r="B431" s="1" t="s">
        <v>3525</v>
      </c>
      <c r="C431" s="1" t="s">
        <v>764</v>
      </c>
      <c r="D431" s="1" t="s">
        <v>3526</v>
      </c>
      <c r="E431" s="1" t="s">
        <v>1707</v>
      </c>
      <c r="F431" s="1" t="s">
        <v>3527</v>
      </c>
      <c r="G431" s="1" t="s">
        <v>3527</v>
      </c>
      <c r="H431" s="1" t="s">
        <v>3528</v>
      </c>
      <c r="I431" s="7" t="str" cm="1">
        <f t="array" ref="I431">IF(SUM(COUNTIF(Text_Preprocessing__2247[[#This Row],[full_text]],{"*makan siang gratis*";"*MBG*";"*makan gratis*";"*makan bergizi gratis*";"*makangratis*";"*makanan gratis*"})),"Relevan","Tidak Relevan")</f>
        <v>Relevan</v>
      </c>
      <c r="J431" s="1"/>
    </row>
    <row r="432" spans="1:10" ht="58" x14ac:dyDescent="0.35">
      <c r="A432" s="1">
        <f t="shared" si="6"/>
        <v>431</v>
      </c>
      <c r="B432" s="1" t="s">
        <v>3529</v>
      </c>
      <c r="C432" s="1" t="s">
        <v>766</v>
      </c>
      <c r="D432" s="1" t="s">
        <v>3530</v>
      </c>
      <c r="E432" s="1" t="s">
        <v>1758</v>
      </c>
      <c r="F432" s="1" t="s">
        <v>3531</v>
      </c>
      <c r="G432" s="1" t="s">
        <v>3531</v>
      </c>
      <c r="H432" s="1" t="s">
        <v>3532</v>
      </c>
      <c r="I432" s="7" t="str" cm="1">
        <f t="array" ref="I432">IF(SUM(COUNTIF(Text_Preprocessing__2247[[#This Row],[full_text]],{"*makan siang gratis*";"*MBG*";"*makan gratis*";"*makan bergizi gratis*";"*makangratis*";"*makanan gratis*"})),"Relevan","Tidak Relevan")</f>
        <v>Relevan</v>
      </c>
      <c r="J432" s="1"/>
    </row>
    <row r="433" spans="1:10" ht="58" x14ac:dyDescent="0.35">
      <c r="A433" s="1">
        <f t="shared" si="6"/>
        <v>432</v>
      </c>
      <c r="B433" s="1" t="s">
        <v>3533</v>
      </c>
      <c r="C433" s="1" t="s">
        <v>561</v>
      </c>
      <c r="D433" s="1" t="s">
        <v>3534</v>
      </c>
      <c r="E433" s="1" t="s">
        <v>2335</v>
      </c>
      <c r="F433" s="1" t="s">
        <v>3535</v>
      </c>
      <c r="G433" s="1" t="s">
        <v>3535</v>
      </c>
      <c r="H433" s="1" t="s">
        <v>3536</v>
      </c>
      <c r="I433" s="7" t="str" cm="1">
        <f t="array" ref="I433">IF(SUM(COUNTIF(Text_Preprocessing__2247[[#This Row],[full_text]],{"*makan siang gratis*";"*MBG*";"*makan gratis*";"*makan bergizi gratis*";"*makangratis*";"*makanan gratis*"})),"Relevan","Tidak Relevan")</f>
        <v>Relevan</v>
      </c>
      <c r="J433" s="1"/>
    </row>
    <row r="434" spans="1:10" ht="58" x14ac:dyDescent="0.35">
      <c r="A434" s="1">
        <f t="shared" si="6"/>
        <v>433</v>
      </c>
      <c r="B434" s="1" t="s">
        <v>3537</v>
      </c>
      <c r="C434" s="1" t="s">
        <v>76</v>
      </c>
      <c r="D434" s="1" t="s">
        <v>3538</v>
      </c>
      <c r="E434" s="1" t="s">
        <v>3539</v>
      </c>
      <c r="F434" s="1" t="s">
        <v>3540</v>
      </c>
      <c r="G434" s="1" t="s">
        <v>3540</v>
      </c>
      <c r="H434" s="1" t="s">
        <v>3541</v>
      </c>
      <c r="I434" s="7" t="str" cm="1">
        <f t="array" ref="I434">IF(SUM(COUNTIF(Text_Preprocessing__2247[[#This Row],[full_text]],{"*makan siang gratis*";"*MBG*";"*makan gratis*";"*makan bergizi gratis*";"*makangratis*";"*makanan gratis*"})),"Relevan","Tidak Relevan")</f>
        <v>Relevan</v>
      </c>
      <c r="J434" s="1"/>
    </row>
    <row r="435" spans="1:10" x14ac:dyDescent="0.35">
      <c r="A435" s="1">
        <f t="shared" si="6"/>
        <v>434</v>
      </c>
      <c r="B435" s="1" t="s">
        <v>3542</v>
      </c>
      <c r="C435" s="1" t="s">
        <v>772</v>
      </c>
      <c r="D435" s="1" t="s">
        <v>3543</v>
      </c>
      <c r="E435" s="1" t="s">
        <v>1888</v>
      </c>
      <c r="F435" s="1" t="s">
        <v>3544</v>
      </c>
      <c r="G435" s="1" t="s">
        <v>3544</v>
      </c>
      <c r="H435" s="1" t="s">
        <v>3545</v>
      </c>
      <c r="I435" s="7" t="str" cm="1">
        <f t="array" ref="I435">IF(SUM(COUNTIF(Text_Preprocessing__2247[[#This Row],[full_text]],{"*makan siang gratis*";"*MBG*";"*makan gratis*";"*makan bergizi gratis*";"*makangratis*";"*makanan gratis*"})),"Relevan","Tidak Relevan")</f>
        <v>Relevan</v>
      </c>
      <c r="J435" s="1"/>
    </row>
    <row r="436" spans="1:10" ht="29" x14ac:dyDescent="0.35">
      <c r="A436" s="1">
        <f t="shared" si="6"/>
        <v>435</v>
      </c>
      <c r="B436" s="1" t="s">
        <v>3546</v>
      </c>
      <c r="C436" s="1" t="s">
        <v>772</v>
      </c>
      <c r="D436" s="1" t="s">
        <v>3547</v>
      </c>
      <c r="E436" s="1" t="s">
        <v>3548</v>
      </c>
      <c r="F436" s="1" t="s">
        <v>3549</v>
      </c>
      <c r="G436" s="1" t="s">
        <v>3549</v>
      </c>
      <c r="H436" s="1" t="s">
        <v>3550</v>
      </c>
      <c r="I436" s="7" t="str" cm="1">
        <f t="array" ref="I436">IF(SUM(COUNTIF(Text_Preprocessing__2247[[#This Row],[full_text]],{"*makan siang gratis*";"*MBG*";"*makan gratis*";"*makan bergizi gratis*";"*makangratis*";"*makanan gratis*"})),"Relevan","Tidak Relevan")</f>
        <v>Relevan</v>
      </c>
      <c r="J436" s="1"/>
    </row>
    <row r="437" spans="1:10" ht="29" x14ac:dyDescent="0.35">
      <c r="A437" s="1">
        <f t="shared" si="6"/>
        <v>436</v>
      </c>
      <c r="B437" s="1" t="s">
        <v>3551</v>
      </c>
      <c r="C437" s="1" t="s">
        <v>772</v>
      </c>
      <c r="D437" s="1" t="s">
        <v>3552</v>
      </c>
      <c r="E437" s="1" t="s">
        <v>2234</v>
      </c>
      <c r="F437" s="1" t="s">
        <v>3553</v>
      </c>
      <c r="G437" s="1" t="s">
        <v>3553</v>
      </c>
      <c r="H437" s="1" t="s">
        <v>3554</v>
      </c>
      <c r="I437" s="7" t="str" cm="1">
        <f t="array" ref="I437">IF(SUM(COUNTIF(Text_Preprocessing__2247[[#This Row],[full_text]],{"*makan siang gratis*";"*MBG*";"*makan gratis*";"*makan bergizi gratis*";"*makangratis*";"*makanan gratis*"})),"Relevan","Tidak Relevan")</f>
        <v>Relevan</v>
      </c>
      <c r="J437" s="1"/>
    </row>
    <row r="438" spans="1:10" ht="29" x14ac:dyDescent="0.35">
      <c r="A438" s="1">
        <f t="shared" si="6"/>
        <v>437</v>
      </c>
      <c r="B438" s="1" t="s">
        <v>3555</v>
      </c>
      <c r="C438" s="1" t="s">
        <v>772</v>
      </c>
      <c r="D438" s="1" t="s">
        <v>3556</v>
      </c>
      <c r="E438" s="1" t="s">
        <v>1844</v>
      </c>
      <c r="F438" s="1" t="s">
        <v>3557</v>
      </c>
      <c r="G438" s="1" t="s">
        <v>3557</v>
      </c>
      <c r="H438" s="1" t="s">
        <v>3558</v>
      </c>
      <c r="I438" s="7" t="str" cm="1">
        <f t="array" ref="I438">IF(SUM(COUNTIF(Text_Preprocessing__2247[[#This Row],[full_text]],{"*makan siang gratis*";"*MBG*";"*makan gratis*";"*makan bergizi gratis*";"*makangratis*";"*makanan gratis*"})),"Relevan","Tidak Relevan")</f>
        <v>Relevan</v>
      </c>
      <c r="J438" s="1"/>
    </row>
    <row r="439" spans="1:10" ht="29" x14ac:dyDescent="0.35">
      <c r="A439" s="1">
        <f t="shared" si="6"/>
        <v>438</v>
      </c>
      <c r="B439" s="1" t="s">
        <v>3559</v>
      </c>
      <c r="C439" s="1" t="s">
        <v>772</v>
      </c>
      <c r="D439" s="1" t="s">
        <v>3560</v>
      </c>
      <c r="E439" s="1" t="s">
        <v>3561</v>
      </c>
      <c r="F439" s="1" t="s">
        <v>3562</v>
      </c>
      <c r="G439" s="1" t="s">
        <v>3562</v>
      </c>
      <c r="H439" s="1" t="s">
        <v>3563</v>
      </c>
      <c r="I439" s="7" t="str" cm="1">
        <f t="array" ref="I439">IF(SUM(COUNTIF(Text_Preprocessing__2247[[#This Row],[full_text]],{"*makan siang gratis*";"*MBG*";"*makan gratis*";"*makan bergizi gratis*";"*makangratis*";"*makanan gratis*"})),"Relevan","Tidak Relevan")</f>
        <v>Relevan</v>
      </c>
      <c r="J439" s="1"/>
    </row>
    <row r="440" spans="1:10" ht="58" x14ac:dyDescent="0.35">
      <c r="A440" s="1">
        <f t="shared" si="6"/>
        <v>439</v>
      </c>
      <c r="B440" s="1" t="s">
        <v>3564</v>
      </c>
      <c r="C440" s="1" t="s">
        <v>594</v>
      </c>
      <c r="D440" s="1" t="s">
        <v>3565</v>
      </c>
      <c r="E440" s="1" t="s">
        <v>2977</v>
      </c>
      <c r="F440" s="1" t="s">
        <v>3566</v>
      </c>
      <c r="G440" s="1" t="s">
        <v>3566</v>
      </c>
      <c r="H440" s="1" t="s">
        <v>3567</v>
      </c>
      <c r="I440" s="7" t="str" cm="1">
        <f t="array" ref="I440">IF(SUM(COUNTIF(Text_Preprocessing__2247[[#This Row],[full_text]],{"*makan siang gratis*";"*MBG*";"*makan gratis*";"*makan bergizi gratis*";"*makangratis*";"*makanan gratis*"})),"Relevan","Tidak Relevan")</f>
        <v>Relevan</v>
      </c>
      <c r="J440" s="1"/>
    </row>
    <row r="441" spans="1:10" ht="58" x14ac:dyDescent="0.35">
      <c r="A441" s="1">
        <f t="shared" si="6"/>
        <v>440</v>
      </c>
      <c r="B441" s="1" t="s">
        <v>3568</v>
      </c>
      <c r="C441" s="1" t="s">
        <v>781</v>
      </c>
      <c r="D441" s="1" t="s">
        <v>3569</v>
      </c>
      <c r="E441" s="1" t="s">
        <v>1618</v>
      </c>
      <c r="F441" s="1" t="s">
        <v>3570</v>
      </c>
      <c r="G441" s="1" t="s">
        <v>3571</v>
      </c>
      <c r="H441" s="1" t="s">
        <v>3572</v>
      </c>
      <c r="I441" s="7" t="str" cm="1">
        <f t="array" ref="I441">IF(SUM(COUNTIF(Text_Preprocessing__2247[[#This Row],[full_text]],{"*makan siang gratis*";"*MBG*";"*makan gratis*";"*makan bergizi gratis*";"*makangratis*";"*makanan gratis*"})),"Relevan","Tidak Relevan")</f>
        <v>Tidak Relevan</v>
      </c>
      <c r="J441" s="1" t="s">
        <v>3622</v>
      </c>
    </row>
    <row r="442" spans="1:10" ht="58" x14ac:dyDescent="0.35">
      <c r="A442" s="1">
        <f t="shared" si="6"/>
        <v>441</v>
      </c>
      <c r="B442" s="1" t="s">
        <v>3573</v>
      </c>
      <c r="C442" s="1" t="s">
        <v>783</v>
      </c>
      <c r="D442" s="1" t="s">
        <v>3574</v>
      </c>
      <c r="E442" s="1" t="s">
        <v>3575</v>
      </c>
      <c r="F442" s="1" t="s">
        <v>3576</v>
      </c>
      <c r="G442" s="1" t="s">
        <v>3576</v>
      </c>
      <c r="H442" s="1" t="s">
        <v>3577</v>
      </c>
      <c r="I442" s="7" t="str" cm="1">
        <f t="array" ref="I442">IF(SUM(COUNTIF(Text_Preprocessing__2247[[#This Row],[full_text]],{"*makan siang gratis*";"*MBG*";"*makan gratis*";"*makan bergizi gratis*";"*makangratis*";"*makanan gratis*"})),"Relevan","Tidak Relevan")</f>
        <v>Relevan</v>
      </c>
      <c r="J442" s="1"/>
    </row>
    <row r="443" spans="1:10" ht="29" x14ac:dyDescent="0.35">
      <c r="A443" s="1">
        <f t="shared" si="6"/>
        <v>442</v>
      </c>
      <c r="B443" s="1" t="s">
        <v>3578</v>
      </c>
      <c r="C443" s="1" t="s">
        <v>785</v>
      </c>
      <c r="D443" s="1" t="s">
        <v>3579</v>
      </c>
      <c r="E443" s="1" t="s">
        <v>2229</v>
      </c>
      <c r="F443" s="1" t="s">
        <v>3580</v>
      </c>
      <c r="G443" s="1" t="s">
        <v>3580</v>
      </c>
      <c r="H443" s="1" t="s">
        <v>3581</v>
      </c>
      <c r="I443" s="7" t="str" cm="1">
        <f t="array" ref="I443">IF(SUM(COUNTIF(Text_Preprocessing__2247[[#This Row],[full_text]],{"*makan siang gratis*";"*MBG*";"*makan gratis*";"*makan bergizi gratis*";"*makangratis*";"*makanan gratis*"})),"Relevan","Tidak Relevan")</f>
        <v>Relevan</v>
      </c>
      <c r="J443" s="1"/>
    </row>
    <row r="444" spans="1:10" ht="29" x14ac:dyDescent="0.35">
      <c r="A444" s="1">
        <f t="shared" si="6"/>
        <v>443</v>
      </c>
      <c r="B444" s="1" t="s">
        <v>3582</v>
      </c>
      <c r="C444" s="1" t="s">
        <v>785</v>
      </c>
      <c r="D444" s="1" t="s">
        <v>3583</v>
      </c>
      <c r="E444" s="1" t="s">
        <v>1929</v>
      </c>
      <c r="F444" s="1" t="s">
        <v>3584</v>
      </c>
      <c r="G444" s="1" t="s">
        <v>3584</v>
      </c>
      <c r="H444" s="1" t="s">
        <v>3585</v>
      </c>
      <c r="I444" s="7" t="str" cm="1">
        <f t="array" ref="I444">IF(SUM(COUNTIF(Text_Preprocessing__2247[[#This Row],[full_text]],{"*makan siang gratis*";"*MBG*";"*makan gratis*";"*makan bergizi gratis*";"*makangratis*";"*makanan gratis*"})),"Relevan","Tidak Relevan")</f>
        <v>Relevan</v>
      </c>
      <c r="J444" s="1"/>
    </row>
    <row r="445" spans="1:10" ht="43.5" x14ac:dyDescent="0.35">
      <c r="A445" s="1">
        <f t="shared" si="6"/>
        <v>444</v>
      </c>
      <c r="B445" s="1" t="s">
        <v>3586</v>
      </c>
      <c r="C445" s="1" t="s">
        <v>788</v>
      </c>
      <c r="D445" s="1" t="s">
        <v>3587</v>
      </c>
      <c r="E445" s="1" t="s">
        <v>3588</v>
      </c>
      <c r="F445" s="1" t="s">
        <v>3589</v>
      </c>
      <c r="G445" s="1" t="s">
        <v>3590</v>
      </c>
      <c r="H445" s="1" t="s">
        <v>3590</v>
      </c>
      <c r="I445" s="7" t="str" cm="1">
        <f t="array" ref="I445">IF(SUM(COUNTIF(Text_Preprocessing__2247[[#This Row],[full_text]],{"*makan siang gratis*";"*MBG*";"*makan gratis*";"*makan bergizi gratis*";"*makangratis*";"*makanan gratis*"})),"Relevan","Tidak Relevan")</f>
        <v>Relevan</v>
      </c>
      <c r="J445" s="1"/>
    </row>
    <row r="446" spans="1:10" ht="58" x14ac:dyDescent="0.35">
      <c r="A446" s="1">
        <f t="shared" si="6"/>
        <v>445</v>
      </c>
      <c r="B446" s="1" t="s">
        <v>3591</v>
      </c>
      <c r="C446" s="1" t="s">
        <v>790</v>
      </c>
      <c r="D446" s="1" t="s">
        <v>3592</v>
      </c>
      <c r="E446" s="1" t="s">
        <v>3593</v>
      </c>
      <c r="F446" s="1" t="s">
        <v>3594</v>
      </c>
      <c r="G446" s="1" t="s">
        <v>3595</v>
      </c>
      <c r="H446" s="1" t="s">
        <v>3596</v>
      </c>
      <c r="I446" s="7" t="str" cm="1">
        <f t="array" ref="I446">IF(SUM(COUNTIF(Text_Preprocessing__2247[[#This Row],[full_text]],{"*makan siang gratis*";"*MBG*";"*makan gratis*";"*makan bergizi gratis*";"*makangratis*";"*makanan gratis*"})),"Relevan","Tidak Relevan")</f>
        <v>Relevan</v>
      </c>
      <c r="J446" s="1"/>
    </row>
    <row r="447" spans="1:10" ht="29" x14ac:dyDescent="0.35">
      <c r="A447" s="1">
        <f t="shared" si="6"/>
        <v>446</v>
      </c>
      <c r="B447" s="1" t="s">
        <v>3597</v>
      </c>
      <c r="C447" s="1" t="s">
        <v>792</v>
      </c>
      <c r="D447" s="1" t="s">
        <v>3598</v>
      </c>
      <c r="E447" s="1" t="s">
        <v>1929</v>
      </c>
      <c r="F447" s="1" t="s">
        <v>3599</v>
      </c>
      <c r="G447" s="1" t="s">
        <v>3599</v>
      </c>
      <c r="H447" s="1" t="s">
        <v>3600</v>
      </c>
      <c r="I447" s="7" t="str" cm="1">
        <f t="array" ref="I447">IF(SUM(COUNTIF(Text_Preprocessing__2247[[#This Row],[full_text]],{"*makan siang gratis*";"*MBG*";"*makan gratis*";"*makan bergizi gratis*";"*makangratis*";"*makanan gratis*"})),"Relevan","Tidak Relevan")</f>
        <v>Relevan</v>
      </c>
      <c r="J447" s="1"/>
    </row>
    <row r="448" spans="1:10" ht="43.5" x14ac:dyDescent="0.35">
      <c r="A448" s="1">
        <f t="shared" si="6"/>
        <v>447</v>
      </c>
      <c r="B448" s="1" t="s">
        <v>3601</v>
      </c>
      <c r="C448" s="1" t="s">
        <v>794</v>
      </c>
      <c r="D448" s="1" t="s">
        <v>3602</v>
      </c>
      <c r="E448" s="1" t="s">
        <v>2186</v>
      </c>
      <c r="F448" s="1" t="s">
        <v>3603</v>
      </c>
      <c r="G448" s="1" t="s">
        <v>3603</v>
      </c>
      <c r="H448" s="1" t="s">
        <v>3604</v>
      </c>
      <c r="I448" s="7" t="str" cm="1">
        <f t="array" ref="I448">IF(SUM(COUNTIF(Text_Preprocessing__2247[[#This Row],[full_text]],{"*makan siang gratis*";"*MBG*";"*makan gratis*";"*makan bergizi gratis*";"*makangratis*";"*makanan gratis*"})),"Relevan","Tidak Relevan")</f>
        <v>Relevan</v>
      </c>
      <c r="J448" s="1"/>
    </row>
    <row r="449" spans="1:10" ht="58" x14ac:dyDescent="0.35">
      <c r="A449" s="1">
        <f t="shared" si="6"/>
        <v>448</v>
      </c>
      <c r="B449" s="1" t="s">
        <v>3605</v>
      </c>
      <c r="C449" s="1" t="s">
        <v>796</v>
      </c>
      <c r="D449" s="1" t="s">
        <v>3606</v>
      </c>
      <c r="E449" s="1" t="s">
        <v>1741</v>
      </c>
      <c r="F449" s="1" t="s">
        <v>3607</v>
      </c>
      <c r="G449" s="1" t="s">
        <v>3607</v>
      </c>
      <c r="H449" s="1" t="s">
        <v>3608</v>
      </c>
      <c r="I449" s="7" t="str" cm="1">
        <f t="array" ref="I449">IF(SUM(COUNTIF(Text_Preprocessing__2247[[#This Row],[full_text]],{"*makan siang gratis*";"*MBG*";"*makan gratis*";"*makan bergizi gratis*";"*makangratis*";"*makanan gratis*"})),"Relevan","Tidak Relevan")</f>
        <v>Relevan</v>
      </c>
      <c r="J449" s="1"/>
    </row>
    <row r="450" spans="1:10" ht="43.5" x14ac:dyDescent="0.35">
      <c r="A450" s="1">
        <f t="shared" si="6"/>
        <v>449</v>
      </c>
      <c r="B450" s="1" t="s">
        <v>3609</v>
      </c>
      <c r="C450" s="1" t="s">
        <v>798</v>
      </c>
      <c r="D450" s="1" t="s">
        <v>3610</v>
      </c>
      <c r="E450" s="1" t="s">
        <v>2604</v>
      </c>
      <c r="F450" s="1" t="s">
        <v>3611</v>
      </c>
      <c r="G450" s="1" t="s">
        <v>3611</v>
      </c>
      <c r="H450" s="1" t="s">
        <v>3612</v>
      </c>
      <c r="I450" s="7" t="str" cm="1">
        <f t="array" ref="I450">IF(SUM(COUNTIF(Text_Preprocessing__2247[[#This Row],[full_text]],{"*makan siang gratis*";"*MBG*";"*makan gratis*";"*makan bergizi gratis*";"*makangratis*";"*makanan gratis*"})),"Relevan","Tidak Relevan")</f>
        <v>Relevan</v>
      </c>
      <c r="J450" s="1"/>
    </row>
    <row r="451" spans="1:10" ht="29" x14ac:dyDescent="0.35">
      <c r="A451" s="1">
        <f t="shared" ref="A451:A452" si="7">SUM(A450+1)</f>
        <v>450</v>
      </c>
      <c r="B451" s="1" t="s">
        <v>3613</v>
      </c>
      <c r="C451" s="1" t="s">
        <v>798</v>
      </c>
      <c r="D451" s="1" t="s">
        <v>3614</v>
      </c>
      <c r="E451" s="1" t="s">
        <v>1735</v>
      </c>
      <c r="F451" s="1" t="s">
        <v>3615</v>
      </c>
      <c r="G451" s="1" t="s">
        <v>3615</v>
      </c>
      <c r="H451" s="1" t="s">
        <v>3616</v>
      </c>
      <c r="I451" s="7" t="str" cm="1">
        <f t="array" ref="I451">IF(SUM(COUNTIF(Text_Preprocessing__2247[[#This Row],[full_text]],{"*makan siang gratis*";"*MBG*";"*makan gratis*";"*makan bergizi gratis*";"*makangratis*";"*makanan gratis*"})),"Relevan","Tidak Relevan")</f>
        <v>Relevan</v>
      </c>
      <c r="J451" s="1"/>
    </row>
    <row r="452" spans="1:10" ht="43.5" x14ac:dyDescent="0.35">
      <c r="A452" s="1">
        <f t="shared" si="7"/>
        <v>451</v>
      </c>
      <c r="B452" s="1" t="s">
        <v>3617</v>
      </c>
      <c r="C452" s="1" t="s">
        <v>801</v>
      </c>
      <c r="D452" s="1" t="s">
        <v>3618</v>
      </c>
      <c r="E452" s="1" t="s">
        <v>1785</v>
      </c>
      <c r="F452" s="1" t="s">
        <v>3619</v>
      </c>
      <c r="G452" s="1" t="s">
        <v>3619</v>
      </c>
      <c r="H452" s="1" t="s">
        <v>3620</v>
      </c>
      <c r="I452" s="7" t="str" cm="1">
        <f t="array" ref="I452">IF(SUM(COUNTIF(Text_Preprocessing__2247[[#This Row],[full_text]],{"*makan siang gratis*";"*MBG*";"*makan gratis*";"*makan bergizi gratis*";"*makangratis*";"*makanan gratis*"})),"Relevan","Tidak Relevan")</f>
        <v>Relevan</v>
      </c>
      <c r="J452" s="1"/>
    </row>
  </sheetData>
  <conditionalFormatting sqref="B2:B452">
    <cfRule type="duplicateValues" dxfId="6" priority="25"/>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F9849-0D94-407C-A003-44B7955198CF}">
  <dimension ref="A1:Q449"/>
  <sheetViews>
    <sheetView tabSelected="1" topLeftCell="I1" workbookViewId="0">
      <selection activeCell="N12" sqref="N12"/>
    </sheetView>
  </sheetViews>
  <sheetFormatPr defaultRowHeight="14.5" x14ac:dyDescent="0.35"/>
  <cols>
    <col min="1" max="1" width="10.54296875" bestFit="1" customWidth="1"/>
    <col min="2" max="2" width="5.453125" bestFit="1" customWidth="1"/>
    <col min="3" max="3" width="80.7265625" bestFit="1" customWidth="1"/>
    <col min="4" max="4" width="17.1796875" bestFit="1" customWidth="1"/>
    <col min="5" max="5" width="80.7265625" bestFit="1" customWidth="1"/>
    <col min="6" max="6" width="38.90625" bestFit="1" customWidth="1"/>
    <col min="7" max="9" width="80.7265625" bestFit="1" customWidth="1"/>
    <col min="10" max="10" width="12.26953125" bestFit="1" customWidth="1"/>
    <col min="11" max="11" width="24.1796875" bestFit="1" customWidth="1"/>
  </cols>
  <sheetData>
    <row r="1" spans="1:17" x14ac:dyDescent="0.35">
      <c r="A1" t="s">
        <v>3635</v>
      </c>
      <c r="B1" t="s">
        <v>0</v>
      </c>
      <c r="C1" t="s">
        <v>1</v>
      </c>
      <c r="D1" t="s">
        <v>2</v>
      </c>
      <c r="E1" t="s">
        <v>1589</v>
      </c>
      <c r="F1" t="s">
        <v>1590</v>
      </c>
      <c r="G1" t="s">
        <v>1591</v>
      </c>
      <c r="H1" t="s">
        <v>1592</v>
      </c>
      <c r="I1" t="s">
        <v>1593</v>
      </c>
      <c r="J1" t="s">
        <v>1588</v>
      </c>
      <c r="K1" t="s">
        <v>3621</v>
      </c>
    </row>
    <row r="2" spans="1:17" x14ac:dyDescent="0.35">
      <c r="A2" t="e">
        <f>SUM(#REF!+1)</f>
        <v>#REF!</v>
      </c>
      <c r="B2">
        <v>2</v>
      </c>
      <c r="C2" t="s">
        <v>1599</v>
      </c>
      <c r="D2" t="s">
        <v>6</v>
      </c>
      <c r="E2" t="s">
        <v>1600</v>
      </c>
      <c r="F2" t="s">
        <v>1601</v>
      </c>
      <c r="G2" t="s">
        <v>1602</v>
      </c>
      <c r="H2" t="s">
        <v>3636</v>
      </c>
      <c r="I2" t="s">
        <v>3637</v>
      </c>
      <c r="J2" t="str" cm="1">
        <f t="array" ref="J2">IF(SUM(COUNTIF(Text_Preprocessing291013[[#This Row],[full_text]],{"*makan siang gratis*";"*MBG*";"*makan gratis*";"*makan bergizi gratis*";"*makangratis*";"*makanan gratis*"})),"Relevan","Tidak Relevan")</f>
        <v>Relevan</v>
      </c>
    </row>
    <row r="3" spans="1:17" x14ac:dyDescent="0.35">
      <c r="A3" t="e">
        <f t="shared" ref="A3:A66" si="0">SUM(A2+1)</f>
        <v>#REF!</v>
      </c>
      <c r="B3">
        <v>3</v>
      </c>
      <c r="C3" t="s">
        <v>1605</v>
      </c>
      <c r="D3" t="s">
        <v>8</v>
      </c>
      <c r="E3" t="s">
        <v>1606</v>
      </c>
      <c r="F3" t="s">
        <v>1607</v>
      </c>
      <c r="G3" t="s">
        <v>1608</v>
      </c>
      <c r="H3" t="s">
        <v>1609</v>
      </c>
      <c r="I3" t="s">
        <v>1610</v>
      </c>
      <c r="J3" t="str" cm="1">
        <f t="array" ref="J3">IF(SUM(COUNTIF(Text_Preprocessing291013[[#This Row],[full_text]],{"*makan siang gratis*";"*MBG*";"*makan gratis*";"*makan bergizi gratis*";"*makangratis*";"*makanan gratis*"})),"Relevan","Tidak Relevan")</f>
        <v>Relevan</v>
      </c>
    </row>
    <row r="4" spans="1:17" x14ac:dyDescent="0.35">
      <c r="A4" t="e">
        <f t="shared" si="0"/>
        <v>#REF!</v>
      </c>
      <c r="B4">
        <v>4</v>
      </c>
      <c r="C4" t="s">
        <v>1611</v>
      </c>
      <c r="D4" t="s">
        <v>10</v>
      </c>
      <c r="E4" t="s">
        <v>1612</v>
      </c>
      <c r="F4" t="s">
        <v>1613</v>
      </c>
      <c r="G4" t="s">
        <v>1614</v>
      </c>
      <c r="H4" t="s">
        <v>1614</v>
      </c>
      <c r="I4" t="s">
        <v>1615</v>
      </c>
      <c r="J4" t="str" cm="1">
        <f t="array" ref="J4">IF(SUM(COUNTIF(Text_Preprocessing291013[[#This Row],[full_text]],{"*makan siang gratis*";"*MBG*";"*makan gratis*";"*makan bergizi gratis*";"*makangratis*";"*makanan gratis*"})),"Relevan","Tidak Relevan")</f>
        <v>Relevan</v>
      </c>
    </row>
    <row r="5" spans="1:17" x14ac:dyDescent="0.35">
      <c r="A5" t="e">
        <f t="shared" si="0"/>
        <v>#REF!</v>
      </c>
      <c r="B5">
        <v>5</v>
      </c>
      <c r="C5" t="s">
        <v>1616</v>
      </c>
      <c r="D5" t="s">
        <v>12</v>
      </c>
      <c r="E5" t="s">
        <v>1617</v>
      </c>
      <c r="F5" t="s">
        <v>1618</v>
      </c>
      <c r="G5" t="s">
        <v>1619</v>
      </c>
      <c r="H5" t="s">
        <v>3638</v>
      </c>
      <c r="I5" t="s">
        <v>3639</v>
      </c>
      <c r="J5" t="str" cm="1">
        <f t="array" ref="J5">IF(SUM(COUNTIF(Text_Preprocessing291013[[#This Row],[full_text]],{"*makan siang gratis*";"*MBG*";"*makan gratis*";"*makan bergizi gratis*";"*makangratis*";"*makanan gratis*"})),"Relevan","Tidak Relevan")</f>
        <v>Relevan</v>
      </c>
    </row>
    <row r="6" spans="1:17" x14ac:dyDescent="0.35">
      <c r="A6" t="e">
        <f t="shared" si="0"/>
        <v>#REF!</v>
      </c>
      <c r="B6">
        <v>6</v>
      </c>
      <c r="C6" t="s">
        <v>1622</v>
      </c>
      <c r="D6" t="s">
        <v>14</v>
      </c>
      <c r="E6" t="s">
        <v>1623</v>
      </c>
      <c r="F6" t="s">
        <v>1624</v>
      </c>
      <c r="G6" t="s">
        <v>1625</v>
      </c>
      <c r="H6" t="s">
        <v>3640</v>
      </c>
      <c r="I6" t="s">
        <v>3641</v>
      </c>
      <c r="J6" t="str" cm="1">
        <f t="array" ref="J6">IF(SUM(COUNTIF(Text_Preprocessing291013[[#This Row],[full_text]],{"*makan siang gratis*";"*MBG*";"*makan gratis*";"*makan bergizi gratis*";"*makangratis*";"*makanan gratis*"})),"Relevan","Tidak Relevan")</f>
        <v>Relevan</v>
      </c>
      <c r="O6" t="s">
        <v>3622</v>
      </c>
      <c r="P6" t="s">
        <v>3623</v>
      </c>
    </row>
    <row r="7" spans="1:17" x14ac:dyDescent="0.35">
      <c r="A7" t="e">
        <f t="shared" si="0"/>
        <v>#REF!</v>
      </c>
      <c r="B7">
        <v>7</v>
      </c>
      <c r="C7" t="s">
        <v>1627</v>
      </c>
      <c r="D7" t="s">
        <v>16</v>
      </c>
      <c r="E7" t="s">
        <v>1628</v>
      </c>
      <c r="F7" t="s">
        <v>1629</v>
      </c>
      <c r="G7" t="s">
        <v>1630</v>
      </c>
      <c r="H7" t="s">
        <v>1630</v>
      </c>
      <c r="I7" t="s">
        <v>1631</v>
      </c>
      <c r="J7" t="str" cm="1">
        <f t="array" ref="J7">IF(SUM(COUNTIF(Text_Preprocessing291013[[#This Row],[full_text]],{"*makan siang gratis*";"*MBG*";"*makan gratis*";"*makan bergizi gratis*";"*makangratis*";"*makanan gratis*"})),"Relevan","Tidak Relevan")</f>
        <v>Relevan</v>
      </c>
      <c r="N7" t="s">
        <v>3624</v>
      </c>
      <c r="O7">
        <f>COUNTIF($J$2:$J$449, "Relevan")</f>
        <v>418</v>
      </c>
      <c r="P7">
        <f>COUNTIF($J$2:$J$449, "Tidak Relevan")</f>
        <v>30</v>
      </c>
      <c r="Q7">
        <f>SUM(O7+P7)</f>
        <v>448</v>
      </c>
    </row>
    <row r="8" spans="1:17" x14ac:dyDescent="0.35">
      <c r="A8" t="e">
        <f t="shared" si="0"/>
        <v>#REF!</v>
      </c>
      <c r="B8">
        <v>8</v>
      </c>
      <c r="C8" t="s">
        <v>1632</v>
      </c>
      <c r="D8" t="s">
        <v>18</v>
      </c>
      <c r="E8" t="s">
        <v>1633</v>
      </c>
      <c r="F8" t="s">
        <v>1634</v>
      </c>
      <c r="G8" t="s">
        <v>1635</v>
      </c>
      <c r="H8" t="s">
        <v>3642</v>
      </c>
      <c r="I8" t="s">
        <v>3643</v>
      </c>
      <c r="J8" t="str" cm="1">
        <f t="array" ref="J8">IF(SUM(COUNTIF(Text_Preprocessing291013[[#This Row],[full_text]],{"*makan siang gratis*";"*MBG*";"*makan gratis*";"*makan bergizi gratis*";"*makangratis*";"*makanan gratis*"})),"Relevan","Tidak Relevan")</f>
        <v>Tidak Relevan</v>
      </c>
      <c r="K8" t="s">
        <v>3622</v>
      </c>
      <c r="N8" t="s">
        <v>3625</v>
      </c>
      <c r="O8">
        <f>COUNTIF($K$2:$K449, "Relevan")</f>
        <v>30</v>
      </c>
      <c r="P8">
        <f>COUNTIF($K$2:$K449, "Tidak Relevan")</f>
        <v>0</v>
      </c>
    </row>
    <row r="9" spans="1:17" x14ac:dyDescent="0.35">
      <c r="A9" t="e">
        <f t="shared" si="0"/>
        <v>#REF!</v>
      </c>
      <c r="B9">
        <v>9</v>
      </c>
      <c r="C9" t="s">
        <v>1638</v>
      </c>
      <c r="D9" t="s">
        <v>20</v>
      </c>
      <c r="E9" t="s">
        <v>1639</v>
      </c>
      <c r="F9" t="s">
        <v>1640</v>
      </c>
      <c r="G9" t="s">
        <v>1641</v>
      </c>
      <c r="H9" t="s">
        <v>1642</v>
      </c>
      <c r="I9" t="s">
        <v>1643</v>
      </c>
      <c r="J9" t="str" cm="1">
        <f t="array" ref="J9">IF(SUM(COUNTIF(Text_Preprocessing291013[[#This Row],[full_text]],{"*makan siang gratis*";"*MBG*";"*makan gratis*";"*makan bergizi gratis*";"*makangratis*";"*makanan gratis*"})),"Relevan","Tidak Relevan")</f>
        <v>Tidak Relevan</v>
      </c>
      <c r="K9" t="s">
        <v>3622</v>
      </c>
      <c r="N9" t="s">
        <v>3626</v>
      </c>
      <c r="O9">
        <f>SUM(O7:O8)</f>
        <v>448</v>
      </c>
      <c r="Q9">
        <f>SUM(O9+P9)</f>
        <v>448</v>
      </c>
    </row>
    <row r="10" spans="1:17" x14ac:dyDescent="0.35">
      <c r="A10" t="e">
        <f t="shared" si="0"/>
        <v>#REF!</v>
      </c>
      <c r="B10">
        <v>10</v>
      </c>
      <c r="C10" t="s">
        <v>1644</v>
      </c>
      <c r="D10" t="s">
        <v>22</v>
      </c>
      <c r="E10" t="s">
        <v>1645</v>
      </c>
      <c r="F10" t="s">
        <v>1646</v>
      </c>
      <c r="G10" t="s">
        <v>1647</v>
      </c>
      <c r="H10" t="s">
        <v>1648</v>
      </c>
      <c r="I10" t="s">
        <v>1649</v>
      </c>
      <c r="J10" t="str" cm="1">
        <f t="array" ref="J10">IF(SUM(COUNTIF(Text_Preprocessing291013[[#This Row],[full_text]],{"*makan siang gratis*";"*MBG*";"*makan gratis*";"*makan bergizi gratis*";"*makangratis*";"*makanan gratis*"})),"Relevan","Tidak Relevan")</f>
        <v>Relevan</v>
      </c>
    </row>
    <row r="11" spans="1:17" x14ac:dyDescent="0.35">
      <c r="A11" t="e">
        <f t="shared" si="0"/>
        <v>#REF!</v>
      </c>
      <c r="B11">
        <v>11</v>
      </c>
      <c r="C11" t="s">
        <v>1650</v>
      </c>
      <c r="D11" t="s">
        <v>24</v>
      </c>
      <c r="E11" t="s">
        <v>1651</v>
      </c>
      <c r="F11" t="s">
        <v>1652</v>
      </c>
      <c r="G11" t="s">
        <v>1653</v>
      </c>
      <c r="H11" t="s">
        <v>3644</v>
      </c>
      <c r="I11" t="s">
        <v>3645</v>
      </c>
      <c r="J11" t="str" cm="1">
        <f t="array" ref="J11">IF(SUM(COUNTIF(Text_Preprocessing291013[[#This Row],[full_text]],{"*makan siang gratis*";"*MBG*";"*makan gratis*";"*makan bergizi gratis*";"*makangratis*";"*makanan gratis*"})),"Relevan","Tidak Relevan")</f>
        <v>Relevan</v>
      </c>
    </row>
    <row r="12" spans="1:17" x14ac:dyDescent="0.35">
      <c r="A12" t="e">
        <f t="shared" si="0"/>
        <v>#REF!</v>
      </c>
      <c r="B12">
        <v>12</v>
      </c>
      <c r="C12" t="s">
        <v>1655</v>
      </c>
      <c r="D12" t="s">
        <v>26</v>
      </c>
      <c r="E12" t="s">
        <v>1656</v>
      </c>
      <c r="F12" t="s">
        <v>1657</v>
      </c>
      <c r="G12" t="s">
        <v>1658</v>
      </c>
      <c r="H12" t="s">
        <v>1659</v>
      </c>
      <c r="I12" t="s">
        <v>1660</v>
      </c>
      <c r="J12" t="str" cm="1">
        <f t="array" ref="J12">IF(SUM(COUNTIF(Text_Preprocessing291013[[#This Row],[full_text]],{"*makan siang gratis*";"*MBG*";"*makan gratis*";"*makan bergizi gratis*";"*makangratis*";"*makanan gratis*"})),"Relevan","Tidak Relevan")</f>
        <v>Tidak Relevan</v>
      </c>
      <c r="K12" t="s">
        <v>3622</v>
      </c>
    </row>
    <row r="13" spans="1:17" x14ac:dyDescent="0.35">
      <c r="A13" t="e">
        <f t="shared" si="0"/>
        <v>#REF!</v>
      </c>
      <c r="B13">
        <v>13</v>
      </c>
      <c r="C13" t="s">
        <v>1661</v>
      </c>
      <c r="D13" t="s">
        <v>28</v>
      </c>
      <c r="E13" t="s">
        <v>1662</v>
      </c>
      <c r="F13" t="s">
        <v>1663</v>
      </c>
      <c r="G13" t="s">
        <v>1664</v>
      </c>
      <c r="H13" t="s">
        <v>1665</v>
      </c>
      <c r="I13" t="s">
        <v>1666</v>
      </c>
      <c r="J13" t="str" cm="1">
        <f t="array" ref="J13">IF(SUM(COUNTIF(Text_Preprocessing291013[[#This Row],[full_text]],{"*makan siang gratis*";"*MBG*";"*makan gratis*";"*makan bergizi gratis*";"*makangratis*";"*makanan gratis*"})),"Relevan","Tidak Relevan")</f>
        <v>Tidak Relevan</v>
      </c>
      <c r="K13" t="s">
        <v>3622</v>
      </c>
    </row>
    <row r="14" spans="1:17" x14ac:dyDescent="0.35">
      <c r="A14" t="e">
        <f t="shared" si="0"/>
        <v>#REF!</v>
      </c>
      <c r="B14">
        <v>15</v>
      </c>
      <c r="C14" t="s">
        <v>1667</v>
      </c>
      <c r="D14" t="s">
        <v>32</v>
      </c>
      <c r="E14" t="s">
        <v>1668</v>
      </c>
      <c r="F14" t="s">
        <v>1669</v>
      </c>
      <c r="G14" t="s">
        <v>1670</v>
      </c>
      <c r="H14" t="s">
        <v>1670</v>
      </c>
      <c r="I14" t="s">
        <v>1671</v>
      </c>
      <c r="J14" t="str" cm="1">
        <f t="array" ref="J14">IF(SUM(COUNTIF(Text_Preprocessing291013[[#This Row],[full_text]],{"*makan siang gratis*";"*MBG*";"*makan gratis*";"*makan bergizi gratis*";"*makangratis*";"*makanan gratis*"})),"Relevan","Tidak Relevan")</f>
        <v>Relevan</v>
      </c>
    </row>
    <row r="15" spans="1:17" x14ac:dyDescent="0.35">
      <c r="A15" t="e">
        <f t="shared" si="0"/>
        <v>#REF!</v>
      </c>
      <c r="B15">
        <v>16</v>
      </c>
      <c r="C15" t="s">
        <v>1672</v>
      </c>
      <c r="D15" t="s">
        <v>34</v>
      </c>
      <c r="E15" t="s">
        <v>1673</v>
      </c>
      <c r="F15" t="s">
        <v>1674</v>
      </c>
      <c r="G15" t="s">
        <v>1675</v>
      </c>
      <c r="H15" t="s">
        <v>1676</v>
      </c>
      <c r="I15" t="s">
        <v>1677</v>
      </c>
      <c r="J15" t="str" cm="1">
        <f t="array" ref="J15">IF(SUM(COUNTIF(Text_Preprocessing291013[[#This Row],[full_text]],{"*makan siang gratis*";"*MBG*";"*makan gratis*";"*makan bergizi gratis*";"*makangratis*";"*makanan gratis*"})),"Relevan","Tidak Relevan")</f>
        <v>Tidak Relevan</v>
      </c>
      <c r="K15" t="s">
        <v>3622</v>
      </c>
    </row>
    <row r="16" spans="1:17" x14ac:dyDescent="0.35">
      <c r="A16" t="e">
        <f t="shared" si="0"/>
        <v>#REF!</v>
      </c>
      <c r="B16">
        <v>17</v>
      </c>
      <c r="C16" t="s">
        <v>1678</v>
      </c>
      <c r="D16" t="s">
        <v>36</v>
      </c>
      <c r="E16" t="s">
        <v>1679</v>
      </c>
      <c r="F16" t="s">
        <v>1680</v>
      </c>
      <c r="G16" t="s">
        <v>1681</v>
      </c>
      <c r="H16" t="s">
        <v>1682</v>
      </c>
      <c r="I16" t="s">
        <v>1683</v>
      </c>
      <c r="J16" t="str" cm="1">
        <f t="array" ref="J16">IF(SUM(COUNTIF(Text_Preprocessing291013[[#This Row],[full_text]],{"*makan siang gratis*";"*MBG*";"*makan gratis*";"*makan bergizi gratis*";"*makangratis*";"*makanan gratis*"})),"Relevan","Tidak Relevan")</f>
        <v>Relevan</v>
      </c>
    </row>
    <row r="17" spans="1:11" x14ac:dyDescent="0.35">
      <c r="A17" t="e">
        <f t="shared" si="0"/>
        <v>#REF!</v>
      </c>
      <c r="B17">
        <v>18</v>
      </c>
      <c r="C17" t="s">
        <v>1684</v>
      </c>
      <c r="D17" t="s">
        <v>38</v>
      </c>
      <c r="E17" t="s">
        <v>1685</v>
      </c>
      <c r="F17" t="s">
        <v>1686</v>
      </c>
      <c r="G17" t="s">
        <v>1687</v>
      </c>
      <c r="H17" t="s">
        <v>1688</v>
      </c>
      <c r="I17" t="s">
        <v>1689</v>
      </c>
      <c r="J17" t="str" cm="1">
        <f t="array" ref="J17">IF(SUM(COUNTIF(Text_Preprocessing291013[[#This Row],[full_text]],{"*makan siang gratis*";"*MBG*";"*makan gratis*";"*makan bergizi gratis*";"*makangratis*";"*makanan gratis*"})),"Relevan","Tidak Relevan")</f>
        <v>Relevan</v>
      </c>
    </row>
    <row r="18" spans="1:11" x14ac:dyDescent="0.35">
      <c r="A18" t="e">
        <f t="shared" si="0"/>
        <v>#REF!</v>
      </c>
      <c r="B18">
        <v>19</v>
      </c>
      <c r="C18" t="s">
        <v>1690</v>
      </c>
      <c r="D18" t="s">
        <v>40</v>
      </c>
      <c r="E18" t="s">
        <v>1691</v>
      </c>
      <c r="F18" t="s">
        <v>1692</v>
      </c>
      <c r="G18" t="s">
        <v>1693</v>
      </c>
      <c r="H18" t="s">
        <v>1693</v>
      </c>
      <c r="I18" t="s">
        <v>1694</v>
      </c>
      <c r="J18" t="str" cm="1">
        <f t="array" ref="J18">IF(SUM(COUNTIF(Text_Preprocessing291013[[#This Row],[full_text]],{"*makan siang gratis*";"*MBG*";"*makan gratis*";"*makan bergizi gratis*";"*makangratis*";"*makanan gratis*"})),"Relevan","Tidak Relevan")</f>
        <v>Tidak Relevan</v>
      </c>
      <c r="K18" t="s">
        <v>3622</v>
      </c>
    </row>
    <row r="19" spans="1:11" x14ac:dyDescent="0.35">
      <c r="A19" t="e">
        <f t="shared" si="0"/>
        <v>#REF!</v>
      </c>
      <c r="B19">
        <v>20</v>
      </c>
      <c r="C19" t="s">
        <v>1695</v>
      </c>
      <c r="D19" t="s">
        <v>42</v>
      </c>
      <c r="E19" t="s">
        <v>1696</v>
      </c>
      <c r="F19" t="s">
        <v>1697</v>
      </c>
      <c r="G19" t="s">
        <v>1698</v>
      </c>
      <c r="H19" t="s">
        <v>1698</v>
      </c>
      <c r="I19" t="s">
        <v>1699</v>
      </c>
      <c r="J19" t="str" cm="1">
        <f t="array" ref="J19">IF(SUM(COUNTIF(Text_Preprocessing291013[[#This Row],[full_text]],{"*makan siang gratis*";"*MBG*";"*makan gratis*";"*makan bergizi gratis*";"*makangratis*";"*makanan gratis*"})),"Relevan","Tidak Relevan")</f>
        <v>Tidak Relevan</v>
      </c>
      <c r="K19" t="s">
        <v>3622</v>
      </c>
    </row>
    <row r="20" spans="1:11" x14ac:dyDescent="0.35">
      <c r="A20" t="e">
        <f t="shared" si="0"/>
        <v>#REF!</v>
      </c>
      <c r="B20">
        <v>21</v>
      </c>
      <c r="C20" t="s">
        <v>1700</v>
      </c>
      <c r="D20" t="s">
        <v>44</v>
      </c>
      <c r="E20" t="s">
        <v>1701</v>
      </c>
      <c r="F20" t="s">
        <v>1702</v>
      </c>
      <c r="G20" t="s">
        <v>1703</v>
      </c>
      <c r="H20" t="s">
        <v>1703</v>
      </c>
      <c r="I20" t="s">
        <v>1704</v>
      </c>
      <c r="J20" t="str" cm="1">
        <f t="array" ref="J20">IF(SUM(COUNTIF(Text_Preprocessing291013[[#This Row],[full_text]],{"*makan siang gratis*";"*MBG*";"*makan gratis*";"*makan bergizi gratis*";"*makangratis*";"*makanan gratis*"})),"Relevan","Tidak Relevan")</f>
        <v>Tidak Relevan</v>
      </c>
      <c r="K20" t="s">
        <v>3622</v>
      </c>
    </row>
    <row r="21" spans="1:11" x14ac:dyDescent="0.35">
      <c r="A21" t="e">
        <f t="shared" si="0"/>
        <v>#REF!</v>
      </c>
      <c r="B21">
        <v>22</v>
      </c>
      <c r="C21" t="s">
        <v>1705</v>
      </c>
      <c r="D21" t="s">
        <v>20</v>
      </c>
      <c r="E21" t="s">
        <v>1706</v>
      </c>
      <c r="F21" t="s">
        <v>1707</v>
      </c>
      <c r="G21" t="s">
        <v>1708</v>
      </c>
      <c r="H21" t="s">
        <v>1709</v>
      </c>
      <c r="I21" t="s">
        <v>1710</v>
      </c>
      <c r="J21" t="str" cm="1">
        <f t="array" ref="J21">IF(SUM(COUNTIF(Text_Preprocessing291013[[#This Row],[full_text]],{"*makan siang gratis*";"*MBG*";"*makan gratis*";"*makan bergizi gratis*";"*makangratis*";"*makanan gratis*"})),"Relevan","Tidak Relevan")</f>
        <v>Relevan</v>
      </c>
    </row>
    <row r="22" spans="1:11" x14ac:dyDescent="0.35">
      <c r="A22" t="e">
        <f t="shared" si="0"/>
        <v>#REF!</v>
      </c>
      <c r="B22">
        <v>23</v>
      </c>
      <c r="C22" t="s">
        <v>1711</v>
      </c>
      <c r="D22" t="s">
        <v>47</v>
      </c>
      <c r="E22" t="s">
        <v>1712</v>
      </c>
      <c r="F22" t="s">
        <v>1713</v>
      </c>
      <c r="G22" t="s">
        <v>1714</v>
      </c>
      <c r="H22" t="s">
        <v>3646</v>
      </c>
      <c r="I22" t="s">
        <v>3647</v>
      </c>
      <c r="J22" t="str" cm="1">
        <f t="array" ref="J22">IF(SUM(COUNTIF(Text_Preprocessing291013[[#This Row],[full_text]],{"*makan siang gratis*";"*MBG*";"*makan gratis*";"*makan bergizi gratis*";"*makangratis*";"*makanan gratis*"})),"Relevan","Tidak Relevan")</f>
        <v>Tidak Relevan</v>
      </c>
      <c r="K22" t="s">
        <v>3622</v>
      </c>
    </row>
    <row r="23" spans="1:11" x14ac:dyDescent="0.35">
      <c r="A23" t="e">
        <f t="shared" si="0"/>
        <v>#REF!</v>
      </c>
      <c r="B23">
        <v>24</v>
      </c>
      <c r="C23" t="s">
        <v>1717</v>
      </c>
      <c r="D23" t="s">
        <v>49</v>
      </c>
      <c r="E23" t="s">
        <v>1718</v>
      </c>
      <c r="F23" t="s">
        <v>1719</v>
      </c>
      <c r="G23" t="s">
        <v>1720</v>
      </c>
      <c r="H23" t="s">
        <v>1720</v>
      </c>
      <c r="I23" t="s">
        <v>1721</v>
      </c>
      <c r="J23" t="str" cm="1">
        <f t="array" ref="J23">IF(SUM(COUNTIF(Text_Preprocessing291013[[#This Row],[full_text]],{"*makan siang gratis*";"*MBG*";"*makan gratis*";"*makan bergizi gratis*";"*makangratis*";"*makanan gratis*"})),"Relevan","Tidak Relevan")</f>
        <v>Relevan</v>
      </c>
    </row>
    <row r="24" spans="1:11" x14ac:dyDescent="0.35">
      <c r="A24" t="e">
        <f t="shared" si="0"/>
        <v>#REF!</v>
      </c>
      <c r="B24">
        <v>25</v>
      </c>
      <c r="C24" t="s">
        <v>1722</v>
      </c>
      <c r="D24" t="s">
        <v>20</v>
      </c>
      <c r="E24" t="s">
        <v>1723</v>
      </c>
      <c r="F24" t="s">
        <v>1724</v>
      </c>
      <c r="G24" t="s">
        <v>1725</v>
      </c>
      <c r="H24" t="s">
        <v>1726</v>
      </c>
      <c r="I24" t="s">
        <v>1727</v>
      </c>
      <c r="J24" t="str" cm="1">
        <f t="array" ref="J24">IF(SUM(COUNTIF(Text_Preprocessing291013[[#This Row],[full_text]],{"*makan siang gratis*";"*MBG*";"*makan gratis*";"*makan bergizi gratis*";"*makangratis*";"*makanan gratis*"})),"Relevan","Tidak Relevan")</f>
        <v>Tidak Relevan</v>
      </c>
      <c r="K24" t="s">
        <v>3622</v>
      </c>
    </row>
    <row r="25" spans="1:11" x14ac:dyDescent="0.35">
      <c r="A25" t="e">
        <f t="shared" si="0"/>
        <v>#REF!</v>
      </c>
      <c r="B25">
        <v>26</v>
      </c>
      <c r="C25" t="s">
        <v>1728</v>
      </c>
      <c r="D25" t="s">
        <v>52</v>
      </c>
      <c r="E25" t="s">
        <v>1729</v>
      </c>
      <c r="F25" t="s">
        <v>1730</v>
      </c>
      <c r="G25" t="s">
        <v>1731</v>
      </c>
      <c r="H25" t="s">
        <v>1731</v>
      </c>
      <c r="I25" t="s">
        <v>1732</v>
      </c>
      <c r="J25" t="str" cm="1">
        <f t="array" ref="J25">IF(SUM(COUNTIF(Text_Preprocessing291013[[#This Row],[full_text]],{"*makan siang gratis*";"*MBG*";"*makan gratis*";"*makan bergizi gratis*";"*makangratis*";"*makanan gratis*"})),"Relevan","Tidak Relevan")</f>
        <v>Relevan</v>
      </c>
    </row>
    <row r="26" spans="1:11" x14ac:dyDescent="0.35">
      <c r="A26" t="e">
        <f t="shared" si="0"/>
        <v>#REF!</v>
      </c>
      <c r="B26">
        <v>27</v>
      </c>
      <c r="C26" t="s">
        <v>1733</v>
      </c>
      <c r="D26" t="s">
        <v>54</v>
      </c>
      <c r="E26" t="s">
        <v>1734</v>
      </c>
      <c r="F26" t="s">
        <v>1735</v>
      </c>
      <c r="G26" t="s">
        <v>1736</v>
      </c>
      <c r="H26" t="s">
        <v>1737</v>
      </c>
      <c r="I26" t="s">
        <v>1738</v>
      </c>
      <c r="J26" t="str" cm="1">
        <f t="array" ref="J26">IF(SUM(COUNTIF(Text_Preprocessing291013[[#This Row],[full_text]],{"*makan siang gratis*";"*MBG*";"*makan gratis*";"*makan bergizi gratis*";"*makangratis*";"*makanan gratis*"})),"Relevan","Tidak Relevan")</f>
        <v>Relevan</v>
      </c>
    </row>
    <row r="27" spans="1:11" x14ac:dyDescent="0.35">
      <c r="A27" t="e">
        <f t="shared" si="0"/>
        <v>#REF!</v>
      </c>
      <c r="B27">
        <v>28</v>
      </c>
      <c r="C27" t="s">
        <v>1739</v>
      </c>
      <c r="D27" t="s">
        <v>56</v>
      </c>
      <c r="E27" t="s">
        <v>1740</v>
      </c>
      <c r="F27" t="s">
        <v>1741</v>
      </c>
      <c r="G27" t="s">
        <v>1742</v>
      </c>
      <c r="H27" t="s">
        <v>1743</v>
      </c>
      <c r="I27" t="s">
        <v>1744</v>
      </c>
      <c r="J27" t="str" cm="1">
        <f t="array" ref="J27">IF(SUM(COUNTIF(Text_Preprocessing291013[[#This Row],[full_text]],{"*makan siang gratis*";"*MBG*";"*makan gratis*";"*makan bergizi gratis*";"*makangratis*";"*makanan gratis*"})),"Relevan","Tidak Relevan")</f>
        <v>Relevan</v>
      </c>
    </row>
    <row r="28" spans="1:11" x14ac:dyDescent="0.35">
      <c r="A28" t="e">
        <f t="shared" si="0"/>
        <v>#REF!</v>
      </c>
      <c r="B28">
        <v>29</v>
      </c>
      <c r="C28" t="s">
        <v>1745</v>
      </c>
      <c r="D28" t="s">
        <v>58</v>
      </c>
      <c r="E28" t="s">
        <v>1746</v>
      </c>
      <c r="F28" t="s">
        <v>1747</v>
      </c>
      <c r="G28" t="s">
        <v>1748</v>
      </c>
      <c r="H28" t="s">
        <v>1748</v>
      </c>
      <c r="I28" t="s">
        <v>1749</v>
      </c>
      <c r="J28" t="str" cm="1">
        <f t="array" ref="J28">IF(SUM(COUNTIF(Text_Preprocessing291013[[#This Row],[full_text]],{"*makan siang gratis*";"*MBG*";"*makan gratis*";"*makan bergizi gratis*";"*makangratis*";"*makanan gratis*"})),"Relevan","Tidak Relevan")</f>
        <v>Relevan</v>
      </c>
    </row>
    <row r="29" spans="1:11" x14ac:dyDescent="0.35">
      <c r="A29" t="e">
        <f t="shared" si="0"/>
        <v>#REF!</v>
      </c>
      <c r="B29">
        <v>30</v>
      </c>
      <c r="C29" t="s">
        <v>1750</v>
      </c>
      <c r="D29" t="s">
        <v>60</v>
      </c>
      <c r="E29" t="s">
        <v>1751</v>
      </c>
      <c r="F29" t="s">
        <v>1752</v>
      </c>
      <c r="G29" t="s">
        <v>1753</v>
      </c>
      <c r="H29" t="s">
        <v>3648</v>
      </c>
      <c r="I29" t="s">
        <v>3649</v>
      </c>
      <c r="J29" t="str" cm="1">
        <f t="array" ref="J29">IF(SUM(COUNTIF(Text_Preprocessing291013[[#This Row],[full_text]],{"*makan siang gratis*";"*MBG*";"*makan gratis*";"*makan bergizi gratis*";"*makangratis*";"*makanan gratis*"})),"Relevan","Tidak Relevan")</f>
        <v>Relevan</v>
      </c>
    </row>
    <row r="30" spans="1:11" x14ac:dyDescent="0.35">
      <c r="A30" t="e">
        <f t="shared" si="0"/>
        <v>#REF!</v>
      </c>
      <c r="B30">
        <v>31</v>
      </c>
      <c r="C30" t="s">
        <v>1756</v>
      </c>
      <c r="D30" t="s">
        <v>62</v>
      </c>
      <c r="E30" t="s">
        <v>1757</v>
      </c>
      <c r="F30" t="s">
        <v>1758</v>
      </c>
      <c r="G30" t="s">
        <v>1759</v>
      </c>
      <c r="H30" t="s">
        <v>1760</v>
      </c>
      <c r="I30" t="s">
        <v>1761</v>
      </c>
      <c r="J30" t="str" cm="1">
        <f t="array" ref="J30">IF(SUM(COUNTIF(Text_Preprocessing291013[[#This Row],[full_text]],{"*makan siang gratis*";"*MBG*";"*makan gratis*";"*makan bergizi gratis*";"*makangratis*";"*makanan gratis*"})),"Relevan","Tidak Relevan")</f>
        <v>Relevan</v>
      </c>
    </row>
    <row r="31" spans="1:11" x14ac:dyDescent="0.35">
      <c r="A31" t="e">
        <f t="shared" si="0"/>
        <v>#REF!</v>
      </c>
      <c r="B31">
        <v>32</v>
      </c>
      <c r="C31" t="s">
        <v>1762</v>
      </c>
      <c r="D31" t="s">
        <v>64</v>
      </c>
      <c r="E31" t="s">
        <v>1763</v>
      </c>
      <c r="F31" t="s">
        <v>1764</v>
      </c>
      <c r="G31" t="s">
        <v>1765</v>
      </c>
      <c r="H31" t="s">
        <v>3650</v>
      </c>
      <c r="I31" t="s">
        <v>1767</v>
      </c>
      <c r="J31" t="str" cm="1">
        <f t="array" ref="J31">IF(SUM(COUNTIF(Text_Preprocessing291013[[#This Row],[full_text]],{"*makan siang gratis*";"*MBG*";"*makan gratis*";"*makan bergizi gratis*";"*makangratis*";"*makanan gratis*"})),"Relevan","Tidak Relevan")</f>
        <v>Relevan</v>
      </c>
    </row>
    <row r="32" spans="1:11" x14ac:dyDescent="0.35">
      <c r="A32" t="e">
        <f t="shared" si="0"/>
        <v>#REF!</v>
      </c>
      <c r="B32">
        <v>33</v>
      </c>
      <c r="C32" t="s">
        <v>1768</v>
      </c>
      <c r="D32" t="s">
        <v>66</v>
      </c>
      <c r="E32" t="s">
        <v>1769</v>
      </c>
      <c r="F32" t="s">
        <v>1770</v>
      </c>
      <c r="G32" t="s">
        <v>1771</v>
      </c>
      <c r="H32" t="s">
        <v>1771</v>
      </c>
      <c r="I32" t="s">
        <v>1772</v>
      </c>
      <c r="J32" t="str" cm="1">
        <f t="array" ref="J32">IF(SUM(COUNTIF(Text_Preprocessing291013[[#This Row],[full_text]],{"*makan siang gratis*";"*MBG*";"*makan gratis*";"*makan bergizi gratis*";"*makangratis*";"*makanan gratis*"})),"Relevan","Tidak Relevan")</f>
        <v>Relevan</v>
      </c>
    </row>
    <row r="33" spans="1:11" x14ac:dyDescent="0.35">
      <c r="A33" t="e">
        <f t="shared" si="0"/>
        <v>#REF!</v>
      </c>
      <c r="B33">
        <v>34</v>
      </c>
      <c r="C33" t="s">
        <v>1773</v>
      </c>
      <c r="D33" t="s">
        <v>68</v>
      </c>
      <c r="E33" t="s">
        <v>1774</v>
      </c>
      <c r="F33" t="s">
        <v>1775</v>
      </c>
      <c r="G33" t="s">
        <v>1776</v>
      </c>
      <c r="H33" t="s">
        <v>1776</v>
      </c>
      <c r="I33" t="s">
        <v>1777</v>
      </c>
      <c r="J33" t="str" cm="1">
        <f t="array" ref="J33">IF(SUM(COUNTIF(Text_Preprocessing291013[[#This Row],[full_text]],{"*makan siang gratis*";"*MBG*";"*makan gratis*";"*makan bergizi gratis*";"*makangratis*";"*makanan gratis*"})),"Relevan","Tidak Relevan")</f>
        <v>Relevan</v>
      </c>
    </row>
    <row r="34" spans="1:11" x14ac:dyDescent="0.35">
      <c r="A34" t="e">
        <f t="shared" si="0"/>
        <v>#REF!</v>
      </c>
      <c r="B34">
        <v>35</v>
      </c>
      <c r="C34" t="s">
        <v>1778</v>
      </c>
      <c r="D34" t="s">
        <v>70</v>
      </c>
      <c r="E34" t="s">
        <v>1779</v>
      </c>
      <c r="F34" t="s">
        <v>1780</v>
      </c>
      <c r="G34" t="s">
        <v>1781</v>
      </c>
      <c r="H34" t="s">
        <v>1781</v>
      </c>
      <c r="I34" t="s">
        <v>1782</v>
      </c>
      <c r="J34" t="str" cm="1">
        <f t="array" ref="J34">IF(SUM(COUNTIF(Text_Preprocessing291013[[#This Row],[full_text]],{"*makan siang gratis*";"*MBG*";"*makan gratis*";"*makan bergizi gratis*";"*makangratis*";"*makanan gratis*"})),"Relevan","Tidak Relevan")</f>
        <v>Tidak Relevan</v>
      </c>
      <c r="K34" t="s">
        <v>3622</v>
      </c>
    </row>
    <row r="35" spans="1:11" x14ac:dyDescent="0.35">
      <c r="A35" t="e">
        <f t="shared" si="0"/>
        <v>#REF!</v>
      </c>
      <c r="B35">
        <v>36</v>
      </c>
      <c r="C35" t="s">
        <v>1783</v>
      </c>
      <c r="D35" t="s">
        <v>72</v>
      </c>
      <c r="E35" t="s">
        <v>1784</v>
      </c>
      <c r="F35" t="s">
        <v>1785</v>
      </c>
      <c r="G35" t="s">
        <v>1786</v>
      </c>
      <c r="H35" t="s">
        <v>1786</v>
      </c>
      <c r="I35" t="s">
        <v>1787</v>
      </c>
      <c r="J35" t="str" cm="1">
        <f t="array" ref="J35">IF(SUM(COUNTIF(Text_Preprocessing291013[[#This Row],[full_text]],{"*makan siang gratis*";"*MBG*";"*makan gratis*";"*makan bergizi gratis*";"*makangratis*";"*makanan gratis*"})),"Relevan","Tidak Relevan")</f>
        <v>Tidak Relevan</v>
      </c>
      <c r="K35" t="s">
        <v>3622</v>
      </c>
    </row>
    <row r="36" spans="1:11" x14ac:dyDescent="0.35">
      <c r="A36" t="e">
        <f t="shared" si="0"/>
        <v>#REF!</v>
      </c>
      <c r="B36">
        <v>37</v>
      </c>
      <c r="C36" t="s">
        <v>1788</v>
      </c>
      <c r="D36" t="s">
        <v>74</v>
      </c>
      <c r="E36" t="s">
        <v>1789</v>
      </c>
      <c r="F36" t="s">
        <v>1730</v>
      </c>
      <c r="G36" t="s">
        <v>1790</v>
      </c>
      <c r="H36" t="s">
        <v>1790</v>
      </c>
      <c r="I36" t="s">
        <v>1791</v>
      </c>
      <c r="J36" t="str" cm="1">
        <f t="array" ref="J36">IF(SUM(COUNTIF(Text_Preprocessing291013[[#This Row],[full_text]],{"*makan siang gratis*";"*MBG*";"*makan gratis*";"*makan bergizi gratis*";"*makangratis*";"*makanan gratis*"})),"Relevan","Tidak Relevan")</f>
        <v>Relevan</v>
      </c>
    </row>
    <row r="37" spans="1:11" x14ac:dyDescent="0.35">
      <c r="A37" t="e">
        <f t="shared" si="0"/>
        <v>#REF!</v>
      </c>
      <c r="B37">
        <v>38</v>
      </c>
      <c r="C37" t="s">
        <v>1792</v>
      </c>
      <c r="D37" t="s">
        <v>76</v>
      </c>
      <c r="E37" t="s">
        <v>1793</v>
      </c>
      <c r="F37" t="s">
        <v>1794</v>
      </c>
      <c r="G37" t="s">
        <v>1795</v>
      </c>
      <c r="H37" t="s">
        <v>1795</v>
      </c>
      <c r="I37" t="s">
        <v>1796</v>
      </c>
      <c r="J37" t="str" cm="1">
        <f t="array" ref="J37">IF(SUM(COUNTIF(Text_Preprocessing291013[[#This Row],[full_text]],{"*makan siang gratis*";"*MBG*";"*makan gratis*";"*makan bergizi gratis*";"*makangratis*";"*makanan gratis*"})),"Relevan","Tidak Relevan")</f>
        <v>Relevan</v>
      </c>
    </row>
    <row r="38" spans="1:11" x14ac:dyDescent="0.35">
      <c r="A38" t="e">
        <f t="shared" si="0"/>
        <v>#REF!</v>
      </c>
      <c r="B38">
        <v>39</v>
      </c>
      <c r="C38" t="s">
        <v>1797</v>
      </c>
      <c r="D38" t="s">
        <v>78</v>
      </c>
      <c r="E38" t="s">
        <v>1798</v>
      </c>
      <c r="F38" t="s">
        <v>1799</v>
      </c>
      <c r="G38" t="s">
        <v>1800</v>
      </c>
      <c r="H38" t="s">
        <v>1800</v>
      </c>
      <c r="I38" t="s">
        <v>1801</v>
      </c>
      <c r="J38" t="str" cm="1">
        <f t="array" ref="J38">IF(SUM(COUNTIF(Text_Preprocessing291013[[#This Row],[full_text]],{"*makan siang gratis*";"*MBG*";"*makan gratis*";"*makan bergizi gratis*";"*makangratis*";"*makanan gratis*"})),"Relevan","Tidak Relevan")</f>
        <v>Relevan</v>
      </c>
    </row>
    <row r="39" spans="1:11" x14ac:dyDescent="0.35">
      <c r="A39" t="e">
        <f t="shared" si="0"/>
        <v>#REF!</v>
      </c>
      <c r="B39">
        <v>40</v>
      </c>
      <c r="C39" t="s">
        <v>1802</v>
      </c>
      <c r="D39" t="s">
        <v>80</v>
      </c>
      <c r="E39" t="s">
        <v>1803</v>
      </c>
      <c r="F39" t="s">
        <v>1804</v>
      </c>
      <c r="G39" t="s">
        <v>1805</v>
      </c>
      <c r="H39" t="s">
        <v>1805</v>
      </c>
      <c r="I39" t="s">
        <v>1806</v>
      </c>
      <c r="J39" t="str" cm="1">
        <f t="array" ref="J39">IF(SUM(COUNTIF(Text_Preprocessing291013[[#This Row],[full_text]],{"*makan siang gratis*";"*MBG*";"*makan gratis*";"*makan bergizi gratis*";"*makangratis*";"*makanan gratis*"})),"Relevan","Tidak Relevan")</f>
        <v>Relevan</v>
      </c>
    </row>
    <row r="40" spans="1:11" x14ac:dyDescent="0.35">
      <c r="A40" t="e">
        <f t="shared" si="0"/>
        <v>#REF!</v>
      </c>
      <c r="B40">
        <v>41</v>
      </c>
      <c r="C40" t="s">
        <v>1807</v>
      </c>
      <c r="D40" t="s">
        <v>82</v>
      </c>
      <c r="E40" t="s">
        <v>1808</v>
      </c>
      <c r="F40" t="s">
        <v>1809</v>
      </c>
      <c r="G40" t="s">
        <v>1810</v>
      </c>
      <c r="H40" t="s">
        <v>1810</v>
      </c>
      <c r="I40" t="s">
        <v>1811</v>
      </c>
      <c r="J40" t="str" cm="1">
        <f t="array" ref="J40">IF(SUM(COUNTIF(Text_Preprocessing291013[[#This Row],[full_text]],{"*makan siang gratis*";"*MBG*";"*makan gratis*";"*makan bergizi gratis*";"*makangratis*";"*makanan gratis*"})),"Relevan","Tidak Relevan")</f>
        <v>Relevan</v>
      </c>
    </row>
    <row r="41" spans="1:11" x14ac:dyDescent="0.35">
      <c r="A41" t="e">
        <f t="shared" si="0"/>
        <v>#REF!</v>
      </c>
      <c r="B41">
        <v>42</v>
      </c>
      <c r="C41" t="s">
        <v>1812</v>
      </c>
      <c r="D41" t="s">
        <v>84</v>
      </c>
      <c r="E41" t="s">
        <v>1813</v>
      </c>
      <c r="F41" t="s">
        <v>1692</v>
      </c>
      <c r="G41" t="s">
        <v>1814</v>
      </c>
      <c r="H41" t="s">
        <v>1814</v>
      </c>
      <c r="I41" t="s">
        <v>1815</v>
      </c>
      <c r="J41" t="str" cm="1">
        <f t="array" ref="J41">IF(SUM(COUNTIF(Text_Preprocessing291013[[#This Row],[full_text]],{"*makan siang gratis*";"*MBG*";"*makan gratis*";"*makan bergizi gratis*";"*makangratis*";"*makanan gratis*"})),"Relevan","Tidak Relevan")</f>
        <v>Tidak Relevan</v>
      </c>
      <c r="K41" t="s">
        <v>3622</v>
      </c>
    </row>
    <row r="42" spans="1:11" x14ac:dyDescent="0.35">
      <c r="A42" t="e">
        <f t="shared" si="0"/>
        <v>#REF!</v>
      </c>
      <c r="B42">
        <v>43</v>
      </c>
      <c r="C42" t="s">
        <v>1816</v>
      </c>
      <c r="D42" t="s">
        <v>76</v>
      </c>
      <c r="E42" t="s">
        <v>1817</v>
      </c>
      <c r="F42" t="s">
        <v>1818</v>
      </c>
      <c r="G42" t="s">
        <v>1819</v>
      </c>
      <c r="H42" t="s">
        <v>1819</v>
      </c>
      <c r="I42" t="s">
        <v>1820</v>
      </c>
      <c r="J42" t="str" cm="1">
        <f t="array" ref="J42">IF(SUM(COUNTIF(Text_Preprocessing291013[[#This Row],[full_text]],{"*makan siang gratis*";"*MBG*";"*makan gratis*";"*makan bergizi gratis*";"*makangratis*";"*makanan gratis*"})),"Relevan","Tidak Relevan")</f>
        <v>Relevan</v>
      </c>
    </row>
    <row r="43" spans="1:11" x14ac:dyDescent="0.35">
      <c r="A43" t="e">
        <f t="shared" si="0"/>
        <v>#REF!</v>
      </c>
      <c r="B43">
        <v>44</v>
      </c>
      <c r="C43" t="s">
        <v>1821</v>
      </c>
      <c r="D43" t="s">
        <v>87</v>
      </c>
      <c r="E43" t="s">
        <v>1822</v>
      </c>
      <c r="F43" t="s">
        <v>1823</v>
      </c>
      <c r="G43" t="s">
        <v>1824</v>
      </c>
      <c r="H43" t="s">
        <v>3651</v>
      </c>
      <c r="I43" t="s">
        <v>3652</v>
      </c>
      <c r="J43" t="str" cm="1">
        <f t="array" ref="J43">IF(SUM(COUNTIF(Text_Preprocessing291013[[#This Row],[full_text]],{"*makan siang gratis*";"*MBG*";"*makan gratis*";"*makan bergizi gratis*";"*makangratis*";"*makanan gratis*"})),"Relevan","Tidak Relevan")</f>
        <v>Relevan</v>
      </c>
    </row>
    <row r="44" spans="1:11" x14ac:dyDescent="0.35">
      <c r="A44" t="e">
        <f t="shared" si="0"/>
        <v>#REF!</v>
      </c>
      <c r="B44">
        <v>45</v>
      </c>
      <c r="C44" t="s">
        <v>1827</v>
      </c>
      <c r="D44" t="s">
        <v>84</v>
      </c>
      <c r="E44" t="s">
        <v>1828</v>
      </c>
      <c r="F44" t="s">
        <v>1829</v>
      </c>
      <c r="G44" t="s">
        <v>1830</v>
      </c>
      <c r="H44" t="s">
        <v>1830</v>
      </c>
      <c r="I44" t="s">
        <v>1831</v>
      </c>
      <c r="J44" t="str" cm="1">
        <f t="array" ref="J44">IF(SUM(COUNTIF(Text_Preprocessing291013[[#This Row],[full_text]],{"*makan siang gratis*";"*MBG*";"*makan gratis*";"*makan bergizi gratis*";"*makangratis*";"*makanan gratis*"})),"Relevan","Tidak Relevan")</f>
        <v>Relevan</v>
      </c>
    </row>
    <row r="45" spans="1:11" x14ac:dyDescent="0.35">
      <c r="A45" t="e">
        <f t="shared" si="0"/>
        <v>#REF!</v>
      </c>
      <c r="B45">
        <v>46</v>
      </c>
      <c r="C45" t="s">
        <v>1832</v>
      </c>
      <c r="D45" t="s">
        <v>76</v>
      </c>
      <c r="E45" t="s">
        <v>1833</v>
      </c>
      <c r="F45" t="s">
        <v>1834</v>
      </c>
      <c r="G45" t="s">
        <v>1835</v>
      </c>
      <c r="H45" t="s">
        <v>1835</v>
      </c>
      <c r="I45" t="s">
        <v>1836</v>
      </c>
      <c r="J45" t="str" cm="1">
        <f t="array" ref="J45">IF(SUM(COUNTIF(Text_Preprocessing291013[[#This Row],[full_text]],{"*makan siang gratis*";"*MBG*";"*makan gratis*";"*makan bergizi gratis*";"*makangratis*";"*makanan gratis*"})),"Relevan","Tidak Relevan")</f>
        <v>Relevan</v>
      </c>
    </row>
    <row r="46" spans="1:11" x14ac:dyDescent="0.35">
      <c r="A46" t="e">
        <f t="shared" si="0"/>
        <v>#REF!</v>
      </c>
      <c r="B46">
        <v>47</v>
      </c>
      <c r="C46" t="s">
        <v>1837</v>
      </c>
      <c r="D46" t="s">
        <v>91</v>
      </c>
      <c r="E46" t="s">
        <v>1838</v>
      </c>
      <c r="F46" t="s">
        <v>1839</v>
      </c>
      <c r="G46" t="s">
        <v>1840</v>
      </c>
      <c r="H46" t="s">
        <v>1840</v>
      </c>
      <c r="I46" t="s">
        <v>1841</v>
      </c>
      <c r="J46" t="str" cm="1">
        <f t="array" ref="J46">IF(SUM(COUNTIF(Text_Preprocessing291013[[#This Row],[full_text]],{"*makan siang gratis*";"*MBG*";"*makan gratis*";"*makan bergizi gratis*";"*makangratis*";"*makanan gratis*"})),"Relevan","Tidak Relevan")</f>
        <v>Relevan</v>
      </c>
    </row>
    <row r="47" spans="1:11" x14ac:dyDescent="0.35">
      <c r="A47" t="e">
        <f t="shared" si="0"/>
        <v>#REF!</v>
      </c>
      <c r="B47">
        <v>48</v>
      </c>
      <c r="C47" t="s">
        <v>1842</v>
      </c>
      <c r="D47" t="s">
        <v>93</v>
      </c>
      <c r="E47" t="s">
        <v>1843</v>
      </c>
      <c r="F47" t="s">
        <v>1844</v>
      </c>
      <c r="G47" t="s">
        <v>1845</v>
      </c>
      <c r="H47" t="s">
        <v>1845</v>
      </c>
      <c r="I47" t="s">
        <v>1846</v>
      </c>
      <c r="J47" t="str" cm="1">
        <f t="array" ref="J47">IF(SUM(COUNTIF(Text_Preprocessing291013[[#This Row],[full_text]],{"*makan siang gratis*";"*MBG*";"*makan gratis*";"*makan bergizi gratis*";"*makangratis*";"*makanan gratis*"})),"Relevan","Tidak Relevan")</f>
        <v>Relevan</v>
      </c>
    </row>
    <row r="48" spans="1:11" x14ac:dyDescent="0.35">
      <c r="A48" t="e">
        <f t="shared" si="0"/>
        <v>#REF!</v>
      </c>
      <c r="B48">
        <v>49</v>
      </c>
      <c r="C48" t="s">
        <v>1847</v>
      </c>
      <c r="D48" t="s">
        <v>93</v>
      </c>
      <c r="E48" t="s">
        <v>1848</v>
      </c>
      <c r="F48" t="s">
        <v>1804</v>
      </c>
      <c r="G48" t="s">
        <v>1849</v>
      </c>
      <c r="H48" t="s">
        <v>1849</v>
      </c>
      <c r="I48" t="s">
        <v>1850</v>
      </c>
      <c r="J48" t="str" cm="1">
        <f t="array" ref="J48">IF(SUM(COUNTIF(Text_Preprocessing291013[[#This Row],[full_text]],{"*makan siang gratis*";"*MBG*";"*makan gratis*";"*makan bergizi gratis*";"*makangratis*";"*makanan gratis*"})),"Relevan","Tidak Relevan")</f>
        <v>Relevan</v>
      </c>
    </row>
    <row r="49" spans="1:10" x14ac:dyDescent="0.35">
      <c r="A49" t="e">
        <f t="shared" si="0"/>
        <v>#REF!</v>
      </c>
      <c r="B49">
        <v>50</v>
      </c>
      <c r="C49" t="s">
        <v>1851</v>
      </c>
      <c r="D49" t="s">
        <v>76</v>
      </c>
      <c r="E49" t="s">
        <v>1852</v>
      </c>
      <c r="F49" t="s">
        <v>1853</v>
      </c>
      <c r="G49" t="s">
        <v>1854</v>
      </c>
      <c r="H49" t="s">
        <v>1854</v>
      </c>
      <c r="I49" t="s">
        <v>1855</v>
      </c>
      <c r="J49" t="str" cm="1">
        <f t="array" ref="J49">IF(SUM(COUNTIF(Text_Preprocessing291013[[#This Row],[full_text]],{"*makan siang gratis*";"*MBG*";"*makan gratis*";"*makan bergizi gratis*";"*makangratis*";"*makanan gratis*"})),"Relevan","Tidak Relevan")</f>
        <v>Relevan</v>
      </c>
    </row>
    <row r="50" spans="1:10" x14ac:dyDescent="0.35">
      <c r="A50" t="e">
        <f t="shared" si="0"/>
        <v>#REF!</v>
      </c>
      <c r="B50">
        <v>51</v>
      </c>
      <c r="C50" t="s">
        <v>1856</v>
      </c>
      <c r="D50" t="s">
        <v>93</v>
      </c>
      <c r="E50" t="s">
        <v>1857</v>
      </c>
      <c r="F50" t="s">
        <v>1596</v>
      </c>
      <c r="G50" t="s">
        <v>1858</v>
      </c>
      <c r="H50" t="s">
        <v>1858</v>
      </c>
      <c r="I50" t="s">
        <v>1859</v>
      </c>
      <c r="J50" t="str" cm="1">
        <f t="array" ref="J50">IF(SUM(COUNTIF(Text_Preprocessing291013[[#This Row],[full_text]],{"*makan siang gratis*";"*MBG*";"*makan gratis*";"*makan bergizi gratis*";"*makangratis*";"*makanan gratis*"})),"Relevan","Tidak Relevan")</f>
        <v>Relevan</v>
      </c>
    </row>
    <row r="51" spans="1:10" x14ac:dyDescent="0.35">
      <c r="A51" t="e">
        <f t="shared" si="0"/>
        <v>#REF!</v>
      </c>
      <c r="B51">
        <v>52</v>
      </c>
      <c r="C51" t="s">
        <v>1860</v>
      </c>
      <c r="D51" t="s">
        <v>98</v>
      </c>
      <c r="E51" t="s">
        <v>1861</v>
      </c>
      <c r="F51" t="s">
        <v>1692</v>
      </c>
      <c r="G51" t="s">
        <v>1862</v>
      </c>
      <c r="H51" t="s">
        <v>1862</v>
      </c>
      <c r="I51" t="s">
        <v>1863</v>
      </c>
      <c r="J51" t="str" cm="1">
        <f t="array" ref="J51">IF(SUM(COUNTIF(Text_Preprocessing291013[[#This Row],[full_text]],{"*makan siang gratis*";"*MBG*";"*makan gratis*";"*makan bergizi gratis*";"*makangratis*";"*makanan gratis*"})),"Relevan","Tidak Relevan")</f>
        <v>Relevan</v>
      </c>
    </row>
    <row r="52" spans="1:10" x14ac:dyDescent="0.35">
      <c r="A52" t="e">
        <f t="shared" si="0"/>
        <v>#REF!</v>
      </c>
      <c r="B52">
        <v>53</v>
      </c>
      <c r="C52" t="s">
        <v>1864</v>
      </c>
      <c r="D52" t="s">
        <v>100</v>
      </c>
      <c r="E52" t="s">
        <v>1865</v>
      </c>
      <c r="F52" t="s">
        <v>1730</v>
      </c>
      <c r="G52" t="s">
        <v>1866</v>
      </c>
      <c r="H52" t="s">
        <v>1866</v>
      </c>
      <c r="I52" t="s">
        <v>1867</v>
      </c>
      <c r="J52" t="str" cm="1">
        <f t="array" ref="J52">IF(SUM(COUNTIF(Text_Preprocessing291013[[#This Row],[full_text]],{"*makan siang gratis*";"*MBG*";"*makan gratis*";"*makan bergizi gratis*";"*makangratis*";"*makanan gratis*"})),"Relevan","Tidak Relevan")</f>
        <v>Relevan</v>
      </c>
    </row>
    <row r="53" spans="1:10" x14ac:dyDescent="0.35">
      <c r="A53" t="e">
        <f t="shared" si="0"/>
        <v>#REF!</v>
      </c>
      <c r="B53">
        <v>54</v>
      </c>
      <c r="C53" t="s">
        <v>1868</v>
      </c>
      <c r="D53" t="s">
        <v>102</v>
      </c>
      <c r="E53" t="s">
        <v>1869</v>
      </c>
      <c r="F53" t="s">
        <v>1596</v>
      </c>
      <c r="G53" t="s">
        <v>1870</v>
      </c>
      <c r="H53" t="s">
        <v>1871</v>
      </c>
      <c r="I53" t="s">
        <v>1872</v>
      </c>
      <c r="J53" t="str" cm="1">
        <f t="array" ref="J53">IF(SUM(COUNTIF(Text_Preprocessing291013[[#This Row],[full_text]],{"*makan siang gratis*";"*MBG*";"*makan gratis*";"*makan bergizi gratis*";"*makangratis*";"*makanan gratis*"})),"Relevan","Tidak Relevan")</f>
        <v>Relevan</v>
      </c>
    </row>
    <row r="54" spans="1:10" x14ac:dyDescent="0.35">
      <c r="A54" t="e">
        <f t="shared" si="0"/>
        <v>#REF!</v>
      </c>
      <c r="B54">
        <v>55</v>
      </c>
      <c r="C54" t="s">
        <v>1873</v>
      </c>
      <c r="D54" t="s">
        <v>100</v>
      </c>
      <c r="E54" t="s">
        <v>1874</v>
      </c>
      <c r="F54" t="s">
        <v>1804</v>
      </c>
      <c r="G54" t="s">
        <v>1875</v>
      </c>
      <c r="H54" t="s">
        <v>1875</v>
      </c>
      <c r="I54" t="s">
        <v>1876</v>
      </c>
      <c r="J54" t="str" cm="1">
        <f t="array" ref="J54">IF(SUM(COUNTIF(Text_Preprocessing291013[[#This Row],[full_text]],{"*makan siang gratis*";"*MBG*";"*makan gratis*";"*makan bergizi gratis*";"*makangratis*";"*makanan gratis*"})),"Relevan","Tidak Relevan")</f>
        <v>Relevan</v>
      </c>
    </row>
    <row r="55" spans="1:10" x14ac:dyDescent="0.35">
      <c r="A55" t="e">
        <f t="shared" si="0"/>
        <v>#REF!</v>
      </c>
      <c r="B55">
        <v>56</v>
      </c>
      <c r="C55" t="s">
        <v>1877</v>
      </c>
      <c r="D55" t="s">
        <v>105</v>
      </c>
      <c r="E55" t="s">
        <v>1878</v>
      </c>
      <c r="F55" t="s">
        <v>1879</v>
      </c>
      <c r="G55" t="s">
        <v>1880</v>
      </c>
      <c r="H55" t="s">
        <v>1880</v>
      </c>
      <c r="I55" t="s">
        <v>1881</v>
      </c>
      <c r="J55" t="str" cm="1">
        <f t="array" ref="J55">IF(SUM(COUNTIF(Text_Preprocessing291013[[#This Row],[full_text]],{"*makan siang gratis*";"*MBG*";"*makan gratis*";"*makan bergizi gratis*";"*makangratis*";"*makanan gratis*"})),"Relevan","Tidak Relevan")</f>
        <v>Relevan</v>
      </c>
    </row>
    <row r="56" spans="1:10" x14ac:dyDescent="0.35">
      <c r="A56" t="e">
        <f t="shared" si="0"/>
        <v>#REF!</v>
      </c>
      <c r="B56">
        <v>58</v>
      </c>
      <c r="C56" t="s">
        <v>1882</v>
      </c>
      <c r="D56" t="s">
        <v>108</v>
      </c>
      <c r="E56" t="s">
        <v>1883</v>
      </c>
      <c r="F56" t="s">
        <v>1884</v>
      </c>
      <c r="G56" t="s">
        <v>1883</v>
      </c>
      <c r="H56" t="s">
        <v>1883</v>
      </c>
      <c r="I56" t="s">
        <v>1885</v>
      </c>
      <c r="J56" t="str" cm="1">
        <f t="array" ref="J56">IF(SUM(COUNTIF(Text_Preprocessing291013[[#This Row],[full_text]],{"*makan siang gratis*";"*MBG*";"*makan gratis*";"*makan bergizi gratis*";"*makangratis*";"*makanan gratis*"})),"Relevan","Tidak Relevan")</f>
        <v>Relevan</v>
      </c>
    </row>
    <row r="57" spans="1:10" x14ac:dyDescent="0.35">
      <c r="A57" t="e">
        <f t="shared" si="0"/>
        <v>#REF!</v>
      </c>
      <c r="B57">
        <v>59</v>
      </c>
      <c r="C57" t="s">
        <v>1886</v>
      </c>
      <c r="D57" t="s">
        <v>110</v>
      </c>
      <c r="E57" t="s">
        <v>1887</v>
      </c>
      <c r="F57" t="s">
        <v>1888</v>
      </c>
      <c r="G57" t="s">
        <v>1887</v>
      </c>
      <c r="H57" t="s">
        <v>1889</v>
      </c>
      <c r="I57" t="s">
        <v>1890</v>
      </c>
      <c r="J57" t="str" cm="1">
        <f t="array" ref="J57">IF(SUM(COUNTIF(Text_Preprocessing291013[[#This Row],[full_text]],{"*makan siang gratis*";"*MBG*";"*makan gratis*";"*makan bergizi gratis*";"*makangratis*";"*makanan gratis*"})),"Relevan","Tidak Relevan")</f>
        <v>Relevan</v>
      </c>
    </row>
    <row r="58" spans="1:10" x14ac:dyDescent="0.35">
      <c r="A58" t="e">
        <f t="shared" si="0"/>
        <v>#REF!</v>
      </c>
      <c r="B58">
        <v>60</v>
      </c>
      <c r="C58" t="s">
        <v>1891</v>
      </c>
      <c r="D58" t="s">
        <v>112</v>
      </c>
      <c r="E58" t="s">
        <v>1892</v>
      </c>
      <c r="F58" t="s">
        <v>1893</v>
      </c>
      <c r="G58" t="s">
        <v>1894</v>
      </c>
      <c r="H58" t="s">
        <v>1894</v>
      </c>
      <c r="I58" t="s">
        <v>1895</v>
      </c>
      <c r="J58" t="str" cm="1">
        <f t="array" ref="J58">IF(SUM(COUNTIF(Text_Preprocessing291013[[#This Row],[full_text]],{"*makan siang gratis*";"*MBG*";"*makan gratis*";"*makan bergizi gratis*";"*makangratis*";"*makanan gratis*"})),"Relevan","Tidak Relevan")</f>
        <v>Relevan</v>
      </c>
    </row>
    <row r="59" spans="1:10" x14ac:dyDescent="0.35">
      <c r="A59" t="e">
        <f t="shared" si="0"/>
        <v>#REF!</v>
      </c>
      <c r="B59">
        <v>61</v>
      </c>
      <c r="C59" t="s">
        <v>1896</v>
      </c>
      <c r="D59" t="s">
        <v>114</v>
      </c>
      <c r="E59" t="s">
        <v>1897</v>
      </c>
      <c r="F59" t="s">
        <v>1596</v>
      </c>
      <c r="G59" t="s">
        <v>1897</v>
      </c>
      <c r="H59" t="s">
        <v>1897</v>
      </c>
      <c r="I59" t="s">
        <v>1898</v>
      </c>
      <c r="J59" t="str" cm="1">
        <f t="array" ref="J59">IF(SUM(COUNTIF(Text_Preprocessing291013[[#This Row],[full_text]],{"*makan siang gratis*";"*MBG*";"*makan gratis*";"*makan bergizi gratis*";"*makangratis*";"*makanan gratis*"})),"Relevan","Tidak Relevan")</f>
        <v>Relevan</v>
      </c>
    </row>
    <row r="60" spans="1:10" x14ac:dyDescent="0.35">
      <c r="A60" t="e">
        <f t="shared" si="0"/>
        <v>#REF!</v>
      </c>
      <c r="B60">
        <v>62</v>
      </c>
      <c r="C60" t="s">
        <v>1899</v>
      </c>
      <c r="D60" t="s">
        <v>116</v>
      </c>
      <c r="E60" t="s">
        <v>1900</v>
      </c>
      <c r="F60" t="s">
        <v>1829</v>
      </c>
      <c r="G60" t="s">
        <v>1901</v>
      </c>
      <c r="H60" t="s">
        <v>1902</v>
      </c>
      <c r="I60" t="s">
        <v>1903</v>
      </c>
      <c r="J60" t="str" cm="1">
        <f t="array" ref="J60">IF(SUM(COUNTIF(Text_Preprocessing291013[[#This Row],[full_text]],{"*makan siang gratis*";"*MBG*";"*makan gratis*";"*makan bergizi gratis*";"*makangratis*";"*makanan gratis*"})),"Relevan","Tidak Relevan")</f>
        <v>Relevan</v>
      </c>
    </row>
    <row r="61" spans="1:10" x14ac:dyDescent="0.35">
      <c r="A61" t="e">
        <f t="shared" si="0"/>
        <v>#REF!</v>
      </c>
      <c r="B61">
        <v>64</v>
      </c>
      <c r="C61" t="s">
        <v>1904</v>
      </c>
      <c r="D61" t="s">
        <v>119</v>
      </c>
      <c r="E61" t="s">
        <v>1905</v>
      </c>
      <c r="F61" t="s">
        <v>1906</v>
      </c>
      <c r="G61" t="s">
        <v>1907</v>
      </c>
      <c r="H61" t="s">
        <v>1907</v>
      </c>
      <c r="I61" t="s">
        <v>1908</v>
      </c>
      <c r="J61" t="str" cm="1">
        <f t="array" ref="J61">IF(SUM(COUNTIF(Text_Preprocessing291013[[#This Row],[full_text]],{"*makan siang gratis*";"*MBG*";"*makan gratis*";"*makan bergizi gratis*";"*makangratis*";"*makanan gratis*"})),"Relevan","Tidak Relevan")</f>
        <v>Relevan</v>
      </c>
    </row>
    <row r="62" spans="1:10" x14ac:dyDescent="0.35">
      <c r="A62" t="e">
        <f t="shared" si="0"/>
        <v>#REF!</v>
      </c>
      <c r="B62">
        <v>65</v>
      </c>
      <c r="C62" t="s">
        <v>1909</v>
      </c>
      <c r="D62" t="s">
        <v>121</v>
      </c>
      <c r="E62" t="s">
        <v>1910</v>
      </c>
      <c r="F62" t="s">
        <v>1652</v>
      </c>
      <c r="G62" t="s">
        <v>1911</v>
      </c>
      <c r="H62" t="s">
        <v>1911</v>
      </c>
      <c r="I62" t="s">
        <v>1912</v>
      </c>
      <c r="J62" t="str" cm="1">
        <f t="array" ref="J62">IF(SUM(COUNTIF(Text_Preprocessing291013[[#This Row],[full_text]],{"*makan siang gratis*";"*MBG*";"*makan gratis*";"*makan bergizi gratis*";"*makangratis*";"*makanan gratis*"})),"Relevan","Tidak Relevan")</f>
        <v>Relevan</v>
      </c>
    </row>
    <row r="63" spans="1:10" x14ac:dyDescent="0.35">
      <c r="A63" t="e">
        <f t="shared" si="0"/>
        <v>#REF!</v>
      </c>
      <c r="B63">
        <v>66</v>
      </c>
      <c r="C63" t="s">
        <v>1913</v>
      </c>
      <c r="D63" t="s">
        <v>123</v>
      </c>
      <c r="E63" t="s">
        <v>1914</v>
      </c>
      <c r="F63" t="s">
        <v>1915</v>
      </c>
      <c r="G63" t="s">
        <v>1916</v>
      </c>
      <c r="H63" t="s">
        <v>1916</v>
      </c>
      <c r="I63" t="s">
        <v>1917</v>
      </c>
      <c r="J63" t="str" cm="1">
        <f t="array" ref="J63">IF(SUM(COUNTIF(Text_Preprocessing291013[[#This Row],[full_text]],{"*makan siang gratis*";"*MBG*";"*makan gratis*";"*makan bergizi gratis*";"*makangratis*";"*makanan gratis*"})),"Relevan","Tidak Relevan")</f>
        <v>Relevan</v>
      </c>
    </row>
    <row r="64" spans="1:10" x14ac:dyDescent="0.35">
      <c r="A64" t="e">
        <f t="shared" si="0"/>
        <v>#REF!</v>
      </c>
      <c r="B64">
        <v>67</v>
      </c>
      <c r="C64" t="s">
        <v>1918</v>
      </c>
      <c r="D64" t="s">
        <v>125</v>
      </c>
      <c r="E64" t="s">
        <v>1919</v>
      </c>
      <c r="F64" t="s">
        <v>1920</v>
      </c>
      <c r="G64" t="s">
        <v>1921</v>
      </c>
      <c r="H64" t="s">
        <v>1921</v>
      </c>
      <c r="I64" t="s">
        <v>1922</v>
      </c>
      <c r="J64" t="str" cm="1">
        <f t="array" ref="J64">IF(SUM(COUNTIF(Text_Preprocessing291013[[#This Row],[full_text]],{"*makan siang gratis*";"*MBG*";"*makan gratis*";"*makan bergizi gratis*";"*makangratis*";"*makanan gratis*"})),"Relevan","Tidak Relevan")</f>
        <v>Relevan</v>
      </c>
    </row>
    <row r="65" spans="1:10" x14ac:dyDescent="0.35">
      <c r="A65" t="e">
        <f t="shared" si="0"/>
        <v>#REF!</v>
      </c>
      <c r="B65">
        <v>68</v>
      </c>
      <c r="C65" t="s">
        <v>1923</v>
      </c>
      <c r="D65" t="s">
        <v>127</v>
      </c>
      <c r="E65" t="s">
        <v>1924</v>
      </c>
      <c r="F65" t="s">
        <v>1624</v>
      </c>
      <c r="G65" t="s">
        <v>1925</v>
      </c>
      <c r="H65" t="s">
        <v>1925</v>
      </c>
      <c r="I65" t="s">
        <v>1926</v>
      </c>
      <c r="J65" t="str" cm="1">
        <f t="array" ref="J65">IF(SUM(COUNTIF(Text_Preprocessing291013[[#This Row],[full_text]],{"*makan siang gratis*";"*MBG*";"*makan gratis*";"*makan bergizi gratis*";"*makangratis*";"*makanan gratis*"})),"Relevan","Tidak Relevan")</f>
        <v>Relevan</v>
      </c>
    </row>
    <row r="66" spans="1:10" x14ac:dyDescent="0.35">
      <c r="A66" t="e">
        <f t="shared" si="0"/>
        <v>#REF!</v>
      </c>
      <c r="B66">
        <v>69</v>
      </c>
      <c r="C66" t="s">
        <v>1927</v>
      </c>
      <c r="D66" t="s">
        <v>129</v>
      </c>
      <c r="E66" t="s">
        <v>1928</v>
      </c>
      <c r="F66" t="s">
        <v>1929</v>
      </c>
      <c r="G66" t="s">
        <v>1930</v>
      </c>
      <c r="H66" t="s">
        <v>1931</v>
      </c>
      <c r="I66" t="s">
        <v>1932</v>
      </c>
      <c r="J66" t="str" cm="1">
        <f t="array" ref="J66">IF(SUM(COUNTIF(Text_Preprocessing291013[[#This Row],[full_text]],{"*makan siang gratis*";"*MBG*";"*makan gratis*";"*makan bergizi gratis*";"*makangratis*";"*makanan gratis*"})),"Relevan","Tidak Relevan")</f>
        <v>Relevan</v>
      </c>
    </row>
    <row r="67" spans="1:10" x14ac:dyDescent="0.35">
      <c r="A67" t="e">
        <f t="shared" ref="A67:A130" si="1">SUM(A66+1)</f>
        <v>#REF!</v>
      </c>
      <c r="B67">
        <v>70</v>
      </c>
      <c r="C67" t="s">
        <v>1933</v>
      </c>
      <c r="D67" t="s">
        <v>93</v>
      </c>
      <c r="E67" t="s">
        <v>1934</v>
      </c>
      <c r="F67" t="s">
        <v>1596</v>
      </c>
      <c r="G67" t="s">
        <v>1935</v>
      </c>
      <c r="H67" t="s">
        <v>1935</v>
      </c>
      <c r="I67" t="s">
        <v>1936</v>
      </c>
      <c r="J67" t="str" cm="1">
        <f t="array" ref="J67">IF(SUM(COUNTIF(Text_Preprocessing291013[[#This Row],[full_text]],{"*makan siang gratis*";"*MBG*";"*makan gratis*";"*makan bergizi gratis*";"*makangratis*";"*makanan gratis*"})),"Relevan","Tidak Relevan")</f>
        <v>Relevan</v>
      </c>
    </row>
    <row r="68" spans="1:10" x14ac:dyDescent="0.35">
      <c r="A68" t="e">
        <f t="shared" si="1"/>
        <v>#REF!</v>
      </c>
      <c r="B68">
        <v>72</v>
      </c>
      <c r="C68" t="s">
        <v>1937</v>
      </c>
      <c r="D68" t="s">
        <v>133</v>
      </c>
      <c r="E68" t="s">
        <v>1938</v>
      </c>
      <c r="F68" t="s">
        <v>1596</v>
      </c>
      <c r="G68" t="s">
        <v>1938</v>
      </c>
      <c r="H68" t="s">
        <v>1938</v>
      </c>
      <c r="I68" t="s">
        <v>1939</v>
      </c>
      <c r="J68" t="str" cm="1">
        <f t="array" ref="J68">IF(SUM(COUNTIF(Text_Preprocessing291013[[#This Row],[full_text]],{"*makan siang gratis*";"*MBG*";"*makan gratis*";"*makan bergizi gratis*";"*makangratis*";"*makanan gratis*"})),"Relevan","Tidak Relevan")</f>
        <v>Relevan</v>
      </c>
    </row>
    <row r="69" spans="1:10" x14ac:dyDescent="0.35">
      <c r="A69" t="e">
        <f t="shared" si="1"/>
        <v>#REF!</v>
      </c>
      <c r="B69">
        <v>73</v>
      </c>
      <c r="C69" t="s">
        <v>1940</v>
      </c>
      <c r="D69" t="s">
        <v>135</v>
      </c>
      <c r="E69" t="s">
        <v>1941</v>
      </c>
      <c r="F69" t="s">
        <v>1692</v>
      </c>
      <c r="G69" t="s">
        <v>1942</v>
      </c>
      <c r="H69" t="s">
        <v>1942</v>
      </c>
      <c r="I69" t="s">
        <v>1943</v>
      </c>
      <c r="J69" t="str" cm="1">
        <f t="array" ref="J69">IF(SUM(COUNTIF(Text_Preprocessing291013[[#This Row],[full_text]],{"*makan siang gratis*";"*MBG*";"*makan gratis*";"*makan bergizi gratis*";"*makangratis*";"*makanan gratis*"})),"Relevan","Tidak Relevan")</f>
        <v>Relevan</v>
      </c>
    </row>
    <row r="70" spans="1:10" x14ac:dyDescent="0.35">
      <c r="A70" t="e">
        <f t="shared" si="1"/>
        <v>#REF!</v>
      </c>
      <c r="B70">
        <v>74</v>
      </c>
      <c r="C70" t="s">
        <v>1944</v>
      </c>
      <c r="D70" t="s">
        <v>137</v>
      </c>
      <c r="E70" t="s">
        <v>1945</v>
      </c>
      <c r="F70" t="s">
        <v>1946</v>
      </c>
      <c r="G70" t="s">
        <v>1947</v>
      </c>
      <c r="H70" t="s">
        <v>1947</v>
      </c>
      <c r="I70" t="s">
        <v>1948</v>
      </c>
      <c r="J70" t="str" cm="1">
        <f t="array" ref="J70">IF(SUM(COUNTIF(Text_Preprocessing291013[[#This Row],[full_text]],{"*makan siang gratis*";"*MBG*";"*makan gratis*";"*makan bergizi gratis*";"*makangratis*";"*makanan gratis*"})),"Relevan","Tidak Relevan")</f>
        <v>Relevan</v>
      </c>
    </row>
    <row r="71" spans="1:10" x14ac:dyDescent="0.35">
      <c r="A71" t="e">
        <f t="shared" si="1"/>
        <v>#REF!</v>
      </c>
      <c r="B71">
        <v>75</v>
      </c>
      <c r="C71" t="s">
        <v>1949</v>
      </c>
      <c r="D71" t="s">
        <v>139</v>
      </c>
      <c r="E71" t="s">
        <v>1950</v>
      </c>
      <c r="F71" t="s">
        <v>1951</v>
      </c>
      <c r="G71" t="s">
        <v>1952</v>
      </c>
      <c r="H71" t="s">
        <v>3653</v>
      </c>
      <c r="I71" t="s">
        <v>3654</v>
      </c>
      <c r="J71" t="str" cm="1">
        <f t="array" ref="J71">IF(SUM(COUNTIF(Text_Preprocessing291013[[#This Row],[full_text]],{"*makan siang gratis*";"*MBG*";"*makan gratis*";"*makan bergizi gratis*";"*makangratis*";"*makanan gratis*"})),"Relevan","Tidak Relevan")</f>
        <v>Relevan</v>
      </c>
    </row>
    <row r="72" spans="1:10" x14ac:dyDescent="0.35">
      <c r="A72" t="e">
        <f t="shared" si="1"/>
        <v>#REF!</v>
      </c>
      <c r="B72">
        <v>76</v>
      </c>
      <c r="C72" t="s">
        <v>1954</v>
      </c>
      <c r="D72" t="s">
        <v>141</v>
      </c>
      <c r="E72" t="s">
        <v>1955</v>
      </c>
      <c r="F72" t="s">
        <v>1730</v>
      </c>
      <c r="G72" t="s">
        <v>1956</v>
      </c>
      <c r="H72" t="s">
        <v>1956</v>
      </c>
      <c r="I72" t="s">
        <v>1957</v>
      </c>
      <c r="J72" t="str" cm="1">
        <f t="array" ref="J72">IF(SUM(COUNTIF(Text_Preprocessing291013[[#This Row],[full_text]],{"*makan siang gratis*";"*MBG*";"*makan gratis*";"*makan bergizi gratis*";"*makangratis*";"*makanan gratis*"})),"Relevan","Tidak Relevan")</f>
        <v>Relevan</v>
      </c>
    </row>
    <row r="73" spans="1:10" x14ac:dyDescent="0.35">
      <c r="A73" t="e">
        <f t="shared" si="1"/>
        <v>#REF!</v>
      </c>
      <c r="B73">
        <v>77</v>
      </c>
      <c r="C73" t="s">
        <v>1958</v>
      </c>
      <c r="D73" t="s">
        <v>143</v>
      </c>
      <c r="E73" t="s">
        <v>1959</v>
      </c>
      <c r="F73" t="s">
        <v>1893</v>
      </c>
      <c r="G73" t="s">
        <v>1960</v>
      </c>
      <c r="H73" t="s">
        <v>1960</v>
      </c>
      <c r="I73" t="s">
        <v>1961</v>
      </c>
      <c r="J73" t="str" cm="1">
        <f t="array" ref="J73">IF(SUM(COUNTIF(Text_Preprocessing291013[[#This Row],[full_text]],{"*makan siang gratis*";"*MBG*";"*makan gratis*";"*makan bergizi gratis*";"*makangratis*";"*makanan gratis*"})),"Relevan","Tidak Relevan")</f>
        <v>Relevan</v>
      </c>
    </row>
    <row r="74" spans="1:10" x14ac:dyDescent="0.35">
      <c r="A74" t="e">
        <f t="shared" si="1"/>
        <v>#REF!</v>
      </c>
      <c r="B74">
        <v>78</v>
      </c>
      <c r="C74" t="s">
        <v>1962</v>
      </c>
      <c r="D74" t="s">
        <v>143</v>
      </c>
      <c r="E74" t="s">
        <v>1963</v>
      </c>
      <c r="F74" t="s">
        <v>1964</v>
      </c>
      <c r="G74" t="s">
        <v>1965</v>
      </c>
      <c r="H74" t="s">
        <v>1965</v>
      </c>
      <c r="I74" t="s">
        <v>1966</v>
      </c>
      <c r="J74" t="str" cm="1">
        <f t="array" ref="J74">IF(SUM(COUNTIF(Text_Preprocessing291013[[#This Row],[full_text]],{"*makan siang gratis*";"*MBG*";"*makan gratis*";"*makan bergizi gratis*";"*makangratis*";"*makanan gratis*"})),"Relevan","Tidak Relevan")</f>
        <v>Relevan</v>
      </c>
    </row>
    <row r="75" spans="1:10" x14ac:dyDescent="0.35">
      <c r="A75" t="e">
        <f t="shared" si="1"/>
        <v>#REF!</v>
      </c>
      <c r="B75">
        <v>79</v>
      </c>
      <c r="C75" t="s">
        <v>1967</v>
      </c>
      <c r="D75" t="s">
        <v>143</v>
      </c>
      <c r="E75" t="s">
        <v>1968</v>
      </c>
      <c r="F75" t="s">
        <v>1893</v>
      </c>
      <c r="G75" t="s">
        <v>1969</v>
      </c>
      <c r="H75" t="s">
        <v>1969</v>
      </c>
      <c r="I75" t="s">
        <v>1970</v>
      </c>
      <c r="J75" t="str" cm="1">
        <f t="array" ref="J75">IF(SUM(COUNTIF(Text_Preprocessing291013[[#This Row],[full_text]],{"*makan siang gratis*";"*MBG*";"*makan gratis*";"*makan bergizi gratis*";"*makangratis*";"*makanan gratis*"})),"Relevan","Tidak Relevan")</f>
        <v>Relevan</v>
      </c>
    </row>
    <row r="76" spans="1:10" x14ac:dyDescent="0.35">
      <c r="A76" t="e">
        <f t="shared" si="1"/>
        <v>#REF!</v>
      </c>
      <c r="B76">
        <v>81</v>
      </c>
      <c r="C76" t="s">
        <v>1971</v>
      </c>
      <c r="D76" t="s">
        <v>149</v>
      </c>
      <c r="E76" t="s">
        <v>1972</v>
      </c>
      <c r="F76" t="s">
        <v>1973</v>
      </c>
      <c r="G76" t="s">
        <v>1974</v>
      </c>
      <c r="H76" t="s">
        <v>1974</v>
      </c>
      <c r="I76" t="s">
        <v>1975</v>
      </c>
      <c r="J76" t="str" cm="1">
        <f t="array" ref="J76">IF(SUM(COUNTIF(Text_Preprocessing291013[[#This Row],[full_text]],{"*makan siang gratis*";"*MBG*";"*makan gratis*";"*makan bergizi gratis*";"*makangratis*";"*makanan gratis*"})),"Relevan","Tidak Relevan")</f>
        <v>Relevan</v>
      </c>
    </row>
    <row r="77" spans="1:10" x14ac:dyDescent="0.35">
      <c r="A77" t="e">
        <f t="shared" si="1"/>
        <v>#REF!</v>
      </c>
      <c r="B77">
        <v>82</v>
      </c>
      <c r="C77" t="s">
        <v>1976</v>
      </c>
      <c r="D77" t="s">
        <v>143</v>
      </c>
      <c r="E77" t="s">
        <v>1977</v>
      </c>
      <c r="F77" t="s">
        <v>1724</v>
      </c>
      <c r="G77" t="s">
        <v>1978</v>
      </c>
      <c r="H77" t="s">
        <v>1978</v>
      </c>
      <c r="I77" t="s">
        <v>1979</v>
      </c>
      <c r="J77" t="str" cm="1">
        <f t="array" ref="J77">IF(SUM(COUNTIF(Text_Preprocessing291013[[#This Row],[full_text]],{"*makan siang gratis*";"*MBG*";"*makan gratis*";"*makan bergizi gratis*";"*makangratis*";"*makanan gratis*"})),"Relevan","Tidak Relevan")</f>
        <v>Relevan</v>
      </c>
    </row>
    <row r="78" spans="1:10" x14ac:dyDescent="0.35">
      <c r="A78" t="e">
        <f t="shared" si="1"/>
        <v>#REF!</v>
      </c>
      <c r="B78">
        <v>83</v>
      </c>
      <c r="C78" t="s">
        <v>1980</v>
      </c>
      <c r="D78" t="s">
        <v>143</v>
      </c>
      <c r="E78" t="s">
        <v>1981</v>
      </c>
      <c r="F78" t="s">
        <v>1692</v>
      </c>
      <c r="G78" t="s">
        <v>1982</v>
      </c>
      <c r="H78" t="s">
        <v>1982</v>
      </c>
      <c r="I78" t="s">
        <v>1983</v>
      </c>
      <c r="J78" t="str" cm="1">
        <f t="array" ref="J78">IF(SUM(COUNTIF(Text_Preprocessing291013[[#This Row],[full_text]],{"*makan siang gratis*";"*MBG*";"*makan gratis*";"*makan bergizi gratis*";"*makangratis*";"*makanan gratis*"})),"Relevan","Tidak Relevan")</f>
        <v>Relevan</v>
      </c>
    </row>
    <row r="79" spans="1:10" x14ac:dyDescent="0.35">
      <c r="A79" t="e">
        <f t="shared" si="1"/>
        <v>#REF!</v>
      </c>
      <c r="B79">
        <v>84</v>
      </c>
      <c r="C79" t="s">
        <v>1984</v>
      </c>
      <c r="D79" t="s">
        <v>153</v>
      </c>
      <c r="E79" t="s">
        <v>1985</v>
      </c>
      <c r="F79" t="s">
        <v>1804</v>
      </c>
      <c r="G79" t="s">
        <v>1986</v>
      </c>
      <c r="H79" t="s">
        <v>1986</v>
      </c>
      <c r="I79" t="s">
        <v>1987</v>
      </c>
      <c r="J79" t="str" cm="1">
        <f t="array" ref="J79">IF(SUM(COUNTIF(Text_Preprocessing291013[[#This Row],[full_text]],{"*makan siang gratis*";"*MBG*";"*makan gratis*";"*makan bergizi gratis*";"*makangratis*";"*makanan gratis*"})),"Relevan","Tidak Relevan")</f>
        <v>Relevan</v>
      </c>
    </row>
    <row r="80" spans="1:10" x14ac:dyDescent="0.35">
      <c r="A80" t="e">
        <f t="shared" si="1"/>
        <v>#REF!</v>
      </c>
      <c r="B80">
        <v>86</v>
      </c>
      <c r="C80" t="s">
        <v>1988</v>
      </c>
      <c r="D80" t="s">
        <v>157</v>
      </c>
      <c r="E80" t="s">
        <v>1989</v>
      </c>
      <c r="F80" t="s">
        <v>1990</v>
      </c>
      <c r="G80" t="s">
        <v>1991</v>
      </c>
      <c r="H80" t="s">
        <v>1991</v>
      </c>
      <c r="I80" t="s">
        <v>1992</v>
      </c>
      <c r="J80" t="str" cm="1">
        <f t="array" ref="J80">IF(SUM(COUNTIF(Text_Preprocessing291013[[#This Row],[full_text]],{"*makan siang gratis*";"*MBG*";"*makan gratis*";"*makan bergizi gratis*";"*makangratis*";"*makanan gratis*"})),"Relevan","Tidak Relevan")</f>
        <v>Relevan</v>
      </c>
    </row>
    <row r="81" spans="1:11" x14ac:dyDescent="0.35">
      <c r="A81" t="e">
        <f t="shared" si="1"/>
        <v>#REF!</v>
      </c>
      <c r="B81">
        <v>87</v>
      </c>
      <c r="C81" t="s">
        <v>1993</v>
      </c>
      <c r="D81" t="s">
        <v>159</v>
      </c>
      <c r="E81" t="s">
        <v>1994</v>
      </c>
      <c r="F81" t="s">
        <v>1735</v>
      </c>
      <c r="G81" t="s">
        <v>1995</v>
      </c>
      <c r="H81" t="s">
        <v>1995</v>
      </c>
      <c r="I81" t="s">
        <v>1996</v>
      </c>
      <c r="J81" t="str" cm="1">
        <f t="array" ref="J81">IF(SUM(COUNTIF(Text_Preprocessing291013[[#This Row],[full_text]],{"*makan siang gratis*";"*MBG*";"*makan gratis*";"*makan bergizi gratis*";"*makangratis*";"*makanan gratis*"})),"Relevan","Tidak Relevan")</f>
        <v>Relevan</v>
      </c>
    </row>
    <row r="82" spans="1:11" x14ac:dyDescent="0.35">
      <c r="A82" t="e">
        <f t="shared" si="1"/>
        <v>#REF!</v>
      </c>
      <c r="B82">
        <v>88</v>
      </c>
      <c r="C82" t="s">
        <v>1997</v>
      </c>
      <c r="D82" t="s">
        <v>161</v>
      </c>
      <c r="E82" t="s">
        <v>1998</v>
      </c>
      <c r="F82" t="s">
        <v>1999</v>
      </c>
      <c r="G82" t="s">
        <v>2000</v>
      </c>
      <c r="H82" t="s">
        <v>2000</v>
      </c>
      <c r="I82" t="s">
        <v>2001</v>
      </c>
      <c r="J82" t="str" cm="1">
        <f t="array" ref="J82">IF(SUM(COUNTIF(Text_Preprocessing291013[[#This Row],[full_text]],{"*makan siang gratis*";"*MBG*";"*makan gratis*";"*makan bergizi gratis*";"*makangratis*";"*makanan gratis*"})),"Relevan","Tidak Relevan")</f>
        <v>Relevan</v>
      </c>
    </row>
    <row r="83" spans="1:11" x14ac:dyDescent="0.35">
      <c r="A83" t="e">
        <f t="shared" si="1"/>
        <v>#REF!</v>
      </c>
      <c r="B83">
        <v>89</v>
      </c>
      <c r="C83" t="s">
        <v>2002</v>
      </c>
      <c r="D83" t="s">
        <v>102</v>
      </c>
      <c r="E83" t="s">
        <v>2003</v>
      </c>
      <c r="F83" t="s">
        <v>1613</v>
      </c>
      <c r="G83" t="s">
        <v>2004</v>
      </c>
      <c r="H83" t="s">
        <v>2004</v>
      </c>
      <c r="I83" t="s">
        <v>2005</v>
      </c>
      <c r="J83" t="str" cm="1">
        <f t="array" ref="J83">IF(SUM(COUNTIF(Text_Preprocessing291013[[#This Row],[full_text]],{"*makan siang gratis*";"*MBG*";"*makan gratis*";"*makan bergizi gratis*";"*makangratis*";"*makanan gratis*"})),"Relevan","Tidak Relevan")</f>
        <v>Relevan</v>
      </c>
    </row>
    <row r="84" spans="1:11" x14ac:dyDescent="0.35">
      <c r="A84" t="e">
        <f t="shared" si="1"/>
        <v>#REF!</v>
      </c>
      <c r="B84">
        <v>90</v>
      </c>
      <c r="C84" t="s">
        <v>2006</v>
      </c>
      <c r="D84" t="s">
        <v>125</v>
      </c>
      <c r="E84" t="s">
        <v>2007</v>
      </c>
      <c r="F84" t="s">
        <v>2008</v>
      </c>
      <c r="G84" t="s">
        <v>2009</v>
      </c>
      <c r="H84" t="s">
        <v>3655</v>
      </c>
      <c r="I84" t="s">
        <v>3656</v>
      </c>
      <c r="J84" t="str" cm="1">
        <f t="array" ref="J84">IF(SUM(COUNTIF(Text_Preprocessing291013[[#This Row],[full_text]],{"*makan siang gratis*";"*MBG*";"*makan gratis*";"*makan bergizi gratis*";"*makangratis*";"*makanan gratis*"})),"Relevan","Tidak Relevan")</f>
        <v>Relevan</v>
      </c>
    </row>
    <row r="85" spans="1:11" x14ac:dyDescent="0.35">
      <c r="A85" t="e">
        <f t="shared" si="1"/>
        <v>#REF!</v>
      </c>
      <c r="B85">
        <v>91</v>
      </c>
      <c r="C85" t="s">
        <v>2011</v>
      </c>
      <c r="D85" t="s">
        <v>137</v>
      </c>
      <c r="E85" t="s">
        <v>2012</v>
      </c>
      <c r="F85" t="s">
        <v>1613</v>
      </c>
      <c r="G85" t="s">
        <v>2013</v>
      </c>
      <c r="H85" t="s">
        <v>2014</v>
      </c>
      <c r="I85" t="s">
        <v>2015</v>
      </c>
      <c r="J85" t="str" cm="1">
        <f t="array" ref="J85">IF(SUM(COUNTIF(Text_Preprocessing291013[[#This Row],[full_text]],{"*makan siang gratis*";"*MBG*";"*makan gratis*";"*makan bergizi gratis*";"*makangratis*";"*makanan gratis*"})),"Relevan","Tidak Relevan")</f>
        <v>Tidak Relevan</v>
      </c>
      <c r="K85" t="s">
        <v>3622</v>
      </c>
    </row>
    <row r="86" spans="1:11" x14ac:dyDescent="0.35">
      <c r="A86" t="e">
        <f t="shared" si="1"/>
        <v>#REF!</v>
      </c>
      <c r="B86">
        <v>92</v>
      </c>
      <c r="C86" t="s">
        <v>2016</v>
      </c>
      <c r="D86" t="s">
        <v>166</v>
      </c>
      <c r="E86" t="s">
        <v>2017</v>
      </c>
      <c r="F86" t="s">
        <v>1844</v>
      </c>
      <c r="G86" t="s">
        <v>2018</v>
      </c>
      <c r="H86" t="s">
        <v>2018</v>
      </c>
      <c r="I86" t="s">
        <v>2019</v>
      </c>
      <c r="J86" t="str" cm="1">
        <f t="array" ref="J86">IF(SUM(COUNTIF(Text_Preprocessing291013[[#This Row],[full_text]],{"*makan siang gratis*";"*MBG*";"*makan gratis*";"*makan bergizi gratis*";"*makangratis*";"*makanan gratis*"})),"Relevan","Tidak Relevan")</f>
        <v>Relevan</v>
      </c>
    </row>
    <row r="87" spans="1:11" x14ac:dyDescent="0.35">
      <c r="A87" t="e">
        <f t="shared" si="1"/>
        <v>#REF!</v>
      </c>
      <c r="B87">
        <v>93</v>
      </c>
      <c r="C87" t="s">
        <v>2020</v>
      </c>
      <c r="D87" t="s">
        <v>168</v>
      </c>
      <c r="E87" t="s">
        <v>2021</v>
      </c>
      <c r="F87" t="s">
        <v>2022</v>
      </c>
      <c r="G87" t="s">
        <v>2023</v>
      </c>
      <c r="H87" t="s">
        <v>2024</v>
      </c>
      <c r="I87" t="s">
        <v>2025</v>
      </c>
      <c r="J87" t="str" cm="1">
        <f t="array" ref="J87">IF(SUM(COUNTIF(Text_Preprocessing291013[[#This Row],[full_text]],{"*makan siang gratis*";"*MBG*";"*makan gratis*";"*makan bergizi gratis*";"*makangratis*";"*makanan gratis*"})),"Relevan","Tidak Relevan")</f>
        <v>Relevan</v>
      </c>
    </row>
    <row r="88" spans="1:11" x14ac:dyDescent="0.35">
      <c r="A88" t="e">
        <f t="shared" si="1"/>
        <v>#REF!</v>
      </c>
      <c r="B88">
        <v>94</v>
      </c>
      <c r="C88" t="s">
        <v>2026</v>
      </c>
      <c r="D88" t="s">
        <v>170</v>
      </c>
      <c r="E88" t="s">
        <v>2027</v>
      </c>
      <c r="F88" t="s">
        <v>1596</v>
      </c>
      <c r="G88" t="s">
        <v>2028</v>
      </c>
      <c r="H88" t="s">
        <v>2028</v>
      </c>
      <c r="I88" t="s">
        <v>2029</v>
      </c>
      <c r="J88" t="str" cm="1">
        <f t="array" ref="J88">IF(SUM(COUNTIF(Text_Preprocessing291013[[#This Row],[full_text]],{"*makan siang gratis*";"*MBG*";"*makan gratis*";"*makan bergizi gratis*";"*makangratis*";"*makanan gratis*"})),"Relevan","Tidak Relevan")</f>
        <v>Relevan</v>
      </c>
    </row>
    <row r="89" spans="1:11" x14ac:dyDescent="0.35">
      <c r="A89" t="e">
        <f t="shared" si="1"/>
        <v>#REF!</v>
      </c>
      <c r="B89">
        <v>95</v>
      </c>
      <c r="C89" t="s">
        <v>2030</v>
      </c>
      <c r="D89" t="s">
        <v>172</v>
      </c>
      <c r="E89" t="s">
        <v>2031</v>
      </c>
      <c r="F89" t="s">
        <v>1652</v>
      </c>
      <c r="G89" t="s">
        <v>2032</v>
      </c>
      <c r="H89" t="s">
        <v>2032</v>
      </c>
      <c r="I89" t="s">
        <v>2033</v>
      </c>
      <c r="J89" t="str" cm="1">
        <f t="array" ref="J89">IF(SUM(COUNTIF(Text_Preprocessing291013[[#This Row],[full_text]],{"*makan siang gratis*";"*MBG*";"*makan gratis*";"*makan bergizi gratis*";"*makangratis*";"*makanan gratis*"})),"Relevan","Tidak Relevan")</f>
        <v>Tidak Relevan</v>
      </c>
      <c r="K89" t="s">
        <v>3622</v>
      </c>
    </row>
    <row r="90" spans="1:11" x14ac:dyDescent="0.35">
      <c r="A90" t="e">
        <f t="shared" si="1"/>
        <v>#REF!</v>
      </c>
      <c r="B90">
        <v>96</v>
      </c>
      <c r="C90" t="s">
        <v>2034</v>
      </c>
      <c r="D90" t="s">
        <v>174</v>
      </c>
      <c r="E90" t="s">
        <v>2035</v>
      </c>
      <c r="F90" t="s">
        <v>2036</v>
      </c>
      <c r="G90" t="s">
        <v>2037</v>
      </c>
      <c r="H90" t="s">
        <v>2037</v>
      </c>
      <c r="I90" t="s">
        <v>2038</v>
      </c>
      <c r="J90" t="str" cm="1">
        <f t="array" ref="J90">IF(SUM(COUNTIF(Text_Preprocessing291013[[#This Row],[full_text]],{"*makan siang gratis*";"*MBG*";"*makan gratis*";"*makan bergizi gratis*";"*makangratis*";"*makanan gratis*"})),"Relevan","Tidak Relevan")</f>
        <v>Relevan</v>
      </c>
    </row>
    <row r="91" spans="1:11" x14ac:dyDescent="0.35">
      <c r="A91" t="e">
        <f t="shared" si="1"/>
        <v>#REF!</v>
      </c>
      <c r="B91">
        <v>97</v>
      </c>
      <c r="C91" t="s">
        <v>2039</v>
      </c>
      <c r="D91" t="s">
        <v>176</v>
      </c>
      <c r="E91" t="s">
        <v>2040</v>
      </c>
      <c r="F91" t="s">
        <v>2041</v>
      </c>
      <c r="G91" t="s">
        <v>2042</v>
      </c>
      <c r="H91" t="s">
        <v>2043</v>
      </c>
      <c r="I91" t="s">
        <v>2044</v>
      </c>
      <c r="J91" t="str" cm="1">
        <f t="array" ref="J91">IF(SUM(COUNTIF(Text_Preprocessing291013[[#This Row],[full_text]],{"*makan siang gratis*";"*MBG*";"*makan gratis*";"*makan bergizi gratis*";"*makangratis*";"*makanan gratis*"})),"Relevan","Tidak Relevan")</f>
        <v>Relevan</v>
      </c>
    </row>
    <row r="92" spans="1:11" x14ac:dyDescent="0.35">
      <c r="A92" t="e">
        <f t="shared" si="1"/>
        <v>#REF!</v>
      </c>
      <c r="B92">
        <v>98</v>
      </c>
      <c r="C92" t="s">
        <v>2045</v>
      </c>
      <c r="D92" t="s">
        <v>143</v>
      </c>
      <c r="E92" t="s">
        <v>2046</v>
      </c>
      <c r="F92" t="s">
        <v>1929</v>
      </c>
      <c r="G92" t="s">
        <v>2047</v>
      </c>
      <c r="H92" t="s">
        <v>2048</v>
      </c>
      <c r="I92" t="s">
        <v>2049</v>
      </c>
      <c r="J92" t="str" cm="1">
        <f t="array" ref="J92">IF(SUM(COUNTIF(Text_Preprocessing291013[[#This Row],[full_text]],{"*makan siang gratis*";"*MBG*";"*makan gratis*";"*makan bergizi gratis*";"*makangratis*";"*makanan gratis*"})),"Relevan","Tidak Relevan")</f>
        <v>Relevan</v>
      </c>
    </row>
    <row r="93" spans="1:11" x14ac:dyDescent="0.35">
      <c r="A93" t="e">
        <f t="shared" si="1"/>
        <v>#REF!</v>
      </c>
      <c r="B93">
        <v>99</v>
      </c>
      <c r="C93" t="s">
        <v>2050</v>
      </c>
      <c r="D93" t="s">
        <v>137</v>
      </c>
      <c r="E93" t="s">
        <v>2051</v>
      </c>
      <c r="F93" t="s">
        <v>2052</v>
      </c>
      <c r="G93" t="s">
        <v>2053</v>
      </c>
      <c r="H93" t="s">
        <v>2053</v>
      </c>
      <c r="I93" t="s">
        <v>2054</v>
      </c>
      <c r="J93" t="str" cm="1">
        <f t="array" ref="J93">IF(SUM(COUNTIF(Text_Preprocessing291013[[#This Row],[full_text]],{"*makan siang gratis*";"*MBG*";"*makan gratis*";"*makan bergizi gratis*";"*makangratis*";"*makanan gratis*"})),"Relevan","Tidak Relevan")</f>
        <v>Relevan</v>
      </c>
    </row>
    <row r="94" spans="1:11" x14ac:dyDescent="0.35">
      <c r="A94" t="e">
        <f t="shared" si="1"/>
        <v>#REF!</v>
      </c>
      <c r="B94">
        <v>100</v>
      </c>
      <c r="C94" t="s">
        <v>2055</v>
      </c>
      <c r="D94" t="s">
        <v>180</v>
      </c>
      <c r="E94" t="s">
        <v>2056</v>
      </c>
      <c r="F94" t="s">
        <v>2008</v>
      </c>
      <c r="G94" t="s">
        <v>2057</v>
      </c>
      <c r="H94" t="s">
        <v>2057</v>
      </c>
      <c r="I94" t="s">
        <v>2058</v>
      </c>
      <c r="J94" t="str" cm="1">
        <f t="array" ref="J94">IF(SUM(COUNTIF(Text_Preprocessing291013[[#This Row],[full_text]],{"*makan siang gratis*";"*MBG*";"*makan gratis*";"*makan bergizi gratis*";"*makangratis*";"*makanan gratis*"})),"Relevan","Tidak Relevan")</f>
        <v>Relevan</v>
      </c>
    </row>
    <row r="95" spans="1:11" x14ac:dyDescent="0.35">
      <c r="A95" t="e">
        <f t="shared" si="1"/>
        <v>#REF!</v>
      </c>
      <c r="B95">
        <v>101</v>
      </c>
      <c r="C95" t="s">
        <v>2059</v>
      </c>
      <c r="D95" t="s">
        <v>182</v>
      </c>
      <c r="E95" t="s">
        <v>2060</v>
      </c>
      <c r="F95" t="s">
        <v>1692</v>
      </c>
      <c r="G95" t="s">
        <v>2061</v>
      </c>
      <c r="H95" t="s">
        <v>2061</v>
      </c>
      <c r="I95" t="s">
        <v>2062</v>
      </c>
      <c r="J95" t="str" cm="1">
        <f t="array" ref="J95">IF(SUM(COUNTIF(Text_Preprocessing291013[[#This Row],[full_text]],{"*makan siang gratis*";"*MBG*";"*makan gratis*";"*makan bergizi gratis*";"*makangratis*";"*makanan gratis*"})),"Relevan","Tidak Relevan")</f>
        <v>Relevan</v>
      </c>
    </row>
    <row r="96" spans="1:11" x14ac:dyDescent="0.35">
      <c r="A96" t="e">
        <f t="shared" si="1"/>
        <v>#REF!</v>
      </c>
      <c r="B96">
        <v>102</v>
      </c>
      <c r="C96" t="s">
        <v>2063</v>
      </c>
      <c r="D96" t="s">
        <v>172</v>
      </c>
      <c r="E96" t="s">
        <v>2064</v>
      </c>
      <c r="F96" t="s">
        <v>1674</v>
      </c>
      <c r="G96" t="s">
        <v>2065</v>
      </c>
      <c r="H96" t="s">
        <v>2065</v>
      </c>
      <c r="I96" t="s">
        <v>2066</v>
      </c>
      <c r="J96" t="str" cm="1">
        <f t="array" ref="J96">IF(SUM(COUNTIF(Text_Preprocessing291013[[#This Row],[full_text]],{"*makan siang gratis*";"*MBG*";"*makan gratis*";"*makan bergizi gratis*";"*makangratis*";"*makanan gratis*"})),"Relevan","Tidak Relevan")</f>
        <v>Relevan</v>
      </c>
    </row>
    <row r="97" spans="1:10" x14ac:dyDescent="0.35">
      <c r="A97" t="e">
        <f t="shared" si="1"/>
        <v>#REF!</v>
      </c>
      <c r="B97">
        <v>103</v>
      </c>
      <c r="C97" t="s">
        <v>2067</v>
      </c>
      <c r="D97" t="s">
        <v>185</v>
      </c>
      <c r="E97" t="s">
        <v>2068</v>
      </c>
      <c r="F97" t="s">
        <v>2069</v>
      </c>
      <c r="G97" t="s">
        <v>2070</v>
      </c>
      <c r="H97" t="s">
        <v>2070</v>
      </c>
      <c r="I97" t="s">
        <v>2071</v>
      </c>
      <c r="J97" t="str" cm="1">
        <f t="array" ref="J97">IF(SUM(COUNTIF(Text_Preprocessing291013[[#This Row],[full_text]],{"*makan siang gratis*";"*MBG*";"*makan gratis*";"*makan bergizi gratis*";"*makangratis*";"*makanan gratis*"})),"Relevan","Tidak Relevan")</f>
        <v>Relevan</v>
      </c>
    </row>
    <row r="98" spans="1:10" x14ac:dyDescent="0.35">
      <c r="A98" t="e">
        <f t="shared" si="1"/>
        <v>#REF!</v>
      </c>
      <c r="B98">
        <v>104</v>
      </c>
      <c r="C98" t="s">
        <v>2072</v>
      </c>
      <c r="D98" t="s">
        <v>76</v>
      </c>
      <c r="E98" t="s">
        <v>2073</v>
      </c>
      <c r="F98" t="s">
        <v>2074</v>
      </c>
      <c r="G98" t="s">
        <v>2075</v>
      </c>
      <c r="H98" t="s">
        <v>2075</v>
      </c>
      <c r="I98" t="s">
        <v>2076</v>
      </c>
      <c r="J98" t="str" cm="1">
        <f t="array" ref="J98">IF(SUM(COUNTIF(Text_Preprocessing291013[[#This Row],[full_text]],{"*makan siang gratis*";"*MBG*";"*makan gratis*";"*makan bergizi gratis*";"*makangratis*";"*makanan gratis*"})),"Relevan","Tidak Relevan")</f>
        <v>Relevan</v>
      </c>
    </row>
    <row r="99" spans="1:10" x14ac:dyDescent="0.35">
      <c r="A99" t="e">
        <f t="shared" si="1"/>
        <v>#REF!</v>
      </c>
      <c r="B99">
        <v>105</v>
      </c>
      <c r="C99" t="s">
        <v>2077</v>
      </c>
      <c r="D99" t="s">
        <v>182</v>
      </c>
      <c r="E99" t="s">
        <v>2078</v>
      </c>
      <c r="F99" t="s">
        <v>1809</v>
      </c>
      <c r="G99" t="s">
        <v>2078</v>
      </c>
      <c r="H99" t="s">
        <v>2078</v>
      </c>
      <c r="I99" t="s">
        <v>2079</v>
      </c>
      <c r="J99" t="str" cm="1">
        <f t="array" ref="J99">IF(SUM(COUNTIF(Text_Preprocessing291013[[#This Row],[full_text]],{"*makan siang gratis*";"*MBG*";"*makan gratis*";"*makan bergizi gratis*";"*makangratis*";"*makanan gratis*"})),"Relevan","Tidak Relevan")</f>
        <v>Relevan</v>
      </c>
    </row>
    <row r="100" spans="1:10" x14ac:dyDescent="0.35">
      <c r="A100" t="e">
        <f t="shared" si="1"/>
        <v>#REF!</v>
      </c>
      <c r="B100">
        <v>106</v>
      </c>
      <c r="C100" t="s">
        <v>2080</v>
      </c>
      <c r="D100" t="s">
        <v>189</v>
      </c>
      <c r="E100" t="s">
        <v>2081</v>
      </c>
      <c r="F100" t="s">
        <v>2082</v>
      </c>
      <c r="G100" t="s">
        <v>2083</v>
      </c>
      <c r="H100" t="s">
        <v>2084</v>
      </c>
      <c r="I100" t="s">
        <v>2085</v>
      </c>
      <c r="J100" t="str" cm="1">
        <f t="array" ref="J100">IF(SUM(COUNTIF(Text_Preprocessing291013[[#This Row],[full_text]],{"*makan siang gratis*";"*MBG*";"*makan gratis*";"*makan bergizi gratis*";"*makangratis*";"*makanan gratis*"})),"Relevan","Tidak Relevan")</f>
        <v>Relevan</v>
      </c>
    </row>
    <row r="101" spans="1:10" x14ac:dyDescent="0.35">
      <c r="A101" t="e">
        <f t="shared" si="1"/>
        <v>#REF!</v>
      </c>
      <c r="B101">
        <v>107</v>
      </c>
      <c r="C101" t="s">
        <v>2086</v>
      </c>
      <c r="D101" t="s">
        <v>93</v>
      </c>
      <c r="E101" t="s">
        <v>2087</v>
      </c>
      <c r="F101" t="s">
        <v>1596</v>
      </c>
      <c r="G101" t="s">
        <v>2088</v>
      </c>
      <c r="H101" t="s">
        <v>2088</v>
      </c>
      <c r="I101" t="s">
        <v>2089</v>
      </c>
      <c r="J101" t="str" cm="1">
        <f t="array" ref="J101">IF(SUM(COUNTIF(Text_Preprocessing291013[[#This Row],[full_text]],{"*makan siang gratis*";"*MBG*";"*makan gratis*";"*makan bergizi gratis*";"*makangratis*";"*makanan gratis*"})),"Relevan","Tidak Relevan")</f>
        <v>Relevan</v>
      </c>
    </row>
    <row r="102" spans="1:10" x14ac:dyDescent="0.35">
      <c r="A102" t="e">
        <f t="shared" si="1"/>
        <v>#REF!</v>
      </c>
      <c r="B102">
        <v>108</v>
      </c>
      <c r="C102" t="s">
        <v>2090</v>
      </c>
      <c r="D102" t="s">
        <v>192</v>
      </c>
      <c r="E102" t="s">
        <v>2091</v>
      </c>
      <c r="F102" t="s">
        <v>2092</v>
      </c>
      <c r="G102" t="s">
        <v>2093</v>
      </c>
      <c r="H102" t="s">
        <v>2093</v>
      </c>
      <c r="I102" t="s">
        <v>2094</v>
      </c>
      <c r="J102" t="str" cm="1">
        <f t="array" ref="J102">IF(SUM(COUNTIF(Text_Preprocessing291013[[#This Row],[full_text]],{"*makan siang gratis*";"*MBG*";"*makan gratis*";"*makan bergizi gratis*";"*makangratis*";"*makanan gratis*"})),"Relevan","Tidak Relevan")</f>
        <v>Relevan</v>
      </c>
    </row>
    <row r="103" spans="1:10" x14ac:dyDescent="0.35">
      <c r="A103" t="e">
        <f t="shared" si="1"/>
        <v>#REF!</v>
      </c>
      <c r="B103">
        <v>109</v>
      </c>
      <c r="C103" t="s">
        <v>2095</v>
      </c>
      <c r="D103" t="s">
        <v>93</v>
      </c>
      <c r="E103" t="s">
        <v>2096</v>
      </c>
      <c r="F103" t="s">
        <v>1730</v>
      </c>
      <c r="G103" t="s">
        <v>2097</v>
      </c>
      <c r="H103" t="s">
        <v>2097</v>
      </c>
      <c r="I103" t="s">
        <v>2098</v>
      </c>
      <c r="J103" t="str" cm="1">
        <f t="array" ref="J103">IF(SUM(COUNTIF(Text_Preprocessing291013[[#This Row],[full_text]],{"*makan siang gratis*";"*MBG*";"*makan gratis*";"*makan bergizi gratis*";"*makangratis*";"*makanan gratis*"})),"Relevan","Tidak Relevan")</f>
        <v>Relevan</v>
      </c>
    </row>
    <row r="104" spans="1:10" x14ac:dyDescent="0.35">
      <c r="A104" t="e">
        <f t="shared" si="1"/>
        <v>#REF!</v>
      </c>
      <c r="B104">
        <v>110</v>
      </c>
      <c r="C104" t="s">
        <v>2099</v>
      </c>
      <c r="D104" t="s">
        <v>174</v>
      </c>
      <c r="E104" t="s">
        <v>2100</v>
      </c>
      <c r="F104" t="s">
        <v>1629</v>
      </c>
      <c r="G104" t="s">
        <v>2101</v>
      </c>
      <c r="H104" t="s">
        <v>2101</v>
      </c>
      <c r="I104" t="s">
        <v>2102</v>
      </c>
      <c r="J104" t="str" cm="1">
        <f t="array" ref="J104">IF(SUM(COUNTIF(Text_Preprocessing291013[[#This Row],[full_text]],{"*makan siang gratis*";"*MBG*";"*makan gratis*";"*makan bergizi gratis*";"*makangratis*";"*makanan gratis*"})),"Relevan","Tidak Relevan")</f>
        <v>Relevan</v>
      </c>
    </row>
    <row r="105" spans="1:10" x14ac:dyDescent="0.35">
      <c r="A105" t="e">
        <f t="shared" si="1"/>
        <v>#REF!</v>
      </c>
      <c r="B105">
        <v>111</v>
      </c>
      <c r="C105" t="s">
        <v>2103</v>
      </c>
      <c r="D105" t="s">
        <v>196</v>
      </c>
      <c r="E105" t="s">
        <v>2104</v>
      </c>
      <c r="F105" t="s">
        <v>1735</v>
      </c>
      <c r="G105" t="s">
        <v>2105</v>
      </c>
      <c r="H105" t="s">
        <v>2105</v>
      </c>
      <c r="I105" t="s">
        <v>2106</v>
      </c>
      <c r="J105" t="str" cm="1">
        <f t="array" ref="J105">IF(SUM(COUNTIF(Text_Preprocessing291013[[#This Row],[full_text]],{"*makan siang gratis*";"*MBG*";"*makan gratis*";"*makan bergizi gratis*";"*makangratis*";"*makanan gratis*"})),"Relevan","Tidak Relevan")</f>
        <v>Relevan</v>
      </c>
    </row>
    <row r="106" spans="1:10" x14ac:dyDescent="0.35">
      <c r="A106" t="e">
        <f t="shared" si="1"/>
        <v>#REF!</v>
      </c>
      <c r="B106">
        <v>112</v>
      </c>
      <c r="C106" t="s">
        <v>2107</v>
      </c>
      <c r="D106" t="s">
        <v>137</v>
      </c>
      <c r="E106" t="s">
        <v>2108</v>
      </c>
      <c r="F106" t="s">
        <v>2109</v>
      </c>
      <c r="G106" t="s">
        <v>2110</v>
      </c>
      <c r="H106" t="s">
        <v>2110</v>
      </c>
      <c r="I106" t="s">
        <v>2111</v>
      </c>
      <c r="J106" t="str" cm="1">
        <f t="array" ref="J106">IF(SUM(COUNTIF(Text_Preprocessing291013[[#This Row],[full_text]],{"*makan siang gratis*";"*MBG*";"*makan gratis*";"*makan bergizi gratis*";"*makangratis*";"*makanan gratis*"})),"Relevan","Tidak Relevan")</f>
        <v>Relevan</v>
      </c>
    </row>
    <row r="107" spans="1:10" x14ac:dyDescent="0.35">
      <c r="A107" t="e">
        <f t="shared" si="1"/>
        <v>#REF!</v>
      </c>
      <c r="B107">
        <v>113</v>
      </c>
      <c r="C107" t="s">
        <v>2112</v>
      </c>
      <c r="D107" t="s">
        <v>137</v>
      </c>
      <c r="E107" t="s">
        <v>2113</v>
      </c>
      <c r="F107" t="s">
        <v>2114</v>
      </c>
      <c r="G107" t="s">
        <v>2115</v>
      </c>
      <c r="H107" t="s">
        <v>2115</v>
      </c>
      <c r="I107" t="s">
        <v>2116</v>
      </c>
      <c r="J107" t="str" cm="1">
        <f t="array" ref="J107">IF(SUM(COUNTIF(Text_Preprocessing291013[[#This Row],[full_text]],{"*makan siang gratis*";"*MBG*";"*makan gratis*";"*makan bergizi gratis*";"*makangratis*";"*makanan gratis*"})),"Relevan","Tidak Relevan")</f>
        <v>Relevan</v>
      </c>
    </row>
    <row r="108" spans="1:10" x14ac:dyDescent="0.35">
      <c r="A108" t="e">
        <f t="shared" si="1"/>
        <v>#REF!</v>
      </c>
      <c r="B108">
        <v>114</v>
      </c>
      <c r="C108" t="s">
        <v>2117</v>
      </c>
      <c r="D108" t="s">
        <v>200</v>
      </c>
      <c r="E108" t="s">
        <v>2118</v>
      </c>
      <c r="F108" t="s">
        <v>1724</v>
      </c>
      <c r="G108" t="s">
        <v>2119</v>
      </c>
      <c r="H108" t="s">
        <v>3657</v>
      </c>
      <c r="I108" t="s">
        <v>3658</v>
      </c>
      <c r="J108" t="str" cm="1">
        <f t="array" ref="J108">IF(SUM(COUNTIF(Text_Preprocessing291013[[#This Row],[full_text]],{"*makan siang gratis*";"*MBG*";"*makan gratis*";"*makan bergizi gratis*";"*makangratis*";"*makanan gratis*"})),"Relevan","Tidak Relevan")</f>
        <v>Relevan</v>
      </c>
    </row>
    <row r="109" spans="1:10" x14ac:dyDescent="0.35">
      <c r="A109" t="e">
        <f t="shared" si="1"/>
        <v>#REF!</v>
      </c>
      <c r="B109">
        <v>115</v>
      </c>
      <c r="C109" t="s">
        <v>2121</v>
      </c>
      <c r="D109" t="s">
        <v>202</v>
      </c>
      <c r="E109" t="s">
        <v>2122</v>
      </c>
      <c r="F109" t="s">
        <v>1596</v>
      </c>
      <c r="G109" t="s">
        <v>2123</v>
      </c>
      <c r="H109" t="s">
        <v>2123</v>
      </c>
      <c r="I109" t="s">
        <v>2124</v>
      </c>
      <c r="J109" t="str" cm="1">
        <f t="array" ref="J109">IF(SUM(COUNTIF(Text_Preprocessing291013[[#This Row],[full_text]],{"*makan siang gratis*";"*MBG*";"*makan gratis*";"*makan bergizi gratis*";"*makangratis*";"*makanan gratis*"})),"Relevan","Tidak Relevan")</f>
        <v>Relevan</v>
      </c>
    </row>
    <row r="110" spans="1:10" x14ac:dyDescent="0.35">
      <c r="A110" t="e">
        <f t="shared" si="1"/>
        <v>#REF!</v>
      </c>
      <c r="B110">
        <v>116</v>
      </c>
      <c r="C110" t="s">
        <v>2125</v>
      </c>
      <c r="D110" t="s">
        <v>202</v>
      </c>
      <c r="E110" t="s">
        <v>2126</v>
      </c>
      <c r="F110" t="s">
        <v>1888</v>
      </c>
      <c r="G110" t="s">
        <v>2126</v>
      </c>
      <c r="H110" t="s">
        <v>2126</v>
      </c>
      <c r="I110" t="s">
        <v>2127</v>
      </c>
      <c r="J110" t="str" cm="1">
        <f t="array" ref="J110">IF(SUM(COUNTIF(Text_Preprocessing291013[[#This Row],[full_text]],{"*makan siang gratis*";"*MBG*";"*makan gratis*";"*makan bergizi gratis*";"*makangratis*";"*makanan gratis*"})),"Relevan","Tidak Relevan")</f>
        <v>Relevan</v>
      </c>
    </row>
    <row r="111" spans="1:10" x14ac:dyDescent="0.35">
      <c r="A111" t="e">
        <f t="shared" si="1"/>
        <v>#REF!</v>
      </c>
      <c r="B111">
        <v>117</v>
      </c>
      <c r="C111" t="s">
        <v>2128</v>
      </c>
      <c r="D111" t="s">
        <v>205</v>
      </c>
      <c r="E111" t="s">
        <v>2129</v>
      </c>
      <c r="F111" t="s">
        <v>1730</v>
      </c>
      <c r="G111" t="s">
        <v>2130</v>
      </c>
      <c r="H111" t="s">
        <v>2130</v>
      </c>
      <c r="I111" t="s">
        <v>2131</v>
      </c>
      <c r="J111" t="str" cm="1">
        <f t="array" ref="J111">IF(SUM(COUNTIF(Text_Preprocessing291013[[#This Row],[full_text]],{"*makan siang gratis*";"*MBG*";"*makan gratis*";"*makan bergizi gratis*";"*makangratis*";"*makanan gratis*"})),"Relevan","Tidak Relevan")</f>
        <v>Relevan</v>
      </c>
    </row>
    <row r="112" spans="1:10" x14ac:dyDescent="0.35">
      <c r="A112" t="e">
        <f t="shared" si="1"/>
        <v>#REF!</v>
      </c>
      <c r="B112">
        <v>118</v>
      </c>
      <c r="C112" t="s">
        <v>2132</v>
      </c>
      <c r="D112" t="s">
        <v>207</v>
      </c>
      <c r="E112" t="s">
        <v>2133</v>
      </c>
      <c r="F112" t="s">
        <v>2134</v>
      </c>
      <c r="G112" t="s">
        <v>2135</v>
      </c>
      <c r="H112" t="s">
        <v>2135</v>
      </c>
      <c r="I112" t="s">
        <v>2136</v>
      </c>
      <c r="J112" t="str" cm="1">
        <f t="array" ref="J112">IF(SUM(COUNTIF(Text_Preprocessing291013[[#This Row],[full_text]],{"*makan siang gratis*";"*MBG*";"*makan gratis*";"*makan bergizi gratis*";"*makangratis*";"*makanan gratis*"})),"Relevan","Tidak Relevan")</f>
        <v>Relevan</v>
      </c>
    </row>
    <row r="113" spans="1:10" x14ac:dyDescent="0.35">
      <c r="A113" t="e">
        <f t="shared" si="1"/>
        <v>#REF!</v>
      </c>
      <c r="B113">
        <v>119</v>
      </c>
      <c r="C113" t="s">
        <v>2137</v>
      </c>
      <c r="D113" t="s">
        <v>209</v>
      </c>
      <c r="E113" t="s">
        <v>2138</v>
      </c>
      <c r="F113" t="s">
        <v>1844</v>
      </c>
      <c r="G113" t="s">
        <v>2139</v>
      </c>
      <c r="H113" t="s">
        <v>2139</v>
      </c>
      <c r="I113" t="s">
        <v>2140</v>
      </c>
      <c r="J113" t="str" cm="1">
        <f t="array" ref="J113">IF(SUM(COUNTIF(Text_Preprocessing291013[[#This Row],[full_text]],{"*makan siang gratis*";"*MBG*";"*makan gratis*";"*makan bergizi gratis*";"*makangratis*";"*makanan gratis*"})),"Relevan","Tidak Relevan")</f>
        <v>Relevan</v>
      </c>
    </row>
    <row r="114" spans="1:10" x14ac:dyDescent="0.35">
      <c r="A114" t="e">
        <f t="shared" si="1"/>
        <v>#REF!</v>
      </c>
      <c r="B114">
        <v>120</v>
      </c>
      <c r="C114" t="s">
        <v>2141</v>
      </c>
      <c r="D114" t="s">
        <v>211</v>
      </c>
      <c r="E114" t="s">
        <v>2142</v>
      </c>
      <c r="F114" t="s">
        <v>2143</v>
      </c>
      <c r="G114" t="s">
        <v>2144</v>
      </c>
      <c r="H114" t="s">
        <v>2145</v>
      </c>
      <c r="I114" t="s">
        <v>2146</v>
      </c>
      <c r="J114" t="str" cm="1">
        <f t="array" ref="J114">IF(SUM(COUNTIF(Text_Preprocessing291013[[#This Row],[full_text]],{"*makan siang gratis*";"*MBG*";"*makan gratis*";"*makan bergizi gratis*";"*makangratis*";"*makanan gratis*"})),"Relevan","Tidak Relevan")</f>
        <v>Relevan</v>
      </c>
    </row>
    <row r="115" spans="1:10" x14ac:dyDescent="0.35">
      <c r="A115" t="e">
        <f t="shared" si="1"/>
        <v>#REF!</v>
      </c>
      <c r="B115">
        <v>121</v>
      </c>
      <c r="C115" t="s">
        <v>2147</v>
      </c>
      <c r="D115" t="s">
        <v>213</v>
      </c>
      <c r="E115" t="s">
        <v>2148</v>
      </c>
      <c r="F115" t="s">
        <v>2149</v>
      </c>
      <c r="G115" t="s">
        <v>2150</v>
      </c>
      <c r="H115" t="s">
        <v>2150</v>
      </c>
      <c r="I115" t="s">
        <v>2151</v>
      </c>
      <c r="J115" t="str" cm="1">
        <f t="array" ref="J115">IF(SUM(COUNTIF(Text_Preprocessing291013[[#This Row],[full_text]],{"*makan siang gratis*";"*MBG*";"*makan gratis*";"*makan bergizi gratis*";"*makangratis*";"*makanan gratis*"})),"Relevan","Tidak Relevan")</f>
        <v>Relevan</v>
      </c>
    </row>
    <row r="116" spans="1:10" x14ac:dyDescent="0.35">
      <c r="A116" t="e">
        <f t="shared" si="1"/>
        <v>#REF!</v>
      </c>
      <c r="B116">
        <v>122</v>
      </c>
      <c r="C116" t="s">
        <v>2152</v>
      </c>
      <c r="D116" t="s">
        <v>215</v>
      </c>
      <c r="E116" t="s">
        <v>2153</v>
      </c>
      <c r="F116" t="s">
        <v>2154</v>
      </c>
      <c r="G116" t="s">
        <v>2155</v>
      </c>
      <c r="H116" t="s">
        <v>2155</v>
      </c>
      <c r="I116" t="s">
        <v>2156</v>
      </c>
      <c r="J116" t="str" cm="1">
        <f t="array" ref="J116">IF(SUM(COUNTIF(Text_Preprocessing291013[[#This Row],[full_text]],{"*makan siang gratis*";"*MBG*";"*makan gratis*";"*makan bergizi gratis*";"*makangratis*";"*makanan gratis*"})),"Relevan","Tidak Relevan")</f>
        <v>Relevan</v>
      </c>
    </row>
    <row r="117" spans="1:10" x14ac:dyDescent="0.35">
      <c r="A117" t="e">
        <f t="shared" si="1"/>
        <v>#REF!</v>
      </c>
      <c r="B117">
        <v>123</v>
      </c>
      <c r="C117" t="s">
        <v>2157</v>
      </c>
      <c r="D117" t="s">
        <v>217</v>
      </c>
      <c r="E117" t="s">
        <v>2158</v>
      </c>
      <c r="F117" t="s">
        <v>2159</v>
      </c>
      <c r="G117" t="s">
        <v>2160</v>
      </c>
      <c r="H117" t="s">
        <v>2160</v>
      </c>
      <c r="I117" t="s">
        <v>2161</v>
      </c>
      <c r="J117" t="str" cm="1">
        <f t="array" ref="J117">IF(SUM(COUNTIF(Text_Preprocessing291013[[#This Row],[full_text]],{"*makan siang gratis*";"*MBG*";"*makan gratis*";"*makan bergizi gratis*";"*makangratis*";"*makanan gratis*"})),"Relevan","Tidak Relevan")</f>
        <v>Relevan</v>
      </c>
    </row>
    <row r="118" spans="1:10" x14ac:dyDescent="0.35">
      <c r="A118" t="e">
        <f t="shared" si="1"/>
        <v>#REF!</v>
      </c>
      <c r="B118">
        <v>124</v>
      </c>
      <c r="C118" t="s">
        <v>2162</v>
      </c>
      <c r="D118" t="s">
        <v>219</v>
      </c>
      <c r="E118" t="s">
        <v>2163</v>
      </c>
      <c r="F118" t="s">
        <v>2164</v>
      </c>
      <c r="G118" t="s">
        <v>2165</v>
      </c>
      <c r="H118" t="s">
        <v>2165</v>
      </c>
      <c r="I118" t="s">
        <v>2166</v>
      </c>
      <c r="J118" t="str" cm="1">
        <f t="array" ref="J118">IF(SUM(COUNTIF(Text_Preprocessing291013[[#This Row],[full_text]],{"*makan siang gratis*";"*MBG*";"*makan gratis*";"*makan bergizi gratis*";"*makangratis*";"*makanan gratis*"})),"Relevan","Tidak Relevan")</f>
        <v>Relevan</v>
      </c>
    </row>
    <row r="119" spans="1:10" x14ac:dyDescent="0.35">
      <c r="A119" t="e">
        <f t="shared" si="1"/>
        <v>#REF!</v>
      </c>
      <c r="B119">
        <v>125</v>
      </c>
      <c r="C119" t="s">
        <v>2167</v>
      </c>
      <c r="D119" t="s">
        <v>221</v>
      </c>
      <c r="E119" t="s">
        <v>2168</v>
      </c>
      <c r="F119" t="s">
        <v>1804</v>
      </c>
      <c r="G119" t="s">
        <v>2169</v>
      </c>
      <c r="H119" t="s">
        <v>2169</v>
      </c>
      <c r="I119" t="s">
        <v>2170</v>
      </c>
      <c r="J119" t="str" cm="1">
        <f t="array" ref="J119">IF(SUM(COUNTIF(Text_Preprocessing291013[[#This Row],[full_text]],{"*makan siang gratis*";"*MBG*";"*makan gratis*";"*makan bergizi gratis*";"*makangratis*";"*makanan gratis*"})),"Relevan","Tidak Relevan")</f>
        <v>Relevan</v>
      </c>
    </row>
    <row r="120" spans="1:10" x14ac:dyDescent="0.35">
      <c r="A120" t="e">
        <f t="shared" si="1"/>
        <v>#REF!</v>
      </c>
      <c r="B120">
        <v>126</v>
      </c>
      <c r="C120" t="s">
        <v>2171</v>
      </c>
      <c r="D120" t="s">
        <v>223</v>
      </c>
      <c r="E120" t="s">
        <v>2172</v>
      </c>
      <c r="F120" t="s">
        <v>2109</v>
      </c>
      <c r="G120" t="s">
        <v>2173</v>
      </c>
      <c r="H120" t="s">
        <v>2173</v>
      </c>
      <c r="I120" t="s">
        <v>2174</v>
      </c>
      <c r="J120" t="str" cm="1">
        <f t="array" ref="J120">IF(SUM(COUNTIF(Text_Preprocessing291013[[#This Row],[full_text]],{"*makan siang gratis*";"*MBG*";"*makan gratis*";"*makan bergizi gratis*";"*makangratis*";"*makanan gratis*"})),"Relevan","Tidak Relevan")</f>
        <v>Relevan</v>
      </c>
    </row>
    <row r="121" spans="1:10" x14ac:dyDescent="0.35">
      <c r="A121" t="e">
        <f t="shared" si="1"/>
        <v>#REF!</v>
      </c>
      <c r="B121">
        <v>127</v>
      </c>
      <c r="C121" t="s">
        <v>2175</v>
      </c>
      <c r="D121" t="s">
        <v>225</v>
      </c>
      <c r="E121" t="s">
        <v>2176</v>
      </c>
      <c r="F121" t="s">
        <v>2177</v>
      </c>
      <c r="G121" t="s">
        <v>2178</v>
      </c>
      <c r="H121" t="s">
        <v>2178</v>
      </c>
      <c r="I121" t="s">
        <v>2179</v>
      </c>
      <c r="J121" t="str" cm="1">
        <f t="array" ref="J121">IF(SUM(COUNTIF(Text_Preprocessing291013[[#This Row],[full_text]],{"*makan siang gratis*";"*MBG*";"*makan gratis*";"*makan bergizi gratis*";"*makangratis*";"*makanan gratis*"})),"Relevan","Tidak Relevan")</f>
        <v>Relevan</v>
      </c>
    </row>
    <row r="122" spans="1:10" x14ac:dyDescent="0.35">
      <c r="A122" t="e">
        <f t="shared" si="1"/>
        <v>#REF!</v>
      </c>
      <c r="B122">
        <v>128</v>
      </c>
      <c r="C122" t="s">
        <v>2180</v>
      </c>
      <c r="D122" t="s">
        <v>227</v>
      </c>
      <c r="E122" t="s">
        <v>2181</v>
      </c>
      <c r="F122" t="s">
        <v>1804</v>
      </c>
      <c r="G122" t="s">
        <v>2182</v>
      </c>
      <c r="H122" t="s">
        <v>2182</v>
      </c>
      <c r="I122" t="s">
        <v>2183</v>
      </c>
      <c r="J122" t="str" cm="1">
        <f t="array" ref="J122">IF(SUM(COUNTIF(Text_Preprocessing291013[[#This Row],[full_text]],{"*makan siang gratis*";"*MBG*";"*makan gratis*";"*makan bergizi gratis*";"*makangratis*";"*makanan gratis*"})),"Relevan","Tidak Relevan")</f>
        <v>Relevan</v>
      </c>
    </row>
    <row r="123" spans="1:10" x14ac:dyDescent="0.35">
      <c r="A123" t="e">
        <f t="shared" si="1"/>
        <v>#REF!</v>
      </c>
      <c r="B123">
        <v>129</v>
      </c>
      <c r="C123" t="s">
        <v>2184</v>
      </c>
      <c r="D123" t="s">
        <v>229</v>
      </c>
      <c r="E123" t="s">
        <v>2185</v>
      </c>
      <c r="F123" t="s">
        <v>2186</v>
      </c>
      <c r="G123" t="s">
        <v>2187</v>
      </c>
      <c r="H123" t="s">
        <v>2187</v>
      </c>
      <c r="I123" t="s">
        <v>2188</v>
      </c>
      <c r="J123" t="str" cm="1">
        <f t="array" ref="J123">IF(SUM(COUNTIF(Text_Preprocessing291013[[#This Row],[full_text]],{"*makan siang gratis*";"*MBG*";"*makan gratis*";"*makan bergizi gratis*";"*makangratis*";"*makanan gratis*"})),"Relevan","Tidak Relevan")</f>
        <v>Relevan</v>
      </c>
    </row>
    <row r="124" spans="1:10" x14ac:dyDescent="0.35">
      <c r="A124" t="e">
        <f t="shared" si="1"/>
        <v>#REF!</v>
      </c>
      <c r="B124">
        <v>130</v>
      </c>
      <c r="C124" t="s">
        <v>2189</v>
      </c>
      <c r="D124" t="s">
        <v>231</v>
      </c>
      <c r="E124" t="s">
        <v>2190</v>
      </c>
      <c r="F124" t="s">
        <v>2191</v>
      </c>
      <c r="G124" t="s">
        <v>2192</v>
      </c>
      <c r="H124" t="s">
        <v>2192</v>
      </c>
      <c r="I124" t="s">
        <v>2193</v>
      </c>
      <c r="J124" t="str" cm="1">
        <f t="array" ref="J124">IF(SUM(COUNTIF(Text_Preprocessing291013[[#This Row],[full_text]],{"*makan siang gratis*";"*MBG*";"*makan gratis*";"*makan bergizi gratis*";"*makangratis*";"*makanan gratis*"})),"Relevan","Tidak Relevan")</f>
        <v>Relevan</v>
      </c>
    </row>
    <row r="125" spans="1:10" x14ac:dyDescent="0.35">
      <c r="A125" t="e">
        <f t="shared" si="1"/>
        <v>#REF!</v>
      </c>
      <c r="B125">
        <v>131</v>
      </c>
      <c r="C125" t="s">
        <v>2194</v>
      </c>
      <c r="D125" t="s">
        <v>233</v>
      </c>
      <c r="E125" t="s">
        <v>2195</v>
      </c>
      <c r="F125" t="s">
        <v>2196</v>
      </c>
      <c r="G125" t="s">
        <v>2197</v>
      </c>
      <c r="H125" t="s">
        <v>2197</v>
      </c>
      <c r="I125" t="s">
        <v>2198</v>
      </c>
      <c r="J125" t="str" cm="1">
        <f t="array" ref="J125">IF(SUM(COUNTIF(Text_Preprocessing291013[[#This Row],[full_text]],{"*makan siang gratis*";"*MBG*";"*makan gratis*";"*makan bergizi gratis*";"*makangratis*";"*makanan gratis*"})),"Relevan","Tidak Relevan")</f>
        <v>Relevan</v>
      </c>
    </row>
    <row r="126" spans="1:10" x14ac:dyDescent="0.35">
      <c r="A126" t="e">
        <f t="shared" si="1"/>
        <v>#REF!</v>
      </c>
      <c r="B126">
        <v>132</v>
      </c>
      <c r="C126" t="s">
        <v>2199</v>
      </c>
      <c r="D126" t="s">
        <v>235</v>
      </c>
      <c r="E126" t="s">
        <v>2200</v>
      </c>
      <c r="F126" t="s">
        <v>1692</v>
      </c>
      <c r="G126" t="s">
        <v>2201</v>
      </c>
      <c r="H126" t="s">
        <v>2201</v>
      </c>
      <c r="I126" t="s">
        <v>2202</v>
      </c>
      <c r="J126" t="str" cm="1">
        <f t="array" ref="J126">IF(SUM(COUNTIF(Text_Preprocessing291013[[#This Row],[full_text]],{"*makan siang gratis*";"*MBG*";"*makan gratis*";"*makan bergizi gratis*";"*makangratis*";"*makanan gratis*"})),"Relevan","Tidak Relevan")</f>
        <v>Relevan</v>
      </c>
    </row>
    <row r="127" spans="1:10" x14ac:dyDescent="0.35">
      <c r="A127" t="e">
        <f t="shared" si="1"/>
        <v>#REF!</v>
      </c>
      <c r="B127">
        <v>133</v>
      </c>
      <c r="C127" t="s">
        <v>2203</v>
      </c>
      <c r="D127" t="s">
        <v>237</v>
      </c>
      <c r="E127" t="s">
        <v>2204</v>
      </c>
      <c r="F127" t="s">
        <v>2205</v>
      </c>
      <c r="G127" t="s">
        <v>2206</v>
      </c>
      <c r="H127" t="s">
        <v>2206</v>
      </c>
      <c r="I127" t="s">
        <v>2207</v>
      </c>
      <c r="J127" t="str" cm="1">
        <f t="array" ref="J127">IF(SUM(COUNTIF(Text_Preprocessing291013[[#This Row],[full_text]],{"*makan siang gratis*";"*MBG*";"*makan gratis*";"*makan bergizi gratis*";"*makangratis*";"*makanan gratis*"})),"Relevan","Tidak Relevan")</f>
        <v>Relevan</v>
      </c>
    </row>
    <row r="128" spans="1:10" x14ac:dyDescent="0.35">
      <c r="A128" t="e">
        <f t="shared" si="1"/>
        <v>#REF!</v>
      </c>
      <c r="B128">
        <v>134</v>
      </c>
      <c r="C128" t="s">
        <v>2208</v>
      </c>
      <c r="D128" t="s">
        <v>4</v>
      </c>
      <c r="E128" t="s">
        <v>2209</v>
      </c>
      <c r="F128" t="s">
        <v>2210</v>
      </c>
      <c r="G128" t="s">
        <v>2211</v>
      </c>
      <c r="H128" t="s">
        <v>2211</v>
      </c>
      <c r="I128" t="s">
        <v>2212</v>
      </c>
      <c r="J128" t="str" cm="1">
        <f t="array" ref="J128">IF(SUM(COUNTIF(Text_Preprocessing291013[[#This Row],[full_text]],{"*makan siang gratis*";"*MBG*";"*makan gratis*";"*makan bergizi gratis*";"*makangratis*";"*makanan gratis*"})),"Relevan","Tidak Relevan")</f>
        <v>Relevan</v>
      </c>
    </row>
    <row r="129" spans="1:10" x14ac:dyDescent="0.35">
      <c r="A129" t="e">
        <f t="shared" si="1"/>
        <v>#REF!</v>
      </c>
      <c r="B129">
        <v>135</v>
      </c>
      <c r="C129" t="s">
        <v>2213</v>
      </c>
      <c r="D129" t="s">
        <v>242</v>
      </c>
      <c r="E129" t="s">
        <v>2214</v>
      </c>
      <c r="F129" t="s">
        <v>2215</v>
      </c>
      <c r="G129" t="s">
        <v>2216</v>
      </c>
      <c r="H129" t="s">
        <v>2216</v>
      </c>
      <c r="I129" t="s">
        <v>2217</v>
      </c>
      <c r="J129" t="str" cm="1">
        <f t="array" ref="J129">IF(SUM(COUNTIF(Text_Preprocessing291013[[#This Row],[full_text]],{"*makan siang gratis*";"*MBG*";"*makan gratis*";"*makan bergizi gratis*";"*makangratis*";"*makanan gratis*"})),"Relevan","Tidak Relevan")</f>
        <v>Relevan</v>
      </c>
    </row>
    <row r="130" spans="1:10" x14ac:dyDescent="0.35">
      <c r="A130" t="e">
        <f t="shared" si="1"/>
        <v>#REF!</v>
      </c>
      <c r="B130">
        <v>136</v>
      </c>
      <c r="C130" t="s">
        <v>2218</v>
      </c>
      <c r="D130" t="s">
        <v>244</v>
      </c>
      <c r="E130" t="s">
        <v>2219</v>
      </c>
      <c r="F130" t="s">
        <v>1624</v>
      </c>
      <c r="G130" t="s">
        <v>2220</v>
      </c>
      <c r="H130" t="s">
        <v>2220</v>
      </c>
      <c r="I130" t="s">
        <v>2221</v>
      </c>
      <c r="J130" t="str" cm="1">
        <f t="array" ref="J130">IF(SUM(COUNTIF(Text_Preprocessing291013[[#This Row],[full_text]],{"*makan siang gratis*";"*MBG*";"*makan gratis*";"*makan bergizi gratis*";"*makangratis*";"*makanan gratis*"})),"Relevan","Tidak Relevan")</f>
        <v>Relevan</v>
      </c>
    </row>
    <row r="131" spans="1:10" x14ac:dyDescent="0.35">
      <c r="A131" t="e">
        <f t="shared" ref="A131:A194" si="2">SUM(A130+1)</f>
        <v>#REF!</v>
      </c>
      <c r="B131">
        <v>137</v>
      </c>
      <c r="C131" t="s">
        <v>2222</v>
      </c>
      <c r="D131" t="s">
        <v>246</v>
      </c>
      <c r="E131" t="s">
        <v>2223</v>
      </c>
      <c r="F131" t="s">
        <v>2154</v>
      </c>
      <c r="G131" t="s">
        <v>2224</v>
      </c>
      <c r="H131" t="s">
        <v>2225</v>
      </c>
      <c r="I131" t="s">
        <v>2226</v>
      </c>
      <c r="J131" t="str" cm="1">
        <f t="array" ref="J131">IF(SUM(COUNTIF(Text_Preprocessing291013[[#This Row],[full_text]],{"*makan siang gratis*";"*MBG*";"*makan gratis*";"*makan bergizi gratis*";"*makangratis*";"*makanan gratis*"})),"Relevan","Tidak Relevan")</f>
        <v>Relevan</v>
      </c>
    </row>
    <row r="132" spans="1:10" x14ac:dyDescent="0.35">
      <c r="A132" t="e">
        <f t="shared" si="2"/>
        <v>#REF!</v>
      </c>
      <c r="B132">
        <v>138</v>
      </c>
      <c r="C132" t="s">
        <v>2227</v>
      </c>
      <c r="D132" t="s">
        <v>137</v>
      </c>
      <c r="E132" t="s">
        <v>2228</v>
      </c>
      <c r="F132" t="s">
        <v>2229</v>
      </c>
      <c r="G132" t="s">
        <v>2230</v>
      </c>
      <c r="H132" t="s">
        <v>2230</v>
      </c>
      <c r="I132" t="s">
        <v>2231</v>
      </c>
      <c r="J132" t="str" cm="1">
        <f t="array" ref="J132">IF(SUM(COUNTIF(Text_Preprocessing291013[[#This Row],[full_text]],{"*makan siang gratis*";"*MBG*";"*makan gratis*";"*makan bergizi gratis*";"*makangratis*";"*makanan gratis*"})),"Relevan","Tidak Relevan")</f>
        <v>Relevan</v>
      </c>
    </row>
    <row r="133" spans="1:10" x14ac:dyDescent="0.35">
      <c r="A133" t="e">
        <f t="shared" si="2"/>
        <v>#REF!</v>
      </c>
      <c r="B133">
        <v>139</v>
      </c>
      <c r="C133" t="s">
        <v>2232</v>
      </c>
      <c r="D133" t="s">
        <v>249</v>
      </c>
      <c r="E133" t="s">
        <v>2233</v>
      </c>
      <c r="F133" t="s">
        <v>2234</v>
      </c>
      <c r="G133" t="s">
        <v>2235</v>
      </c>
      <c r="H133" t="s">
        <v>2235</v>
      </c>
      <c r="I133" t="s">
        <v>2236</v>
      </c>
      <c r="J133" t="str" cm="1">
        <f t="array" ref="J133">IF(SUM(COUNTIF(Text_Preprocessing291013[[#This Row],[full_text]],{"*makan siang gratis*";"*MBG*";"*makan gratis*";"*makan bergizi gratis*";"*makangratis*";"*makanan gratis*"})),"Relevan","Tidak Relevan")</f>
        <v>Relevan</v>
      </c>
    </row>
    <row r="134" spans="1:10" x14ac:dyDescent="0.35">
      <c r="A134" t="e">
        <f t="shared" si="2"/>
        <v>#REF!</v>
      </c>
      <c r="B134">
        <v>140</v>
      </c>
      <c r="C134" t="s">
        <v>2237</v>
      </c>
      <c r="D134" t="s">
        <v>251</v>
      </c>
      <c r="E134" t="s">
        <v>2238</v>
      </c>
      <c r="F134" t="s">
        <v>2082</v>
      </c>
      <c r="G134" t="s">
        <v>2239</v>
      </c>
      <c r="H134" t="s">
        <v>2240</v>
      </c>
      <c r="I134" t="s">
        <v>2241</v>
      </c>
      <c r="J134" t="str" cm="1">
        <f t="array" ref="J134">IF(SUM(COUNTIF(Text_Preprocessing291013[[#This Row],[full_text]],{"*makan siang gratis*";"*MBG*";"*makan gratis*";"*makan bergizi gratis*";"*makangratis*";"*makanan gratis*"})),"Relevan","Tidak Relevan")</f>
        <v>Relevan</v>
      </c>
    </row>
    <row r="135" spans="1:10" x14ac:dyDescent="0.35">
      <c r="A135" t="e">
        <f t="shared" si="2"/>
        <v>#REF!</v>
      </c>
      <c r="B135">
        <v>141</v>
      </c>
      <c r="C135" t="s">
        <v>2242</v>
      </c>
      <c r="D135" t="s">
        <v>253</v>
      </c>
      <c r="E135" t="s">
        <v>2243</v>
      </c>
      <c r="F135" t="s">
        <v>2229</v>
      </c>
      <c r="G135" t="s">
        <v>2244</v>
      </c>
      <c r="H135" t="s">
        <v>2244</v>
      </c>
      <c r="I135" t="s">
        <v>2245</v>
      </c>
      <c r="J135" t="str" cm="1">
        <f t="array" ref="J135">IF(SUM(COUNTIF(Text_Preprocessing291013[[#This Row],[full_text]],{"*makan siang gratis*";"*MBG*";"*makan gratis*";"*makan bergizi gratis*";"*makangratis*";"*makanan gratis*"})),"Relevan","Tidak Relevan")</f>
        <v>Relevan</v>
      </c>
    </row>
    <row r="136" spans="1:10" x14ac:dyDescent="0.35">
      <c r="A136" t="e">
        <f t="shared" si="2"/>
        <v>#REF!</v>
      </c>
      <c r="B136">
        <v>142</v>
      </c>
      <c r="C136" t="s">
        <v>2246</v>
      </c>
      <c r="D136" t="s">
        <v>255</v>
      </c>
      <c r="E136" t="s">
        <v>2247</v>
      </c>
      <c r="F136" t="s">
        <v>2248</v>
      </c>
      <c r="G136" t="s">
        <v>2249</v>
      </c>
      <c r="H136" t="s">
        <v>2249</v>
      </c>
      <c r="I136" t="s">
        <v>2250</v>
      </c>
      <c r="J136" t="str" cm="1">
        <f t="array" ref="J136">IF(SUM(COUNTIF(Text_Preprocessing291013[[#This Row],[full_text]],{"*makan siang gratis*";"*MBG*";"*makan gratis*";"*makan bergizi gratis*";"*makangratis*";"*makanan gratis*"})),"Relevan","Tidak Relevan")</f>
        <v>Relevan</v>
      </c>
    </row>
    <row r="137" spans="1:10" x14ac:dyDescent="0.35">
      <c r="A137" t="e">
        <f t="shared" si="2"/>
        <v>#REF!</v>
      </c>
      <c r="B137">
        <v>143</v>
      </c>
      <c r="C137" t="s">
        <v>2251</v>
      </c>
      <c r="D137" t="s">
        <v>213</v>
      </c>
      <c r="E137" t="s">
        <v>2252</v>
      </c>
      <c r="F137" t="s">
        <v>2253</v>
      </c>
      <c r="G137" t="s">
        <v>2254</v>
      </c>
      <c r="H137" t="s">
        <v>2254</v>
      </c>
      <c r="I137" t="s">
        <v>2255</v>
      </c>
      <c r="J137" t="str" cm="1">
        <f t="array" ref="J137">IF(SUM(COUNTIF(Text_Preprocessing291013[[#This Row],[full_text]],{"*makan siang gratis*";"*MBG*";"*makan gratis*";"*makan bergizi gratis*";"*makangratis*";"*makanan gratis*"})),"Relevan","Tidak Relevan")</f>
        <v>Relevan</v>
      </c>
    </row>
    <row r="138" spans="1:10" x14ac:dyDescent="0.35">
      <c r="A138" t="e">
        <f t="shared" si="2"/>
        <v>#REF!</v>
      </c>
      <c r="B138">
        <v>144</v>
      </c>
      <c r="C138" t="s">
        <v>2256</v>
      </c>
      <c r="D138" t="s">
        <v>213</v>
      </c>
      <c r="E138" t="s">
        <v>2257</v>
      </c>
      <c r="F138" t="s">
        <v>2258</v>
      </c>
      <c r="G138" t="s">
        <v>2259</v>
      </c>
      <c r="H138" t="s">
        <v>2259</v>
      </c>
      <c r="I138" t="s">
        <v>2260</v>
      </c>
      <c r="J138" t="str" cm="1">
        <f t="array" ref="J138">IF(SUM(COUNTIF(Text_Preprocessing291013[[#This Row],[full_text]],{"*makan siang gratis*";"*MBG*";"*makan gratis*";"*makan bergizi gratis*";"*makangratis*";"*makanan gratis*"})),"Relevan","Tidak Relevan")</f>
        <v>Relevan</v>
      </c>
    </row>
    <row r="139" spans="1:10" x14ac:dyDescent="0.35">
      <c r="A139" t="e">
        <f t="shared" si="2"/>
        <v>#REF!</v>
      </c>
      <c r="B139">
        <v>145</v>
      </c>
      <c r="C139" t="s">
        <v>2261</v>
      </c>
      <c r="D139" t="s">
        <v>259</v>
      </c>
      <c r="E139" t="s">
        <v>2262</v>
      </c>
      <c r="F139" t="s">
        <v>2069</v>
      </c>
      <c r="G139" t="s">
        <v>2263</v>
      </c>
      <c r="H139" t="s">
        <v>2263</v>
      </c>
      <c r="I139" t="s">
        <v>2264</v>
      </c>
      <c r="J139" t="str" cm="1">
        <f t="array" ref="J139">IF(SUM(COUNTIF(Text_Preprocessing291013[[#This Row],[full_text]],{"*makan siang gratis*";"*MBG*";"*makan gratis*";"*makan bergizi gratis*";"*makangratis*";"*makanan gratis*"})),"Relevan","Tidak Relevan")</f>
        <v>Relevan</v>
      </c>
    </row>
    <row r="140" spans="1:10" x14ac:dyDescent="0.35">
      <c r="A140" t="e">
        <f t="shared" si="2"/>
        <v>#REF!</v>
      </c>
      <c r="B140">
        <v>146</v>
      </c>
      <c r="C140" t="s">
        <v>2265</v>
      </c>
      <c r="D140" t="s">
        <v>261</v>
      </c>
      <c r="E140" t="s">
        <v>2266</v>
      </c>
      <c r="F140" t="s">
        <v>2267</v>
      </c>
      <c r="G140" t="s">
        <v>2268</v>
      </c>
      <c r="H140" t="s">
        <v>2268</v>
      </c>
      <c r="I140" t="s">
        <v>2269</v>
      </c>
      <c r="J140" t="str" cm="1">
        <f t="array" ref="J140">IF(SUM(COUNTIF(Text_Preprocessing291013[[#This Row],[full_text]],{"*makan siang gratis*";"*MBG*";"*makan gratis*";"*makan bergizi gratis*";"*makangratis*";"*makanan gratis*"})),"Relevan","Tidak Relevan")</f>
        <v>Relevan</v>
      </c>
    </row>
    <row r="141" spans="1:10" x14ac:dyDescent="0.35">
      <c r="A141" t="e">
        <f t="shared" si="2"/>
        <v>#REF!</v>
      </c>
      <c r="B141">
        <v>147</v>
      </c>
      <c r="C141" t="s">
        <v>2270</v>
      </c>
      <c r="D141" t="s">
        <v>263</v>
      </c>
      <c r="E141" t="s">
        <v>2271</v>
      </c>
      <c r="F141" t="s">
        <v>2272</v>
      </c>
      <c r="G141" t="s">
        <v>2273</v>
      </c>
      <c r="H141" t="s">
        <v>2273</v>
      </c>
      <c r="I141" t="s">
        <v>2274</v>
      </c>
      <c r="J141" t="str" cm="1">
        <f t="array" ref="J141">IF(SUM(COUNTIF(Text_Preprocessing291013[[#This Row],[full_text]],{"*makan siang gratis*";"*MBG*";"*makan gratis*";"*makan bergizi gratis*";"*makangratis*";"*makanan gratis*"})),"Relevan","Tidak Relevan")</f>
        <v>Relevan</v>
      </c>
    </row>
    <row r="142" spans="1:10" x14ac:dyDescent="0.35">
      <c r="A142" t="e">
        <f t="shared" si="2"/>
        <v>#REF!</v>
      </c>
      <c r="B142">
        <v>148</v>
      </c>
      <c r="C142" t="s">
        <v>2275</v>
      </c>
      <c r="D142" t="s">
        <v>265</v>
      </c>
      <c r="E142" t="s">
        <v>2276</v>
      </c>
      <c r="F142" t="s">
        <v>1596</v>
      </c>
      <c r="G142" t="s">
        <v>2277</v>
      </c>
      <c r="H142" t="s">
        <v>2277</v>
      </c>
      <c r="I142" t="s">
        <v>2278</v>
      </c>
      <c r="J142" t="str" cm="1">
        <f t="array" ref="J142">IF(SUM(COUNTIF(Text_Preprocessing291013[[#This Row],[full_text]],{"*makan siang gratis*";"*MBG*";"*makan gratis*";"*makan bergizi gratis*";"*makangratis*";"*makanan gratis*"})),"Relevan","Tidak Relevan")</f>
        <v>Relevan</v>
      </c>
    </row>
    <row r="143" spans="1:10" x14ac:dyDescent="0.35">
      <c r="A143" t="e">
        <f t="shared" si="2"/>
        <v>#REF!</v>
      </c>
      <c r="B143">
        <v>149</v>
      </c>
      <c r="C143" t="s">
        <v>2279</v>
      </c>
      <c r="D143" t="s">
        <v>267</v>
      </c>
      <c r="E143" t="s">
        <v>2280</v>
      </c>
      <c r="F143" t="s">
        <v>1657</v>
      </c>
      <c r="G143" t="s">
        <v>2281</v>
      </c>
      <c r="H143" t="s">
        <v>2281</v>
      </c>
      <c r="I143" t="s">
        <v>2282</v>
      </c>
      <c r="J143" t="str" cm="1">
        <f t="array" ref="J143">IF(SUM(COUNTIF(Text_Preprocessing291013[[#This Row],[full_text]],{"*makan siang gratis*";"*MBG*";"*makan gratis*";"*makan bergizi gratis*";"*makangratis*";"*makanan gratis*"})),"Relevan","Tidak Relevan")</f>
        <v>Relevan</v>
      </c>
    </row>
    <row r="144" spans="1:10" x14ac:dyDescent="0.35">
      <c r="A144" t="e">
        <f t="shared" si="2"/>
        <v>#REF!</v>
      </c>
      <c r="B144">
        <v>150</v>
      </c>
      <c r="C144" t="s">
        <v>2283</v>
      </c>
      <c r="D144" t="s">
        <v>269</v>
      </c>
      <c r="E144" t="s">
        <v>2284</v>
      </c>
      <c r="F144" t="s">
        <v>2285</v>
      </c>
      <c r="G144" t="s">
        <v>2286</v>
      </c>
      <c r="H144" t="s">
        <v>3659</v>
      </c>
      <c r="I144" t="s">
        <v>3660</v>
      </c>
      <c r="J144" t="str" cm="1">
        <f t="array" ref="J144">IF(SUM(COUNTIF(Text_Preprocessing291013[[#This Row],[full_text]],{"*makan siang gratis*";"*MBG*";"*makan gratis*";"*makan bergizi gratis*";"*makangratis*";"*makanan gratis*"})),"Relevan","Tidak Relevan")</f>
        <v>Relevan</v>
      </c>
    </row>
    <row r="145" spans="1:10" x14ac:dyDescent="0.35">
      <c r="A145" t="e">
        <f t="shared" si="2"/>
        <v>#REF!</v>
      </c>
      <c r="B145">
        <v>151</v>
      </c>
      <c r="C145" t="s">
        <v>2288</v>
      </c>
      <c r="D145" t="s">
        <v>249</v>
      </c>
      <c r="E145" t="s">
        <v>2289</v>
      </c>
      <c r="F145" t="s">
        <v>2290</v>
      </c>
      <c r="G145" t="s">
        <v>2291</v>
      </c>
      <c r="H145" t="s">
        <v>2291</v>
      </c>
      <c r="I145" t="s">
        <v>2292</v>
      </c>
      <c r="J145" t="str" cm="1">
        <f t="array" ref="J145">IF(SUM(COUNTIF(Text_Preprocessing291013[[#This Row],[full_text]],{"*makan siang gratis*";"*MBG*";"*makan gratis*";"*makan bergizi gratis*";"*makangratis*";"*makanan gratis*"})),"Relevan","Tidak Relevan")</f>
        <v>Relevan</v>
      </c>
    </row>
    <row r="146" spans="1:10" x14ac:dyDescent="0.35">
      <c r="A146" t="e">
        <f t="shared" si="2"/>
        <v>#REF!</v>
      </c>
      <c r="B146">
        <v>152</v>
      </c>
      <c r="C146" t="s">
        <v>2293</v>
      </c>
      <c r="D146" t="s">
        <v>272</v>
      </c>
      <c r="E146" t="s">
        <v>2294</v>
      </c>
      <c r="F146" t="s">
        <v>1596</v>
      </c>
      <c r="G146" t="s">
        <v>2295</v>
      </c>
      <c r="H146" t="s">
        <v>2295</v>
      </c>
      <c r="I146" t="s">
        <v>2296</v>
      </c>
      <c r="J146" t="str" cm="1">
        <f t="array" ref="J146">IF(SUM(COUNTIF(Text_Preprocessing291013[[#This Row],[full_text]],{"*makan siang gratis*";"*MBG*";"*makan gratis*";"*makan bergizi gratis*";"*makangratis*";"*makanan gratis*"})),"Relevan","Tidak Relevan")</f>
        <v>Relevan</v>
      </c>
    </row>
    <row r="147" spans="1:10" x14ac:dyDescent="0.35">
      <c r="A147" t="e">
        <f t="shared" si="2"/>
        <v>#REF!</v>
      </c>
      <c r="B147">
        <v>153</v>
      </c>
      <c r="C147" t="s">
        <v>2297</v>
      </c>
      <c r="D147" t="s">
        <v>274</v>
      </c>
      <c r="E147" t="s">
        <v>2298</v>
      </c>
      <c r="F147" t="s">
        <v>2299</v>
      </c>
      <c r="G147" t="s">
        <v>2300</v>
      </c>
      <c r="H147" t="s">
        <v>2300</v>
      </c>
      <c r="I147" t="s">
        <v>2301</v>
      </c>
      <c r="J147" t="str" cm="1">
        <f t="array" ref="J147">IF(SUM(COUNTIF(Text_Preprocessing291013[[#This Row],[full_text]],{"*makan siang gratis*";"*MBG*";"*makan gratis*";"*makan bergizi gratis*";"*makangratis*";"*makanan gratis*"})),"Relevan","Tidak Relevan")</f>
        <v>Relevan</v>
      </c>
    </row>
    <row r="148" spans="1:10" x14ac:dyDescent="0.35">
      <c r="A148" t="e">
        <f t="shared" si="2"/>
        <v>#REF!</v>
      </c>
      <c r="B148">
        <v>154</v>
      </c>
      <c r="C148" t="s">
        <v>2302</v>
      </c>
      <c r="D148" t="s">
        <v>276</v>
      </c>
      <c r="E148" t="s">
        <v>2303</v>
      </c>
      <c r="F148" t="s">
        <v>1624</v>
      </c>
      <c r="G148" t="s">
        <v>2304</v>
      </c>
      <c r="H148" t="s">
        <v>2304</v>
      </c>
      <c r="I148" t="s">
        <v>2305</v>
      </c>
      <c r="J148" t="str" cm="1">
        <f t="array" ref="J148">IF(SUM(COUNTIF(Text_Preprocessing291013[[#This Row],[full_text]],{"*makan siang gratis*";"*MBG*";"*makan gratis*";"*makan bergizi gratis*";"*makangratis*";"*makanan gratis*"})),"Relevan","Tidak Relevan")</f>
        <v>Relevan</v>
      </c>
    </row>
    <row r="149" spans="1:10" x14ac:dyDescent="0.35">
      <c r="A149" t="e">
        <f t="shared" si="2"/>
        <v>#REF!</v>
      </c>
      <c r="B149">
        <v>155</v>
      </c>
      <c r="C149" t="s">
        <v>2306</v>
      </c>
      <c r="D149" t="s">
        <v>143</v>
      </c>
      <c r="E149" t="s">
        <v>2307</v>
      </c>
      <c r="F149" t="s">
        <v>1735</v>
      </c>
      <c r="G149" t="s">
        <v>2308</v>
      </c>
      <c r="H149" t="s">
        <v>2308</v>
      </c>
      <c r="I149" t="s">
        <v>2309</v>
      </c>
      <c r="J149" t="str" cm="1">
        <f t="array" ref="J149">IF(SUM(COUNTIF(Text_Preprocessing291013[[#This Row],[full_text]],{"*makan siang gratis*";"*MBG*";"*makan gratis*";"*makan bergizi gratis*";"*makangratis*";"*makanan gratis*"})),"Relevan","Tidak Relevan")</f>
        <v>Relevan</v>
      </c>
    </row>
    <row r="150" spans="1:10" x14ac:dyDescent="0.35">
      <c r="A150" t="e">
        <f t="shared" si="2"/>
        <v>#REF!</v>
      </c>
      <c r="B150">
        <v>156</v>
      </c>
      <c r="C150" t="s">
        <v>2310</v>
      </c>
      <c r="D150" t="s">
        <v>174</v>
      </c>
      <c r="E150" t="s">
        <v>2311</v>
      </c>
      <c r="F150" t="s">
        <v>2312</v>
      </c>
      <c r="G150" t="s">
        <v>2313</v>
      </c>
      <c r="H150" t="s">
        <v>2313</v>
      </c>
      <c r="I150" t="s">
        <v>2314</v>
      </c>
      <c r="J150" t="str" cm="1">
        <f t="array" ref="J150">IF(SUM(COUNTIF(Text_Preprocessing291013[[#This Row],[full_text]],{"*makan siang gratis*";"*MBG*";"*makan gratis*";"*makan bergizi gratis*";"*makangratis*";"*makanan gratis*"})),"Relevan","Tidak Relevan")</f>
        <v>Relevan</v>
      </c>
    </row>
    <row r="151" spans="1:10" x14ac:dyDescent="0.35">
      <c r="A151" t="e">
        <f t="shared" si="2"/>
        <v>#REF!</v>
      </c>
      <c r="B151">
        <v>157</v>
      </c>
      <c r="C151" t="s">
        <v>2315</v>
      </c>
      <c r="D151" t="s">
        <v>280</v>
      </c>
      <c r="E151" t="s">
        <v>2316</v>
      </c>
      <c r="F151" t="s">
        <v>1893</v>
      </c>
      <c r="G151" t="s">
        <v>2317</v>
      </c>
      <c r="H151" t="s">
        <v>2317</v>
      </c>
      <c r="I151" t="s">
        <v>2318</v>
      </c>
      <c r="J151" t="str" cm="1">
        <f t="array" ref="J151">IF(SUM(COUNTIF(Text_Preprocessing291013[[#This Row],[full_text]],{"*makan siang gratis*";"*MBG*";"*makan gratis*";"*makan bergizi gratis*";"*makangratis*";"*makanan gratis*"})),"Relevan","Tidak Relevan")</f>
        <v>Relevan</v>
      </c>
    </row>
    <row r="152" spans="1:10" x14ac:dyDescent="0.35">
      <c r="A152" t="e">
        <f t="shared" si="2"/>
        <v>#REF!</v>
      </c>
      <c r="B152">
        <v>158</v>
      </c>
      <c r="C152" t="s">
        <v>2319</v>
      </c>
      <c r="D152" t="s">
        <v>282</v>
      </c>
      <c r="E152" t="s">
        <v>2320</v>
      </c>
      <c r="F152" t="s">
        <v>1799</v>
      </c>
      <c r="G152" t="s">
        <v>2321</v>
      </c>
      <c r="H152" t="s">
        <v>2321</v>
      </c>
      <c r="I152" t="s">
        <v>2322</v>
      </c>
      <c r="J152" t="str" cm="1">
        <f t="array" ref="J152">IF(SUM(COUNTIF(Text_Preprocessing291013[[#This Row],[full_text]],{"*makan siang gratis*";"*MBG*";"*makan gratis*";"*makan bergizi gratis*";"*makangratis*";"*makanan gratis*"})),"Relevan","Tidak Relevan")</f>
        <v>Relevan</v>
      </c>
    </row>
    <row r="153" spans="1:10" x14ac:dyDescent="0.35">
      <c r="A153" t="e">
        <f t="shared" si="2"/>
        <v>#REF!</v>
      </c>
      <c r="B153">
        <v>159</v>
      </c>
      <c r="C153" t="s">
        <v>2323</v>
      </c>
      <c r="D153" t="s">
        <v>143</v>
      </c>
      <c r="E153" t="s">
        <v>2324</v>
      </c>
      <c r="F153" t="s">
        <v>2325</v>
      </c>
      <c r="G153" t="s">
        <v>2326</v>
      </c>
      <c r="H153" t="s">
        <v>2326</v>
      </c>
      <c r="I153" t="s">
        <v>2327</v>
      </c>
      <c r="J153" t="str" cm="1">
        <f t="array" ref="J153">IF(SUM(COUNTIF(Text_Preprocessing291013[[#This Row],[full_text]],{"*makan siang gratis*";"*MBG*";"*makan gratis*";"*makan bergizi gratis*";"*makangratis*";"*makanan gratis*"})),"Relevan","Tidak Relevan")</f>
        <v>Relevan</v>
      </c>
    </row>
    <row r="154" spans="1:10" x14ac:dyDescent="0.35">
      <c r="A154" t="e">
        <f t="shared" si="2"/>
        <v>#REF!</v>
      </c>
      <c r="B154">
        <v>160</v>
      </c>
      <c r="C154" t="s">
        <v>2328</v>
      </c>
      <c r="D154" t="s">
        <v>285</v>
      </c>
      <c r="E154" t="s">
        <v>2329</v>
      </c>
      <c r="F154" t="s">
        <v>1990</v>
      </c>
      <c r="G154" t="s">
        <v>2330</v>
      </c>
      <c r="H154" t="s">
        <v>2331</v>
      </c>
      <c r="I154" t="s">
        <v>2332</v>
      </c>
      <c r="J154" t="str" cm="1">
        <f t="array" ref="J154">IF(SUM(COUNTIF(Text_Preprocessing291013[[#This Row],[full_text]],{"*makan siang gratis*";"*MBG*";"*makan gratis*";"*makan bergizi gratis*";"*makangratis*";"*makanan gratis*"})),"Relevan","Tidak Relevan")</f>
        <v>Relevan</v>
      </c>
    </row>
    <row r="155" spans="1:10" x14ac:dyDescent="0.35">
      <c r="A155" t="e">
        <f t="shared" si="2"/>
        <v>#REF!</v>
      </c>
      <c r="B155">
        <v>161</v>
      </c>
      <c r="C155" t="s">
        <v>2333</v>
      </c>
      <c r="D155" t="s">
        <v>223</v>
      </c>
      <c r="E155" t="s">
        <v>2334</v>
      </c>
      <c r="F155" t="s">
        <v>2335</v>
      </c>
      <c r="G155" t="s">
        <v>2336</v>
      </c>
      <c r="H155" t="s">
        <v>2336</v>
      </c>
      <c r="I155" t="s">
        <v>2337</v>
      </c>
      <c r="J155" t="str" cm="1">
        <f t="array" ref="J155">IF(SUM(COUNTIF(Text_Preprocessing291013[[#This Row],[full_text]],{"*makan siang gratis*";"*MBG*";"*makan gratis*";"*makan bergizi gratis*";"*makangratis*";"*makanan gratis*"})),"Relevan","Tidak Relevan")</f>
        <v>Relevan</v>
      </c>
    </row>
    <row r="156" spans="1:10" x14ac:dyDescent="0.35">
      <c r="A156" t="e">
        <f t="shared" si="2"/>
        <v>#REF!</v>
      </c>
      <c r="B156">
        <v>162</v>
      </c>
      <c r="C156" t="s">
        <v>2338</v>
      </c>
      <c r="D156" t="s">
        <v>217</v>
      </c>
      <c r="E156" t="s">
        <v>2339</v>
      </c>
      <c r="F156" t="s">
        <v>1990</v>
      </c>
      <c r="G156" t="s">
        <v>2340</v>
      </c>
      <c r="H156" t="s">
        <v>2340</v>
      </c>
      <c r="I156" t="s">
        <v>2341</v>
      </c>
      <c r="J156" t="str" cm="1">
        <f t="array" ref="J156">IF(SUM(COUNTIF(Text_Preprocessing291013[[#This Row],[full_text]],{"*makan siang gratis*";"*MBG*";"*makan gratis*";"*makan bergizi gratis*";"*makangratis*";"*makanan gratis*"})),"Relevan","Tidak Relevan")</f>
        <v>Relevan</v>
      </c>
    </row>
    <row r="157" spans="1:10" x14ac:dyDescent="0.35">
      <c r="A157" t="e">
        <f t="shared" si="2"/>
        <v>#REF!</v>
      </c>
      <c r="B157">
        <v>163</v>
      </c>
      <c r="C157" t="s">
        <v>2342</v>
      </c>
      <c r="D157" t="s">
        <v>289</v>
      </c>
      <c r="E157" t="s">
        <v>2343</v>
      </c>
      <c r="F157" t="s">
        <v>1893</v>
      </c>
      <c r="G157" t="s">
        <v>2344</v>
      </c>
      <c r="H157" t="s">
        <v>2344</v>
      </c>
      <c r="I157" t="s">
        <v>2345</v>
      </c>
      <c r="J157" t="str" cm="1">
        <f t="array" ref="J157">IF(SUM(COUNTIF(Text_Preprocessing291013[[#This Row],[full_text]],{"*makan siang gratis*";"*MBG*";"*makan gratis*";"*makan bergizi gratis*";"*makangratis*";"*makanan gratis*"})),"Relevan","Tidak Relevan")</f>
        <v>Relevan</v>
      </c>
    </row>
    <row r="158" spans="1:10" x14ac:dyDescent="0.35">
      <c r="A158" t="e">
        <f t="shared" si="2"/>
        <v>#REF!</v>
      </c>
      <c r="B158">
        <v>164</v>
      </c>
      <c r="C158" t="s">
        <v>2346</v>
      </c>
      <c r="D158" t="s">
        <v>291</v>
      </c>
      <c r="E158" t="s">
        <v>2347</v>
      </c>
      <c r="F158" t="s">
        <v>2348</v>
      </c>
      <c r="G158" t="s">
        <v>2349</v>
      </c>
      <c r="H158" t="s">
        <v>2349</v>
      </c>
      <c r="I158" t="s">
        <v>2350</v>
      </c>
      <c r="J158" t="str" cm="1">
        <f t="array" ref="J158">IF(SUM(COUNTIF(Text_Preprocessing291013[[#This Row],[full_text]],{"*makan siang gratis*";"*MBG*";"*makan gratis*";"*makan bergizi gratis*";"*makangratis*";"*makanan gratis*"})),"Relevan","Tidak Relevan")</f>
        <v>Relevan</v>
      </c>
    </row>
    <row r="159" spans="1:10" x14ac:dyDescent="0.35">
      <c r="A159" t="e">
        <f t="shared" si="2"/>
        <v>#REF!</v>
      </c>
      <c r="B159">
        <v>165</v>
      </c>
      <c r="C159" t="s">
        <v>2351</v>
      </c>
      <c r="D159" t="s">
        <v>276</v>
      </c>
      <c r="E159" t="s">
        <v>2352</v>
      </c>
      <c r="F159" t="s">
        <v>1624</v>
      </c>
      <c r="G159" t="s">
        <v>2353</v>
      </c>
      <c r="H159" t="s">
        <v>3661</v>
      </c>
      <c r="I159" t="s">
        <v>3662</v>
      </c>
      <c r="J159" t="str" cm="1">
        <f t="array" ref="J159">IF(SUM(COUNTIF(Text_Preprocessing291013[[#This Row],[full_text]],{"*makan siang gratis*";"*MBG*";"*makan gratis*";"*makan bergizi gratis*";"*makangratis*";"*makanan gratis*"})),"Relevan","Tidak Relevan")</f>
        <v>Relevan</v>
      </c>
    </row>
    <row r="160" spans="1:10" x14ac:dyDescent="0.35">
      <c r="A160" t="e">
        <f t="shared" si="2"/>
        <v>#REF!</v>
      </c>
      <c r="B160">
        <v>166</v>
      </c>
      <c r="C160" t="s">
        <v>2355</v>
      </c>
      <c r="D160" t="s">
        <v>294</v>
      </c>
      <c r="E160" t="s">
        <v>2356</v>
      </c>
      <c r="F160" t="s">
        <v>2357</v>
      </c>
      <c r="G160" t="s">
        <v>2358</v>
      </c>
      <c r="H160" t="s">
        <v>2359</v>
      </c>
      <c r="I160" t="s">
        <v>2360</v>
      </c>
      <c r="J160" t="str" cm="1">
        <f t="array" ref="J160">IF(SUM(COUNTIF(Text_Preprocessing291013[[#This Row],[full_text]],{"*makan siang gratis*";"*MBG*";"*makan gratis*";"*makan bergizi gratis*";"*makangratis*";"*makanan gratis*"})),"Relevan","Tidak Relevan")</f>
        <v>Relevan</v>
      </c>
    </row>
    <row r="161" spans="1:10" x14ac:dyDescent="0.35">
      <c r="A161" t="e">
        <f t="shared" si="2"/>
        <v>#REF!</v>
      </c>
      <c r="B161">
        <v>167</v>
      </c>
      <c r="C161" t="s">
        <v>2361</v>
      </c>
      <c r="D161" t="s">
        <v>296</v>
      </c>
      <c r="E161" t="s">
        <v>2362</v>
      </c>
      <c r="F161" t="s">
        <v>1730</v>
      </c>
      <c r="G161" t="s">
        <v>2363</v>
      </c>
      <c r="H161" t="s">
        <v>2363</v>
      </c>
      <c r="I161" t="s">
        <v>2364</v>
      </c>
      <c r="J161" t="str" cm="1">
        <f t="array" ref="J161">IF(SUM(COUNTIF(Text_Preprocessing291013[[#This Row],[full_text]],{"*makan siang gratis*";"*MBG*";"*makan gratis*";"*makan bergizi gratis*";"*makangratis*";"*makanan gratis*"})),"Relevan","Tidak Relevan")</f>
        <v>Relevan</v>
      </c>
    </row>
    <row r="162" spans="1:10" x14ac:dyDescent="0.35">
      <c r="A162" t="e">
        <f t="shared" si="2"/>
        <v>#REF!</v>
      </c>
      <c r="B162">
        <v>168</v>
      </c>
      <c r="C162" t="s">
        <v>2365</v>
      </c>
      <c r="D162" t="s">
        <v>280</v>
      </c>
      <c r="E162" t="s">
        <v>2366</v>
      </c>
      <c r="F162" t="s">
        <v>1999</v>
      </c>
      <c r="G162" t="s">
        <v>2367</v>
      </c>
      <c r="H162" t="s">
        <v>2367</v>
      </c>
      <c r="I162" t="s">
        <v>2368</v>
      </c>
      <c r="J162" t="str" cm="1">
        <f t="array" ref="J162">IF(SUM(COUNTIF(Text_Preprocessing291013[[#This Row],[full_text]],{"*makan siang gratis*";"*MBG*";"*makan gratis*";"*makan bergizi gratis*";"*makangratis*";"*makanan gratis*"})),"Relevan","Tidak Relevan")</f>
        <v>Relevan</v>
      </c>
    </row>
    <row r="163" spans="1:10" x14ac:dyDescent="0.35">
      <c r="A163" t="e">
        <f t="shared" si="2"/>
        <v>#REF!</v>
      </c>
      <c r="B163">
        <v>169</v>
      </c>
      <c r="C163" t="s">
        <v>2369</v>
      </c>
      <c r="D163" t="s">
        <v>76</v>
      </c>
      <c r="E163" t="s">
        <v>2370</v>
      </c>
      <c r="F163" t="s">
        <v>2154</v>
      </c>
      <c r="G163" t="s">
        <v>2371</v>
      </c>
      <c r="H163" t="s">
        <v>2371</v>
      </c>
      <c r="I163" t="s">
        <v>2372</v>
      </c>
      <c r="J163" t="str" cm="1">
        <f t="array" ref="J163">IF(SUM(COUNTIF(Text_Preprocessing291013[[#This Row],[full_text]],{"*makan siang gratis*";"*MBG*";"*makan gratis*";"*makan bergizi gratis*";"*makangratis*";"*makanan gratis*"})),"Relevan","Tidak Relevan")</f>
        <v>Relevan</v>
      </c>
    </row>
    <row r="164" spans="1:10" x14ac:dyDescent="0.35">
      <c r="A164" t="e">
        <f t="shared" si="2"/>
        <v>#REF!</v>
      </c>
      <c r="B164">
        <v>170</v>
      </c>
      <c r="C164" t="s">
        <v>2373</v>
      </c>
      <c r="D164" t="s">
        <v>213</v>
      </c>
      <c r="E164" t="s">
        <v>2374</v>
      </c>
      <c r="F164" t="s">
        <v>2272</v>
      </c>
      <c r="G164" t="s">
        <v>2375</v>
      </c>
      <c r="H164" t="s">
        <v>2375</v>
      </c>
      <c r="I164" t="s">
        <v>2376</v>
      </c>
      <c r="J164" t="str" cm="1">
        <f t="array" ref="J164">IF(SUM(COUNTIF(Text_Preprocessing291013[[#This Row],[full_text]],{"*makan siang gratis*";"*MBG*";"*makan gratis*";"*makan bergizi gratis*";"*makangratis*";"*makanan gratis*"})),"Relevan","Tidak Relevan")</f>
        <v>Relevan</v>
      </c>
    </row>
    <row r="165" spans="1:10" x14ac:dyDescent="0.35">
      <c r="A165" t="e">
        <f t="shared" si="2"/>
        <v>#REF!</v>
      </c>
      <c r="B165">
        <v>171</v>
      </c>
      <c r="C165" t="s">
        <v>2377</v>
      </c>
      <c r="D165" t="s">
        <v>213</v>
      </c>
      <c r="E165" t="s">
        <v>2378</v>
      </c>
      <c r="F165" t="s">
        <v>1624</v>
      </c>
      <c r="G165" t="s">
        <v>2379</v>
      </c>
      <c r="H165" t="s">
        <v>2379</v>
      </c>
      <c r="I165" t="s">
        <v>2380</v>
      </c>
      <c r="J165" t="str" cm="1">
        <f t="array" ref="J165">IF(SUM(COUNTIF(Text_Preprocessing291013[[#This Row],[full_text]],{"*makan siang gratis*";"*MBG*";"*makan gratis*";"*makan bergizi gratis*";"*makangratis*";"*makanan gratis*"})),"Relevan","Tidak Relevan")</f>
        <v>Relevan</v>
      </c>
    </row>
    <row r="166" spans="1:10" x14ac:dyDescent="0.35">
      <c r="A166" t="e">
        <f t="shared" si="2"/>
        <v>#REF!</v>
      </c>
      <c r="B166">
        <v>172</v>
      </c>
      <c r="C166" t="s">
        <v>2381</v>
      </c>
      <c r="D166" t="s">
        <v>280</v>
      </c>
      <c r="E166" t="s">
        <v>2382</v>
      </c>
      <c r="F166" t="s">
        <v>1893</v>
      </c>
      <c r="G166" t="s">
        <v>2383</v>
      </c>
      <c r="H166" t="s">
        <v>2383</v>
      </c>
      <c r="I166" t="s">
        <v>2384</v>
      </c>
      <c r="J166" t="str" cm="1">
        <f t="array" ref="J166">IF(SUM(COUNTIF(Text_Preprocessing291013[[#This Row],[full_text]],{"*makan siang gratis*";"*MBG*";"*makan gratis*";"*makan bergizi gratis*";"*makangratis*";"*makanan gratis*"})),"Relevan","Tidak Relevan")</f>
        <v>Relevan</v>
      </c>
    </row>
    <row r="167" spans="1:10" x14ac:dyDescent="0.35">
      <c r="A167" t="e">
        <f t="shared" si="2"/>
        <v>#REF!</v>
      </c>
      <c r="B167">
        <v>173</v>
      </c>
      <c r="C167" t="s">
        <v>2385</v>
      </c>
      <c r="D167" t="s">
        <v>253</v>
      </c>
      <c r="E167" t="s">
        <v>2386</v>
      </c>
      <c r="F167" t="s">
        <v>2387</v>
      </c>
      <c r="G167" t="s">
        <v>2388</v>
      </c>
      <c r="H167" t="s">
        <v>2388</v>
      </c>
      <c r="I167" t="s">
        <v>2389</v>
      </c>
      <c r="J167" t="str" cm="1">
        <f t="array" ref="J167">IF(SUM(COUNTIF(Text_Preprocessing291013[[#This Row],[full_text]],{"*makan siang gratis*";"*MBG*";"*makan gratis*";"*makan bergizi gratis*";"*makangratis*";"*makanan gratis*"})),"Relevan","Tidak Relevan")</f>
        <v>Relevan</v>
      </c>
    </row>
    <row r="168" spans="1:10" x14ac:dyDescent="0.35">
      <c r="A168" t="e">
        <f t="shared" si="2"/>
        <v>#REF!</v>
      </c>
      <c r="B168">
        <v>174</v>
      </c>
      <c r="C168" t="s">
        <v>2390</v>
      </c>
      <c r="D168" t="s">
        <v>304</v>
      </c>
      <c r="E168" t="s">
        <v>2391</v>
      </c>
      <c r="F168" t="s">
        <v>2149</v>
      </c>
      <c r="G168" t="s">
        <v>2392</v>
      </c>
      <c r="H168" t="s">
        <v>2392</v>
      </c>
      <c r="I168" t="s">
        <v>2393</v>
      </c>
      <c r="J168" t="str" cm="1">
        <f t="array" ref="J168">IF(SUM(COUNTIF(Text_Preprocessing291013[[#This Row],[full_text]],{"*makan siang gratis*";"*MBG*";"*makan gratis*";"*makan bergizi gratis*";"*makangratis*";"*makanan gratis*"})),"Relevan","Tidak Relevan")</f>
        <v>Relevan</v>
      </c>
    </row>
    <row r="169" spans="1:10" x14ac:dyDescent="0.35">
      <c r="A169" t="e">
        <f t="shared" si="2"/>
        <v>#REF!</v>
      </c>
      <c r="B169">
        <v>175</v>
      </c>
      <c r="C169" t="s">
        <v>2394</v>
      </c>
      <c r="D169" t="s">
        <v>304</v>
      </c>
      <c r="E169" t="s">
        <v>2395</v>
      </c>
      <c r="F169" t="s">
        <v>2164</v>
      </c>
      <c r="G169" t="s">
        <v>2396</v>
      </c>
      <c r="H169" t="s">
        <v>2396</v>
      </c>
      <c r="I169" t="s">
        <v>2397</v>
      </c>
      <c r="J169" t="str" cm="1">
        <f t="array" ref="J169">IF(SUM(COUNTIF(Text_Preprocessing291013[[#This Row],[full_text]],{"*makan siang gratis*";"*MBG*";"*makan gratis*";"*makan bergizi gratis*";"*makangratis*";"*makanan gratis*"})),"Relevan","Tidak Relevan")</f>
        <v>Relevan</v>
      </c>
    </row>
    <row r="170" spans="1:10" x14ac:dyDescent="0.35">
      <c r="A170" t="e">
        <f t="shared" si="2"/>
        <v>#REF!</v>
      </c>
      <c r="B170">
        <v>176</v>
      </c>
      <c r="C170" t="s">
        <v>2398</v>
      </c>
      <c r="D170" t="s">
        <v>143</v>
      </c>
      <c r="E170" t="s">
        <v>2399</v>
      </c>
      <c r="F170" t="s">
        <v>1990</v>
      </c>
      <c r="G170" t="s">
        <v>2400</v>
      </c>
      <c r="H170" t="s">
        <v>2400</v>
      </c>
      <c r="I170" t="s">
        <v>2401</v>
      </c>
      <c r="J170" t="str" cm="1">
        <f t="array" ref="J170">IF(SUM(COUNTIF(Text_Preprocessing291013[[#This Row],[full_text]],{"*makan siang gratis*";"*MBG*";"*makan gratis*";"*makan bergizi gratis*";"*makangratis*";"*makanan gratis*"})),"Relevan","Tidak Relevan")</f>
        <v>Relevan</v>
      </c>
    </row>
    <row r="171" spans="1:10" x14ac:dyDescent="0.35">
      <c r="A171" t="e">
        <f t="shared" si="2"/>
        <v>#REF!</v>
      </c>
      <c r="B171">
        <v>177</v>
      </c>
      <c r="C171" t="s">
        <v>2402</v>
      </c>
      <c r="D171" t="s">
        <v>308</v>
      </c>
      <c r="E171" t="s">
        <v>2403</v>
      </c>
      <c r="F171" t="s">
        <v>2229</v>
      </c>
      <c r="G171" t="s">
        <v>2404</v>
      </c>
      <c r="H171" t="s">
        <v>2404</v>
      </c>
      <c r="I171" t="s">
        <v>2405</v>
      </c>
      <c r="J171" t="str" cm="1">
        <f t="array" ref="J171">IF(SUM(COUNTIF(Text_Preprocessing291013[[#This Row],[full_text]],{"*makan siang gratis*";"*MBG*";"*makan gratis*";"*makan bergizi gratis*";"*makangratis*";"*makanan gratis*"})),"Relevan","Tidak Relevan")</f>
        <v>Relevan</v>
      </c>
    </row>
    <row r="172" spans="1:10" x14ac:dyDescent="0.35">
      <c r="A172" t="e">
        <f t="shared" si="2"/>
        <v>#REF!</v>
      </c>
      <c r="B172">
        <v>178</v>
      </c>
      <c r="C172" t="s">
        <v>2406</v>
      </c>
      <c r="D172" t="s">
        <v>310</v>
      </c>
      <c r="E172" t="s">
        <v>2407</v>
      </c>
      <c r="F172" t="s">
        <v>1823</v>
      </c>
      <c r="G172" t="s">
        <v>2408</v>
      </c>
      <c r="H172" t="s">
        <v>2408</v>
      </c>
      <c r="I172" t="s">
        <v>2409</v>
      </c>
      <c r="J172" t="str" cm="1">
        <f t="array" ref="J172">IF(SUM(COUNTIF(Text_Preprocessing291013[[#This Row],[full_text]],{"*makan siang gratis*";"*MBG*";"*makan gratis*";"*makan bergizi gratis*";"*makangratis*";"*makanan gratis*"})),"Relevan","Tidak Relevan")</f>
        <v>Relevan</v>
      </c>
    </row>
    <row r="173" spans="1:10" x14ac:dyDescent="0.35">
      <c r="A173" t="e">
        <f t="shared" si="2"/>
        <v>#REF!</v>
      </c>
      <c r="B173">
        <v>179</v>
      </c>
      <c r="C173" t="s">
        <v>2410</v>
      </c>
      <c r="D173" t="s">
        <v>312</v>
      </c>
      <c r="E173" t="s">
        <v>2411</v>
      </c>
      <c r="F173" t="s">
        <v>2205</v>
      </c>
      <c r="G173" t="s">
        <v>2412</v>
      </c>
      <c r="H173" t="s">
        <v>2412</v>
      </c>
      <c r="I173" t="s">
        <v>2413</v>
      </c>
      <c r="J173" t="str" cm="1">
        <f t="array" ref="J173">IF(SUM(COUNTIF(Text_Preprocessing291013[[#This Row],[full_text]],{"*makan siang gratis*";"*MBG*";"*makan gratis*";"*makan bergizi gratis*";"*makangratis*";"*makanan gratis*"})),"Relevan","Tidak Relevan")</f>
        <v>Relevan</v>
      </c>
    </row>
    <row r="174" spans="1:10" x14ac:dyDescent="0.35">
      <c r="A174" t="e">
        <f t="shared" si="2"/>
        <v>#REF!</v>
      </c>
      <c r="B174">
        <v>180</v>
      </c>
      <c r="C174" t="s">
        <v>2414</v>
      </c>
      <c r="D174" t="s">
        <v>314</v>
      </c>
      <c r="E174" t="s">
        <v>2415</v>
      </c>
      <c r="F174" t="s">
        <v>1893</v>
      </c>
      <c r="G174" t="s">
        <v>2416</v>
      </c>
      <c r="H174" t="s">
        <v>2417</v>
      </c>
      <c r="I174" t="s">
        <v>2418</v>
      </c>
      <c r="J174" t="str" cm="1">
        <f t="array" ref="J174">IF(SUM(COUNTIF(Text_Preprocessing291013[[#This Row],[full_text]],{"*makan siang gratis*";"*MBG*";"*makan gratis*";"*makan bergizi gratis*";"*makangratis*";"*makanan gratis*"})),"Relevan","Tidak Relevan")</f>
        <v>Relevan</v>
      </c>
    </row>
    <row r="175" spans="1:10" x14ac:dyDescent="0.35">
      <c r="A175" t="e">
        <f t="shared" si="2"/>
        <v>#REF!</v>
      </c>
      <c r="B175">
        <v>181</v>
      </c>
      <c r="C175" t="s">
        <v>2419</v>
      </c>
      <c r="D175" t="s">
        <v>316</v>
      </c>
      <c r="E175" t="s">
        <v>2420</v>
      </c>
      <c r="F175" t="s">
        <v>2229</v>
      </c>
      <c r="G175" t="s">
        <v>2421</v>
      </c>
      <c r="H175" t="s">
        <v>3663</v>
      </c>
      <c r="I175" t="s">
        <v>3664</v>
      </c>
      <c r="J175" t="str" cm="1">
        <f t="array" ref="J175">IF(SUM(COUNTIF(Text_Preprocessing291013[[#This Row],[full_text]],{"*makan siang gratis*";"*MBG*";"*makan gratis*";"*makan bergizi gratis*";"*makangratis*";"*makanan gratis*"})),"Relevan","Tidak Relevan")</f>
        <v>Relevan</v>
      </c>
    </row>
    <row r="176" spans="1:10" x14ac:dyDescent="0.35">
      <c r="A176" t="e">
        <f t="shared" si="2"/>
        <v>#REF!</v>
      </c>
      <c r="B176">
        <v>182</v>
      </c>
      <c r="C176" t="s">
        <v>2424</v>
      </c>
      <c r="D176" t="s">
        <v>316</v>
      </c>
      <c r="E176" t="s">
        <v>2425</v>
      </c>
      <c r="F176" t="s">
        <v>1799</v>
      </c>
      <c r="G176" t="s">
        <v>2426</v>
      </c>
      <c r="H176" t="s">
        <v>2426</v>
      </c>
      <c r="I176" t="s">
        <v>2427</v>
      </c>
      <c r="J176" t="str" cm="1">
        <f t="array" ref="J176">IF(SUM(COUNTIF(Text_Preprocessing291013[[#This Row],[full_text]],{"*makan siang gratis*";"*MBG*";"*makan gratis*";"*makan bergizi gratis*";"*makangratis*";"*makanan gratis*"})),"Relevan","Tidak Relevan")</f>
        <v>Relevan</v>
      </c>
    </row>
    <row r="177" spans="1:10" x14ac:dyDescent="0.35">
      <c r="A177" t="e">
        <f t="shared" si="2"/>
        <v>#REF!</v>
      </c>
      <c r="B177">
        <v>183</v>
      </c>
      <c r="C177" t="s">
        <v>2428</v>
      </c>
      <c r="D177" t="s">
        <v>76</v>
      </c>
      <c r="E177" t="s">
        <v>2429</v>
      </c>
      <c r="F177" t="s">
        <v>1799</v>
      </c>
      <c r="G177" t="s">
        <v>2430</v>
      </c>
      <c r="H177" t="s">
        <v>2430</v>
      </c>
      <c r="I177" t="s">
        <v>2431</v>
      </c>
      <c r="J177" t="str" cm="1">
        <f t="array" ref="J177">IF(SUM(COUNTIF(Text_Preprocessing291013[[#This Row],[full_text]],{"*makan siang gratis*";"*MBG*";"*makan gratis*";"*makan bergizi gratis*";"*makangratis*";"*makanan gratis*"})),"Relevan","Tidak Relevan")</f>
        <v>Relevan</v>
      </c>
    </row>
    <row r="178" spans="1:10" x14ac:dyDescent="0.35">
      <c r="A178" t="e">
        <f t="shared" si="2"/>
        <v>#REF!</v>
      </c>
      <c r="B178">
        <v>184</v>
      </c>
      <c r="C178" t="s">
        <v>2432</v>
      </c>
      <c r="D178" t="s">
        <v>324</v>
      </c>
      <c r="E178" t="s">
        <v>2433</v>
      </c>
      <c r="F178" t="s">
        <v>1839</v>
      </c>
      <c r="G178" t="s">
        <v>2434</v>
      </c>
      <c r="H178" t="s">
        <v>2434</v>
      </c>
      <c r="I178" t="s">
        <v>2435</v>
      </c>
      <c r="J178" t="str" cm="1">
        <f t="array" ref="J178">IF(SUM(COUNTIF(Text_Preprocessing291013[[#This Row],[full_text]],{"*makan siang gratis*";"*MBG*";"*makan gratis*";"*makan bergizi gratis*";"*makangratis*";"*makanan gratis*"})),"Relevan","Tidak Relevan")</f>
        <v>Relevan</v>
      </c>
    </row>
    <row r="179" spans="1:10" x14ac:dyDescent="0.35">
      <c r="A179" t="e">
        <f t="shared" si="2"/>
        <v>#REF!</v>
      </c>
      <c r="B179">
        <v>185</v>
      </c>
      <c r="C179" t="s">
        <v>2436</v>
      </c>
      <c r="D179" t="s">
        <v>326</v>
      </c>
      <c r="E179" t="s">
        <v>2437</v>
      </c>
      <c r="F179" t="s">
        <v>1613</v>
      </c>
      <c r="G179" t="s">
        <v>2438</v>
      </c>
      <c r="H179" t="s">
        <v>2438</v>
      </c>
      <c r="I179" t="s">
        <v>2439</v>
      </c>
      <c r="J179" t="str" cm="1">
        <f t="array" ref="J179">IF(SUM(COUNTIF(Text_Preprocessing291013[[#This Row],[full_text]],{"*makan siang gratis*";"*MBG*";"*makan gratis*";"*makan bergizi gratis*";"*makangratis*";"*makanan gratis*"})),"Relevan","Tidak Relevan")</f>
        <v>Relevan</v>
      </c>
    </row>
    <row r="180" spans="1:10" x14ac:dyDescent="0.35">
      <c r="A180" t="e">
        <f t="shared" si="2"/>
        <v>#REF!</v>
      </c>
      <c r="B180">
        <v>186</v>
      </c>
      <c r="C180" t="s">
        <v>2440</v>
      </c>
      <c r="D180" t="s">
        <v>242</v>
      </c>
      <c r="E180" t="s">
        <v>2441</v>
      </c>
      <c r="F180" t="s">
        <v>2442</v>
      </c>
      <c r="G180" t="s">
        <v>2443</v>
      </c>
      <c r="H180" t="s">
        <v>2443</v>
      </c>
      <c r="I180" t="s">
        <v>2444</v>
      </c>
      <c r="J180" t="str" cm="1">
        <f t="array" ref="J180">IF(SUM(COUNTIF(Text_Preprocessing291013[[#This Row],[full_text]],{"*makan siang gratis*";"*MBG*";"*makan gratis*";"*makan bergizi gratis*";"*makangratis*";"*makanan gratis*"})),"Relevan","Tidak Relevan")</f>
        <v>Relevan</v>
      </c>
    </row>
    <row r="181" spans="1:10" x14ac:dyDescent="0.35">
      <c r="A181" t="e">
        <f t="shared" si="2"/>
        <v>#REF!</v>
      </c>
      <c r="B181">
        <v>187</v>
      </c>
      <c r="C181" t="s">
        <v>2445</v>
      </c>
      <c r="D181" t="s">
        <v>213</v>
      </c>
      <c r="E181" t="s">
        <v>2446</v>
      </c>
      <c r="F181" t="s">
        <v>2253</v>
      </c>
      <c r="G181" t="s">
        <v>2447</v>
      </c>
      <c r="H181" t="s">
        <v>2447</v>
      </c>
      <c r="I181" t="s">
        <v>2448</v>
      </c>
      <c r="J181" t="str" cm="1">
        <f t="array" ref="J181">IF(SUM(COUNTIF(Text_Preprocessing291013[[#This Row],[full_text]],{"*makan siang gratis*";"*MBG*";"*makan gratis*";"*makan bergizi gratis*";"*makangratis*";"*makanan gratis*"})),"Relevan","Tidak Relevan")</f>
        <v>Relevan</v>
      </c>
    </row>
    <row r="182" spans="1:10" x14ac:dyDescent="0.35">
      <c r="A182" t="e">
        <f t="shared" si="2"/>
        <v>#REF!</v>
      </c>
      <c r="B182">
        <v>188</v>
      </c>
      <c r="C182" t="s">
        <v>2449</v>
      </c>
      <c r="D182" t="s">
        <v>330</v>
      </c>
      <c r="E182" t="s">
        <v>2450</v>
      </c>
      <c r="F182" t="s">
        <v>2114</v>
      </c>
      <c r="G182" t="s">
        <v>2451</v>
      </c>
      <c r="H182" t="s">
        <v>2451</v>
      </c>
      <c r="I182" t="s">
        <v>2452</v>
      </c>
      <c r="J182" t="str" cm="1">
        <f t="array" ref="J182">IF(SUM(COUNTIF(Text_Preprocessing291013[[#This Row],[full_text]],{"*makan siang gratis*";"*MBG*";"*makan gratis*";"*makan bergizi gratis*";"*makangratis*";"*makanan gratis*"})),"Relevan","Tidak Relevan")</f>
        <v>Relevan</v>
      </c>
    </row>
    <row r="183" spans="1:10" x14ac:dyDescent="0.35">
      <c r="A183" t="e">
        <f t="shared" si="2"/>
        <v>#REF!</v>
      </c>
      <c r="B183">
        <v>189</v>
      </c>
      <c r="C183" t="s">
        <v>2453</v>
      </c>
      <c r="D183" t="s">
        <v>332</v>
      </c>
      <c r="E183" t="s">
        <v>2454</v>
      </c>
      <c r="F183" t="s">
        <v>2041</v>
      </c>
      <c r="G183" t="s">
        <v>2455</v>
      </c>
      <c r="H183" t="s">
        <v>2455</v>
      </c>
      <c r="I183" t="s">
        <v>2456</v>
      </c>
      <c r="J183" t="str" cm="1">
        <f t="array" ref="J183">IF(SUM(COUNTIF(Text_Preprocessing291013[[#This Row],[full_text]],{"*makan siang gratis*";"*MBG*";"*makan gratis*";"*makan bergizi gratis*";"*makangratis*";"*makanan gratis*"})),"Relevan","Tidak Relevan")</f>
        <v>Relevan</v>
      </c>
    </row>
    <row r="184" spans="1:10" x14ac:dyDescent="0.35">
      <c r="A184" t="e">
        <f t="shared" si="2"/>
        <v>#REF!</v>
      </c>
      <c r="B184">
        <v>190</v>
      </c>
      <c r="C184" t="s">
        <v>2457</v>
      </c>
      <c r="D184" t="s">
        <v>330</v>
      </c>
      <c r="E184" t="s">
        <v>2458</v>
      </c>
      <c r="F184" t="s">
        <v>2143</v>
      </c>
      <c r="G184" t="s">
        <v>2459</v>
      </c>
      <c r="H184" t="s">
        <v>2460</v>
      </c>
      <c r="I184" t="s">
        <v>2461</v>
      </c>
      <c r="J184" t="str" cm="1">
        <f t="array" ref="J184">IF(SUM(COUNTIF(Text_Preprocessing291013[[#This Row],[full_text]],{"*makan siang gratis*";"*MBG*";"*makan gratis*";"*makan bergizi gratis*";"*makangratis*";"*makanan gratis*"})),"Relevan","Tidak Relevan")</f>
        <v>Relevan</v>
      </c>
    </row>
    <row r="185" spans="1:10" x14ac:dyDescent="0.35">
      <c r="A185" t="e">
        <f t="shared" si="2"/>
        <v>#REF!</v>
      </c>
      <c r="B185">
        <v>191</v>
      </c>
      <c r="C185" t="s">
        <v>2462</v>
      </c>
      <c r="D185" t="s">
        <v>335</v>
      </c>
      <c r="E185" t="s">
        <v>2463</v>
      </c>
      <c r="F185" t="s">
        <v>1839</v>
      </c>
      <c r="G185" t="s">
        <v>2464</v>
      </c>
      <c r="H185" t="s">
        <v>2464</v>
      </c>
      <c r="I185" t="s">
        <v>2465</v>
      </c>
      <c r="J185" t="str" cm="1">
        <f t="array" ref="J185">IF(SUM(COUNTIF(Text_Preprocessing291013[[#This Row],[full_text]],{"*makan siang gratis*";"*MBG*";"*makan gratis*";"*makan bergizi gratis*";"*makangratis*";"*makanan gratis*"})),"Relevan","Tidak Relevan")</f>
        <v>Relevan</v>
      </c>
    </row>
    <row r="186" spans="1:10" x14ac:dyDescent="0.35">
      <c r="A186" t="e">
        <f t="shared" si="2"/>
        <v>#REF!</v>
      </c>
      <c r="B186">
        <v>192</v>
      </c>
      <c r="C186" t="s">
        <v>2466</v>
      </c>
      <c r="D186" t="s">
        <v>337</v>
      </c>
      <c r="E186" t="s">
        <v>2467</v>
      </c>
      <c r="F186" t="s">
        <v>1629</v>
      </c>
      <c r="G186" t="s">
        <v>2468</v>
      </c>
      <c r="H186" t="s">
        <v>3665</v>
      </c>
      <c r="I186" t="s">
        <v>3666</v>
      </c>
      <c r="J186" t="str" cm="1">
        <f t="array" ref="J186">IF(SUM(COUNTIF(Text_Preprocessing291013[[#This Row],[full_text]],{"*makan siang gratis*";"*MBG*";"*makan gratis*";"*makan bergizi gratis*";"*makangratis*";"*makanan gratis*"})),"Relevan","Tidak Relevan")</f>
        <v>Relevan</v>
      </c>
    </row>
    <row r="187" spans="1:10" x14ac:dyDescent="0.35">
      <c r="A187" t="e">
        <f t="shared" si="2"/>
        <v>#REF!</v>
      </c>
      <c r="B187">
        <v>193</v>
      </c>
      <c r="C187" t="s">
        <v>2471</v>
      </c>
      <c r="D187" t="s">
        <v>339</v>
      </c>
      <c r="E187" t="s">
        <v>2472</v>
      </c>
      <c r="F187" t="s">
        <v>1663</v>
      </c>
      <c r="G187" t="s">
        <v>2473</v>
      </c>
      <c r="H187" t="s">
        <v>2473</v>
      </c>
      <c r="I187" t="s">
        <v>2474</v>
      </c>
      <c r="J187" t="str" cm="1">
        <f t="array" ref="J187">IF(SUM(COUNTIF(Text_Preprocessing291013[[#This Row],[full_text]],{"*makan siang gratis*";"*MBG*";"*makan gratis*";"*makan bergizi gratis*";"*makangratis*";"*makanan gratis*"})),"Relevan","Tidak Relevan")</f>
        <v>Relevan</v>
      </c>
    </row>
    <row r="188" spans="1:10" x14ac:dyDescent="0.35">
      <c r="A188" t="e">
        <f t="shared" si="2"/>
        <v>#REF!</v>
      </c>
      <c r="B188">
        <v>194</v>
      </c>
      <c r="C188" t="s">
        <v>2475</v>
      </c>
      <c r="D188" t="s">
        <v>341</v>
      </c>
      <c r="E188" t="s">
        <v>2476</v>
      </c>
      <c r="F188" t="s">
        <v>2109</v>
      </c>
      <c r="G188" t="s">
        <v>2477</v>
      </c>
      <c r="H188" t="s">
        <v>2477</v>
      </c>
      <c r="I188" t="s">
        <v>2478</v>
      </c>
      <c r="J188" t="str" cm="1">
        <f t="array" ref="J188">IF(SUM(COUNTIF(Text_Preprocessing291013[[#This Row],[full_text]],{"*makan siang gratis*";"*MBG*";"*makan gratis*";"*makan bergizi gratis*";"*makangratis*";"*makanan gratis*"})),"Relevan","Tidak Relevan")</f>
        <v>Relevan</v>
      </c>
    </row>
    <row r="189" spans="1:10" x14ac:dyDescent="0.35">
      <c r="A189" t="e">
        <f t="shared" si="2"/>
        <v>#REF!</v>
      </c>
      <c r="B189">
        <v>195</v>
      </c>
      <c r="C189" t="s">
        <v>2479</v>
      </c>
      <c r="D189" t="s">
        <v>343</v>
      </c>
      <c r="E189" t="s">
        <v>2480</v>
      </c>
      <c r="F189" t="s">
        <v>1990</v>
      </c>
      <c r="G189" t="s">
        <v>2481</v>
      </c>
      <c r="H189" t="s">
        <v>2481</v>
      </c>
      <c r="I189" t="s">
        <v>2482</v>
      </c>
      <c r="J189" t="str" cm="1">
        <f t="array" ref="J189">IF(SUM(COUNTIF(Text_Preprocessing291013[[#This Row],[full_text]],{"*makan siang gratis*";"*MBG*";"*makan gratis*";"*makan bergizi gratis*";"*makangratis*";"*makanan gratis*"})),"Relevan","Tidak Relevan")</f>
        <v>Relevan</v>
      </c>
    </row>
    <row r="190" spans="1:10" x14ac:dyDescent="0.35">
      <c r="A190" t="e">
        <f t="shared" si="2"/>
        <v>#REF!</v>
      </c>
      <c r="B190">
        <v>196</v>
      </c>
      <c r="C190" t="s">
        <v>2483</v>
      </c>
      <c r="D190" t="s">
        <v>345</v>
      </c>
      <c r="E190" t="s">
        <v>2484</v>
      </c>
      <c r="F190" t="s">
        <v>1785</v>
      </c>
      <c r="G190" t="s">
        <v>2485</v>
      </c>
      <c r="H190" t="s">
        <v>2485</v>
      </c>
      <c r="I190" t="s">
        <v>2486</v>
      </c>
      <c r="J190" t="str" cm="1">
        <f t="array" ref="J190">IF(SUM(COUNTIF(Text_Preprocessing291013[[#This Row],[full_text]],{"*makan siang gratis*";"*MBG*";"*makan gratis*";"*makan bergizi gratis*";"*makangratis*";"*makanan gratis*"})),"Relevan","Tidak Relevan")</f>
        <v>Relevan</v>
      </c>
    </row>
    <row r="191" spans="1:10" x14ac:dyDescent="0.35">
      <c r="A191" t="e">
        <f t="shared" si="2"/>
        <v>#REF!</v>
      </c>
      <c r="B191">
        <v>197</v>
      </c>
      <c r="C191" t="s">
        <v>2487</v>
      </c>
      <c r="D191" t="s">
        <v>347</v>
      </c>
      <c r="E191" t="s">
        <v>2488</v>
      </c>
      <c r="F191" t="s">
        <v>1844</v>
      </c>
      <c r="G191" t="s">
        <v>2489</v>
      </c>
      <c r="H191" t="s">
        <v>3667</v>
      </c>
      <c r="I191" t="s">
        <v>3668</v>
      </c>
      <c r="J191" t="str" cm="1">
        <f t="array" ref="J191">IF(SUM(COUNTIF(Text_Preprocessing291013[[#This Row],[full_text]],{"*makan siang gratis*";"*MBG*";"*makan gratis*";"*makan bergizi gratis*";"*makangratis*";"*makanan gratis*"})),"Relevan","Tidak Relevan")</f>
        <v>Relevan</v>
      </c>
    </row>
    <row r="192" spans="1:10" x14ac:dyDescent="0.35">
      <c r="A192" t="e">
        <f t="shared" si="2"/>
        <v>#REF!</v>
      </c>
      <c r="B192">
        <v>198</v>
      </c>
      <c r="C192" t="s">
        <v>2491</v>
      </c>
      <c r="D192" t="s">
        <v>349</v>
      </c>
      <c r="E192" t="s">
        <v>2492</v>
      </c>
      <c r="F192" t="s">
        <v>1596</v>
      </c>
      <c r="G192" t="s">
        <v>2493</v>
      </c>
      <c r="H192" t="s">
        <v>2493</v>
      </c>
      <c r="I192" t="s">
        <v>2494</v>
      </c>
      <c r="J192" t="str" cm="1">
        <f t="array" ref="J192">IF(SUM(COUNTIF(Text_Preprocessing291013[[#This Row],[full_text]],{"*makan siang gratis*";"*MBG*";"*makan gratis*";"*makan bergizi gratis*";"*makangratis*";"*makanan gratis*"})),"Relevan","Tidak Relevan")</f>
        <v>Relevan</v>
      </c>
    </row>
    <row r="193" spans="1:10" x14ac:dyDescent="0.35">
      <c r="A193" t="e">
        <f t="shared" si="2"/>
        <v>#REF!</v>
      </c>
      <c r="B193">
        <v>199</v>
      </c>
      <c r="C193" t="s">
        <v>2495</v>
      </c>
      <c r="D193" t="s">
        <v>76</v>
      </c>
      <c r="E193" t="s">
        <v>2496</v>
      </c>
      <c r="F193" t="s">
        <v>1794</v>
      </c>
      <c r="G193" t="s">
        <v>2497</v>
      </c>
      <c r="H193" t="s">
        <v>2497</v>
      </c>
      <c r="I193" t="s">
        <v>2498</v>
      </c>
      <c r="J193" t="str" cm="1">
        <f t="array" ref="J193">IF(SUM(COUNTIF(Text_Preprocessing291013[[#This Row],[full_text]],{"*makan siang gratis*";"*MBG*";"*makan gratis*";"*makan bergizi gratis*";"*makangratis*";"*makanan gratis*"})),"Relevan","Tidak Relevan")</f>
        <v>Relevan</v>
      </c>
    </row>
    <row r="194" spans="1:10" x14ac:dyDescent="0.35">
      <c r="A194" t="e">
        <f t="shared" si="2"/>
        <v>#REF!</v>
      </c>
      <c r="B194">
        <v>200</v>
      </c>
      <c r="C194" t="s">
        <v>2499</v>
      </c>
      <c r="D194" t="s">
        <v>352</v>
      </c>
      <c r="E194" t="s">
        <v>2500</v>
      </c>
      <c r="F194" t="s">
        <v>2312</v>
      </c>
      <c r="G194" t="s">
        <v>2501</v>
      </c>
      <c r="H194" t="s">
        <v>2501</v>
      </c>
      <c r="I194" t="s">
        <v>2502</v>
      </c>
      <c r="J194" t="str" cm="1">
        <f t="array" ref="J194">IF(SUM(COUNTIF(Text_Preprocessing291013[[#This Row],[full_text]],{"*makan siang gratis*";"*MBG*";"*makan gratis*";"*makan bergizi gratis*";"*makangratis*";"*makanan gratis*"})),"Relevan","Tidak Relevan")</f>
        <v>Relevan</v>
      </c>
    </row>
    <row r="195" spans="1:10" x14ac:dyDescent="0.35">
      <c r="A195" t="e">
        <f t="shared" ref="A195:A258" si="3">SUM(A194+1)</f>
        <v>#REF!</v>
      </c>
      <c r="B195">
        <v>201</v>
      </c>
      <c r="C195" t="s">
        <v>2503</v>
      </c>
      <c r="D195" t="s">
        <v>354</v>
      </c>
      <c r="E195" t="s">
        <v>2504</v>
      </c>
      <c r="F195" t="s">
        <v>2505</v>
      </c>
      <c r="G195" t="s">
        <v>2506</v>
      </c>
      <c r="H195" t="s">
        <v>2506</v>
      </c>
      <c r="I195" t="s">
        <v>2507</v>
      </c>
      <c r="J195" t="str" cm="1">
        <f t="array" ref="J195">IF(SUM(COUNTIF(Text_Preprocessing291013[[#This Row],[full_text]],{"*makan siang gratis*";"*MBG*";"*makan gratis*";"*makan bergizi gratis*";"*makangratis*";"*makanan gratis*"})),"Relevan","Tidak Relevan")</f>
        <v>Relevan</v>
      </c>
    </row>
    <row r="196" spans="1:10" x14ac:dyDescent="0.35">
      <c r="A196" t="e">
        <f t="shared" si="3"/>
        <v>#REF!</v>
      </c>
      <c r="B196">
        <v>202</v>
      </c>
      <c r="C196" t="s">
        <v>2508</v>
      </c>
      <c r="D196" t="s">
        <v>76</v>
      </c>
      <c r="E196" t="s">
        <v>2509</v>
      </c>
      <c r="F196" t="s">
        <v>2510</v>
      </c>
      <c r="G196" t="s">
        <v>2511</v>
      </c>
      <c r="H196" t="s">
        <v>2511</v>
      </c>
      <c r="I196" t="s">
        <v>2512</v>
      </c>
      <c r="J196" t="str" cm="1">
        <f t="array" ref="J196">IF(SUM(COUNTIF(Text_Preprocessing291013[[#This Row],[full_text]],{"*makan siang gratis*";"*MBG*";"*makan gratis*";"*makan bergizi gratis*";"*makangratis*";"*makanan gratis*"})),"Relevan","Tidak Relevan")</f>
        <v>Relevan</v>
      </c>
    </row>
    <row r="197" spans="1:10" x14ac:dyDescent="0.35">
      <c r="A197" t="e">
        <f t="shared" si="3"/>
        <v>#REF!</v>
      </c>
      <c r="B197">
        <v>203</v>
      </c>
      <c r="C197" t="s">
        <v>2513</v>
      </c>
      <c r="D197" t="s">
        <v>242</v>
      </c>
      <c r="E197" t="s">
        <v>2514</v>
      </c>
      <c r="F197" t="s">
        <v>2515</v>
      </c>
      <c r="G197" t="s">
        <v>2516</v>
      </c>
      <c r="H197" t="s">
        <v>2516</v>
      </c>
      <c r="I197" t="s">
        <v>2517</v>
      </c>
      <c r="J197" t="str" cm="1">
        <f t="array" ref="J197">IF(SUM(COUNTIF(Text_Preprocessing291013[[#This Row],[full_text]],{"*makan siang gratis*";"*MBG*";"*makan gratis*";"*makan bergizi gratis*";"*makangratis*";"*makanan gratis*"})),"Relevan","Tidak Relevan")</f>
        <v>Relevan</v>
      </c>
    </row>
    <row r="198" spans="1:10" x14ac:dyDescent="0.35">
      <c r="A198" t="e">
        <f t="shared" si="3"/>
        <v>#REF!</v>
      </c>
      <c r="B198">
        <v>204</v>
      </c>
      <c r="C198" t="s">
        <v>2518</v>
      </c>
      <c r="D198" t="s">
        <v>242</v>
      </c>
      <c r="E198" t="s">
        <v>2519</v>
      </c>
      <c r="F198" t="s">
        <v>1680</v>
      </c>
      <c r="G198" t="s">
        <v>2520</v>
      </c>
      <c r="H198" t="s">
        <v>2520</v>
      </c>
      <c r="I198" t="s">
        <v>2521</v>
      </c>
      <c r="J198" t="str" cm="1">
        <f t="array" ref="J198">IF(SUM(COUNTIF(Text_Preprocessing291013[[#This Row],[full_text]],{"*makan siang gratis*";"*MBG*";"*makan gratis*";"*makan bergizi gratis*";"*makangratis*";"*makanan gratis*"})),"Relevan","Tidak Relevan")</f>
        <v>Relevan</v>
      </c>
    </row>
    <row r="199" spans="1:10" x14ac:dyDescent="0.35">
      <c r="A199" t="e">
        <f t="shared" si="3"/>
        <v>#REF!</v>
      </c>
      <c r="B199">
        <v>205</v>
      </c>
      <c r="C199" t="s">
        <v>2522</v>
      </c>
      <c r="D199" t="s">
        <v>242</v>
      </c>
      <c r="E199" t="s">
        <v>2523</v>
      </c>
      <c r="F199" t="s">
        <v>2177</v>
      </c>
      <c r="G199" t="s">
        <v>2524</v>
      </c>
      <c r="H199" t="s">
        <v>2524</v>
      </c>
      <c r="I199" t="s">
        <v>2525</v>
      </c>
      <c r="J199" t="str" cm="1">
        <f t="array" ref="J199">IF(SUM(COUNTIF(Text_Preprocessing291013[[#This Row],[full_text]],{"*makan siang gratis*";"*MBG*";"*makan gratis*";"*makan bergizi gratis*";"*makangratis*";"*makanan gratis*"})),"Relevan","Tidak Relevan")</f>
        <v>Relevan</v>
      </c>
    </row>
    <row r="200" spans="1:10" x14ac:dyDescent="0.35">
      <c r="A200" t="e">
        <f t="shared" si="3"/>
        <v>#REF!</v>
      </c>
      <c r="B200">
        <v>206</v>
      </c>
      <c r="C200" t="s">
        <v>2526</v>
      </c>
      <c r="D200" t="s">
        <v>213</v>
      </c>
      <c r="E200" t="s">
        <v>2527</v>
      </c>
      <c r="F200" t="s">
        <v>2143</v>
      </c>
      <c r="G200" t="s">
        <v>2528</v>
      </c>
      <c r="H200" t="s">
        <v>2528</v>
      </c>
      <c r="I200" t="s">
        <v>2529</v>
      </c>
      <c r="J200" t="str" cm="1">
        <f t="array" ref="J200">IF(SUM(COUNTIF(Text_Preprocessing291013[[#This Row],[full_text]],{"*makan siang gratis*";"*MBG*";"*makan gratis*";"*makan bergizi gratis*";"*makangratis*";"*makanan gratis*"})),"Relevan","Tidak Relevan")</f>
        <v>Relevan</v>
      </c>
    </row>
    <row r="201" spans="1:10" x14ac:dyDescent="0.35">
      <c r="A201" t="e">
        <f t="shared" si="3"/>
        <v>#REF!</v>
      </c>
      <c r="B201">
        <v>207</v>
      </c>
      <c r="C201" t="s">
        <v>2530</v>
      </c>
      <c r="D201" t="s">
        <v>280</v>
      </c>
      <c r="E201" t="s">
        <v>2531</v>
      </c>
      <c r="F201" t="s">
        <v>1990</v>
      </c>
      <c r="G201" t="s">
        <v>2532</v>
      </c>
      <c r="H201" t="s">
        <v>2532</v>
      </c>
      <c r="I201" t="s">
        <v>2533</v>
      </c>
      <c r="J201" t="str" cm="1">
        <f t="array" ref="J201">IF(SUM(COUNTIF(Text_Preprocessing291013[[#This Row],[full_text]],{"*makan siang gratis*";"*MBG*";"*makan gratis*";"*makan bergizi gratis*";"*makangratis*";"*makanan gratis*"})),"Relevan","Tidak Relevan")</f>
        <v>Relevan</v>
      </c>
    </row>
    <row r="202" spans="1:10" x14ac:dyDescent="0.35">
      <c r="A202" t="e">
        <f t="shared" si="3"/>
        <v>#REF!</v>
      </c>
      <c r="B202">
        <v>208</v>
      </c>
      <c r="C202" t="s">
        <v>2534</v>
      </c>
      <c r="D202" t="s">
        <v>304</v>
      </c>
      <c r="E202" t="s">
        <v>2535</v>
      </c>
      <c r="F202" t="s">
        <v>2387</v>
      </c>
      <c r="G202" t="s">
        <v>2536</v>
      </c>
      <c r="H202" t="s">
        <v>2536</v>
      </c>
      <c r="I202" t="s">
        <v>2537</v>
      </c>
      <c r="J202" t="str" cm="1">
        <f t="array" ref="J202">IF(SUM(COUNTIF(Text_Preprocessing291013[[#This Row],[full_text]],{"*makan siang gratis*";"*MBG*";"*makan gratis*";"*makan bergizi gratis*";"*makangratis*";"*makanan gratis*"})),"Relevan","Tidak Relevan")</f>
        <v>Relevan</v>
      </c>
    </row>
    <row r="203" spans="1:10" x14ac:dyDescent="0.35">
      <c r="A203" t="e">
        <f t="shared" si="3"/>
        <v>#REF!</v>
      </c>
      <c r="B203">
        <v>209</v>
      </c>
      <c r="C203" t="s">
        <v>2538</v>
      </c>
      <c r="D203" t="s">
        <v>253</v>
      </c>
      <c r="E203" t="s">
        <v>2539</v>
      </c>
      <c r="F203" t="s">
        <v>2109</v>
      </c>
      <c r="G203" t="s">
        <v>2540</v>
      </c>
      <c r="H203" t="s">
        <v>2540</v>
      </c>
      <c r="I203" t="s">
        <v>2541</v>
      </c>
      <c r="J203" t="str" cm="1">
        <f t="array" ref="J203">IF(SUM(COUNTIF(Text_Preprocessing291013[[#This Row],[full_text]],{"*makan siang gratis*";"*MBG*";"*makan gratis*";"*makan bergizi gratis*";"*makangratis*";"*makanan gratis*"})),"Relevan","Tidak Relevan")</f>
        <v>Relevan</v>
      </c>
    </row>
    <row r="204" spans="1:10" x14ac:dyDescent="0.35">
      <c r="A204" t="e">
        <f t="shared" si="3"/>
        <v>#REF!</v>
      </c>
      <c r="B204">
        <v>210</v>
      </c>
      <c r="C204" t="s">
        <v>2542</v>
      </c>
      <c r="D204" t="s">
        <v>274</v>
      </c>
      <c r="E204" t="s">
        <v>2543</v>
      </c>
      <c r="F204" t="s">
        <v>2510</v>
      </c>
      <c r="G204" t="s">
        <v>2544</v>
      </c>
      <c r="H204" t="s">
        <v>2545</v>
      </c>
      <c r="I204" t="s">
        <v>2546</v>
      </c>
      <c r="J204" t="str" cm="1">
        <f t="array" ref="J204">IF(SUM(COUNTIF(Text_Preprocessing291013[[#This Row],[full_text]],{"*makan siang gratis*";"*MBG*";"*makan gratis*";"*makan bergizi gratis*";"*makangratis*";"*makanan gratis*"})),"Relevan","Tidak Relevan")</f>
        <v>Relevan</v>
      </c>
    </row>
    <row r="205" spans="1:10" x14ac:dyDescent="0.35">
      <c r="A205" t="e">
        <f t="shared" si="3"/>
        <v>#REF!</v>
      </c>
      <c r="B205">
        <v>211</v>
      </c>
      <c r="C205" t="s">
        <v>2547</v>
      </c>
      <c r="D205" t="s">
        <v>365</v>
      </c>
      <c r="E205" t="s">
        <v>2548</v>
      </c>
      <c r="F205" t="s">
        <v>1692</v>
      </c>
      <c r="G205" t="s">
        <v>2549</v>
      </c>
      <c r="H205" t="s">
        <v>2549</v>
      </c>
      <c r="I205" t="s">
        <v>2550</v>
      </c>
      <c r="J205" t="str" cm="1">
        <f t="array" ref="J205">IF(SUM(COUNTIF(Text_Preprocessing291013[[#This Row],[full_text]],{"*makan siang gratis*";"*MBG*";"*makan gratis*";"*makan bergizi gratis*";"*makangratis*";"*makanan gratis*"})),"Relevan","Tidak Relevan")</f>
        <v>Relevan</v>
      </c>
    </row>
    <row r="206" spans="1:10" x14ac:dyDescent="0.35">
      <c r="A206" t="e">
        <f t="shared" si="3"/>
        <v>#REF!</v>
      </c>
      <c r="B206">
        <v>212</v>
      </c>
      <c r="C206" t="s">
        <v>2551</v>
      </c>
      <c r="D206" t="s">
        <v>367</v>
      </c>
      <c r="E206" t="s">
        <v>2552</v>
      </c>
      <c r="F206" t="s">
        <v>2553</v>
      </c>
      <c r="G206" t="s">
        <v>2554</v>
      </c>
      <c r="H206" t="s">
        <v>3669</v>
      </c>
      <c r="I206" t="s">
        <v>3670</v>
      </c>
      <c r="J206" t="str" cm="1">
        <f t="array" ref="J206">IF(SUM(COUNTIF(Text_Preprocessing291013[[#This Row],[full_text]],{"*makan siang gratis*";"*MBG*";"*makan gratis*";"*makan bergizi gratis*";"*makangratis*";"*makanan gratis*"})),"Relevan","Tidak Relevan")</f>
        <v>Relevan</v>
      </c>
    </row>
    <row r="207" spans="1:10" x14ac:dyDescent="0.35">
      <c r="A207" t="e">
        <f t="shared" si="3"/>
        <v>#REF!</v>
      </c>
      <c r="B207">
        <v>213</v>
      </c>
      <c r="C207" t="s">
        <v>2556</v>
      </c>
      <c r="D207" t="s">
        <v>369</v>
      </c>
      <c r="E207" t="s">
        <v>2557</v>
      </c>
      <c r="F207" t="s">
        <v>2558</v>
      </c>
      <c r="G207" t="s">
        <v>2559</v>
      </c>
      <c r="H207" t="s">
        <v>2559</v>
      </c>
      <c r="I207" t="s">
        <v>2560</v>
      </c>
      <c r="J207" t="str" cm="1">
        <f t="array" ref="J207">IF(SUM(COUNTIF(Text_Preprocessing291013[[#This Row],[full_text]],{"*makan siang gratis*";"*MBG*";"*makan gratis*";"*makan bergizi gratis*";"*makangratis*";"*makanan gratis*"})),"Relevan","Tidak Relevan")</f>
        <v>Relevan</v>
      </c>
    </row>
    <row r="208" spans="1:10" x14ac:dyDescent="0.35">
      <c r="A208" t="e">
        <f t="shared" si="3"/>
        <v>#REF!</v>
      </c>
      <c r="B208">
        <v>214</v>
      </c>
      <c r="C208" t="s">
        <v>2561</v>
      </c>
      <c r="D208" t="s">
        <v>371</v>
      </c>
      <c r="E208" t="s">
        <v>2562</v>
      </c>
      <c r="F208" t="s">
        <v>1596</v>
      </c>
      <c r="G208" t="s">
        <v>2563</v>
      </c>
      <c r="H208" t="s">
        <v>2563</v>
      </c>
      <c r="I208" t="s">
        <v>2564</v>
      </c>
      <c r="J208" t="str" cm="1">
        <f t="array" ref="J208">IF(SUM(COUNTIF(Text_Preprocessing291013[[#This Row],[full_text]],{"*makan siang gratis*";"*MBG*";"*makan gratis*";"*makan bergizi gratis*";"*makangratis*";"*makanan gratis*"})),"Relevan","Tidak Relevan")</f>
        <v>Relevan</v>
      </c>
    </row>
    <row r="209" spans="1:10" x14ac:dyDescent="0.35">
      <c r="A209" t="e">
        <f t="shared" si="3"/>
        <v>#REF!</v>
      </c>
      <c r="B209">
        <v>215</v>
      </c>
      <c r="C209" t="s">
        <v>2565</v>
      </c>
      <c r="D209" t="s">
        <v>373</v>
      </c>
      <c r="E209" t="s">
        <v>2566</v>
      </c>
      <c r="F209" t="s">
        <v>1775</v>
      </c>
      <c r="G209" t="s">
        <v>2567</v>
      </c>
      <c r="H209" t="s">
        <v>3671</v>
      </c>
      <c r="I209" t="s">
        <v>3672</v>
      </c>
      <c r="J209" t="str" cm="1">
        <f t="array" ref="J209">IF(SUM(COUNTIF(Text_Preprocessing291013[[#This Row],[full_text]],{"*makan siang gratis*";"*MBG*";"*makan gratis*";"*makan bergizi gratis*";"*makangratis*";"*makanan gratis*"})),"Relevan","Tidak Relevan")</f>
        <v>Relevan</v>
      </c>
    </row>
    <row r="210" spans="1:10" x14ac:dyDescent="0.35">
      <c r="A210" t="e">
        <f t="shared" si="3"/>
        <v>#REF!</v>
      </c>
      <c r="B210">
        <v>216</v>
      </c>
      <c r="C210" t="s">
        <v>2569</v>
      </c>
      <c r="D210" t="s">
        <v>375</v>
      </c>
      <c r="E210" t="s">
        <v>2570</v>
      </c>
      <c r="F210" t="s">
        <v>1663</v>
      </c>
      <c r="G210" t="s">
        <v>2571</v>
      </c>
      <c r="H210" t="s">
        <v>2571</v>
      </c>
      <c r="I210" t="s">
        <v>2572</v>
      </c>
      <c r="J210" t="str" cm="1">
        <f t="array" ref="J210">IF(SUM(COUNTIF(Text_Preprocessing291013[[#This Row],[full_text]],{"*makan siang gratis*";"*MBG*";"*makan gratis*";"*makan bergizi gratis*";"*makangratis*";"*makanan gratis*"})),"Relevan","Tidak Relevan")</f>
        <v>Relevan</v>
      </c>
    </row>
    <row r="211" spans="1:10" x14ac:dyDescent="0.35">
      <c r="A211" t="e">
        <f t="shared" si="3"/>
        <v>#REF!</v>
      </c>
      <c r="B211">
        <v>217</v>
      </c>
      <c r="C211" t="s">
        <v>2573</v>
      </c>
      <c r="D211" t="s">
        <v>377</v>
      </c>
      <c r="E211" t="s">
        <v>2574</v>
      </c>
      <c r="F211" t="s">
        <v>1764</v>
      </c>
      <c r="G211" t="s">
        <v>2575</v>
      </c>
      <c r="H211" t="s">
        <v>2575</v>
      </c>
      <c r="I211" t="s">
        <v>2576</v>
      </c>
      <c r="J211" t="str" cm="1">
        <f t="array" ref="J211">IF(SUM(COUNTIF(Text_Preprocessing291013[[#This Row],[full_text]],{"*makan siang gratis*";"*MBG*";"*makan gratis*";"*makan bergizi gratis*";"*makangratis*";"*makanan gratis*"})),"Relevan","Tidak Relevan")</f>
        <v>Relevan</v>
      </c>
    </row>
    <row r="212" spans="1:10" x14ac:dyDescent="0.35">
      <c r="A212" t="e">
        <f t="shared" si="3"/>
        <v>#REF!</v>
      </c>
      <c r="B212">
        <v>218</v>
      </c>
      <c r="C212" t="s">
        <v>2577</v>
      </c>
      <c r="D212" t="s">
        <v>379</v>
      </c>
      <c r="E212" t="s">
        <v>2578</v>
      </c>
      <c r="F212" t="s">
        <v>2134</v>
      </c>
      <c r="G212" t="s">
        <v>2579</v>
      </c>
      <c r="H212" t="s">
        <v>2579</v>
      </c>
      <c r="I212" t="s">
        <v>2580</v>
      </c>
      <c r="J212" t="str" cm="1">
        <f t="array" ref="J212">IF(SUM(COUNTIF(Text_Preprocessing291013[[#This Row],[full_text]],{"*makan siang gratis*";"*MBG*";"*makan gratis*";"*makan bergizi gratis*";"*makangratis*";"*makanan gratis*"})),"Relevan","Tidak Relevan")</f>
        <v>Relevan</v>
      </c>
    </row>
    <row r="213" spans="1:10" x14ac:dyDescent="0.35">
      <c r="A213" t="e">
        <f t="shared" si="3"/>
        <v>#REF!</v>
      </c>
      <c r="B213">
        <v>219</v>
      </c>
      <c r="C213" t="s">
        <v>2581</v>
      </c>
      <c r="D213" t="s">
        <v>76</v>
      </c>
      <c r="E213" t="s">
        <v>2582</v>
      </c>
      <c r="F213" t="s">
        <v>2114</v>
      </c>
      <c r="G213" t="s">
        <v>2583</v>
      </c>
      <c r="H213" t="s">
        <v>2583</v>
      </c>
      <c r="I213" t="s">
        <v>2584</v>
      </c>
      <c r="J213" t="str" cm="1">
        <f t="array" ref="J213">IF(SUM(COUNTIF(Text_Preprocessing291013[[#This Row],[full_text]],{"*makan siang gratis*";"*MBG*";"*makan gratis*";"*makan bergizi gratis*";"*makangratis*";"*makanan gratis*"})),"Relevan","Tidak Relevan")</f>
        <v>Relevan</v>
      </c>
    </row>
    <row r="214" spans="1:10" x14ac:dyDescent="0.35">
      <c r="A214" t="e">
        <f t="shared" si="3"/>
        <v>#REF!</v>
      </c>
      <c r="B214">
        <v>220</v>
      </c>
      <c r="C214" t="s">
        <v>2585</v>
      </c>
      <c r="D214" t="s">
        <v>382</v>
      </c>
      <c r="E214" t="s">
        <v>2586</v>
      </c>
      <c r="F214" t="s">
        <v>2114</v>
      </c>
      <c r="G214" t="s">
        <v>2587</v>
      </c>
      <c r="H214" t="s">
        <v>2587</v>
      </c>
      <c r="I214" t="s">
        <v>2588</v>
      </c>
      <c r="J214" t="str" cm="1">
        <f t="array" ref="J214">IF(SUM(COUNTIF(Text_Preprocessing291013[[#This Row],[full_text]],{"*makan siang gratis*";"*MBG*";"*makan gratis*";"*makan bergizi gratis*";"*makangratis*";"*makanan gratis*"})),"Relevan","Tidak Relevan")</f>
        <v>Relevan</v>
      </c>
    </row>
    <row r="215" spans="1:10" x14ac:dyDescent="0.35">
      <c r="A215" t="e">
        <f t="shared" si="3"/>
        <v>#REF!</v>
      </c>
      <c r="B215">
        <v>221</v>
      </c>
      <c r="C215" t="s">
        <v>2589</v>
      </c>
      <c r="D215" t="s">
        <v>326</v>
      </c>
      <c r="E215" t="s">
        <v>2590</v>
      </c>
      <c r="F215" t="s">
        <v>1999</v>
      </c>
      <c r="G215" t="s">
        <v>2591</v>
      </c>
      <c r="H215" t="s">
        <v>2591</v>
      </c>
      <c r="I215" t="s">
        <v>2592</v>
      </c>
      <c r="J215" t="str" cm="1">
        <f t="array" ref="J215">IF(SUM(COUNTIF(Text_Preprocessing291013[[#This Row],[full_text]],{"*makan siang gratis*";"*MBG*";"*makan gratis*";"*makan bergizi gratis*";"*makangratis*";"*makanan gratis*"})),"Relevan","Tidak Relevan")</f>
        <v>Relevan</v>
      </c>
    </row>
    <row r="216" spans="1:10" x14ac:dyDescent="0.35">
      <c r="A216" t="e">
        <f t="shared" si="3"/>
        <v>#REF!</v>
      </c>
      <c r="B216">
        <v>222</v>
      </c>
      <c r="C216" t="s">
        <v>2593</v>
      </c>
      <c r="D216" t="s">
        <v>4</v>
      </c>
      <c r="E216" t="s">
        <v>2594</v>
      </c>
      <c r="F216" t="s">
        <v>1601</v>
      </c>
      <c r="G216" t="s">
        <v>2595</v>
      </c>
      <c r="H216" t="s">
        <v>2595</v>
      </c>
      <c r="I216" t="s">
        <v>2596</v>
      </c>
      <c r="J216" t="str" cm="1">
        <f t="array" ref="J216">IF(SUM(COUNTIF(Text_Preprocessing291013[[#This Row],[full_text]],{"*makan siang gratis*";"*MBG*";"*makan gratis*";"*makan bergizi gratis*";"*makangratis*";"*makanan gratis*"})),"Relevan","Tidak Relevan")</f>
        <v>Relevan</v>
      </c>
    </row>
    <row r="217" spans="1:10" x14ac:dyDescent="0.35">
      <c r="A217" t="e">
        <f t="shared" si="3"/>
        <v>#REF!</v>
      </c>
      <c r="B217">
        <v>226</v>
      </c>
      <c r="C217" t="s">
        <v>2597</v>
      </c>
      <c r="D217" t="s">
        <v>242</v>
      </c>
      <c r="E217" t="s">
        <v>2598</v>
      </c>
      <c r="F217" t="s">
        <v>2599</v>
      </c>
      <c r="G217" t="s">
        <v>2600</v>
      </c>
      <c r="H217" t="s">
        <v>2600</v>
      </c>
      <c r="I217" t="s">
        <v>2601</v>
      </c>
      <c r="J217" t="str" cm="1">
        <f t="array" ref="J217">IF(SUM(COUNTIF(Text_Preprocessing291013[[#This Row],[full_text]],{"*makan siang gratis*";"*MBG*";"*makan gratis*";"*makan bergizi gratis*";"*makangratis*";"*makanan gratis*"})),"Relevan","Tidak Relevan")</f>
        <v>Relevan</v>
      </c>
    </row>
    <row r="218" spans="1:10" x14ac:dyDescent="0.35">
      <c r="A218" t="e">
        <f t="shared" si="3"/>
        <v>#REF!</v>
      </c>
      <c r="B218">
        <v>227</v>
      </c>
      <c r="C218" t="s">
        <v>2602</v>
      </c>
      <c r="D218" t="s">
        <v>280</v>
      </c>
      <c r="E218" t="s">
        <v>2603</v>
      </c>
      <c r="F218" t="s">
        <v>2604</v>
      </c>
      <c r="G218" t="s">
        <v>2605</v>
      </c>
      <c r="H218" t="s">
        <v>2605</v>
      </c>
      <c r="I218" t="s">
        <v>2606</v>
      </c>
      <c r="J218" t="str" cm="1">
        <f t="array" ref="J218">IF(SUM(COUNTIF(Text_Preprocessing291013[[#This Row],[full_text]],{"*makan siang gratis*";"*MBG*";"*makan gratis*";"*makan bergizi gratis*";"*makangratis*";"*makanan gratis*"})),"Relevan","Tidak Relevan")</f>
        <v>Relevan</v>
      </c>
    </row>
    <row r="219" spans="1:10" x14ac:dyDescent="0.35">
      <c r="A219" t="e">
        <f t="shared" si="3"/>
        <v>#REF!</v>
      </c>
      <c r="B219">
        <v>228</v>
      </c>
      <c r="C219" t="s">
        <v>2607</v>
      </c>
      <c r="D219" t="s">
        <v>391</v>
      </c>
      <c r="E219" t="s">
        <v>2608</v>
      </c>
      <c r="F219" t="s">
        <v>2609</v>
      </c>
      <c r="G219" t="s">
        <v>2610</v>
      </c>
      <c r="H219" t="s">
        <v>3673</v>
      </c>
      <c r="I219" t="s">
        <v>3674</v>
      </c>
      <c r="J219" t="str" cm="1">
        <f t="array" ref="J219">IF(SUM(COUNTIF(Text_Preprocessing291013[[#This Row],[full_text]],{"*makan siang gratis*";"*MBG*";"*makan gratis*";"*makan bergizi gratis*";"*makangratis*";"*makanan gratis*"})),"Relevan","Tidak Relevan")</f>
        <v>Relevan</v>
      </c>
    </row>
    <row r="220" spans="1:10" x14ac:dyDescent="0.35">
      <c r="A220" t="e">
        <f t="shared" si="3"/>
        <v>#REF!</v>
      </c>
      <c r="B220">
        <v>229</v>
      </c>
      <c r="C220" t="s">
        <v>2612</v>
      </c>
      <c r="D220" t="s">
        <v>393</v>
      </c>
      <c r="E220" t="s">
        <v>2613</v>
      </c>
      <c r="F220" t="s">
        <v>2272</v>
      </c>
      <c r="G220" t="s">
        <v>2614</v>
      </c>
      <c r="H220" t="s">
        <v>3675</v>
      </c>
      <c r="I220" t="s">
        <v>3676</v>
      </c>
      <c r="J220" t="str" cm="1">
        <f t="array" ref="J220">IF(SUM(COUNTIF(Text_Preprocessing291013[[#This Row],[full_text]],{"*makan siang gratis*";"*MBG*";"*makan gratis*";"*makan bergizi gratis*";"*makangratis*";"*makanan gratis*"})),"Relevan","Tidak Relevan")</f>
        <v>Relevan</v>
      </c>
    </row>
    <row r="221" spans="1:10" x14ac:dyDescent="0.35">
      <c r="A221" t="e">
        <f t="shared" si="3"/>
        <v>#REF!</v>
      </c>
      <c r="B221">
        <v>230</v>
      </c>
      <c r="C221" t="s">
        <v>2616</v>
      </c>
      <c r="D221" t="s">
        <v>263</v>
      </c>
      <c r="E221" t="s">
        <v>2617</v>
      </c>
      <c r="F221" t="s">
        <v>2618</v>
      </c>
      <c r="G221" t="s">
        <v>2619</v>
      </c>
      <c r="H221" t="s">
        <v>3677</v>
      </c>
      <c r="I221" t="s">
        <v>3678</v>
      </c>
      <c r="J221" t="str" cm="1">
        <f t="array" ref="J221">IF(SUM(COUNTIF(Text_Preprocessing291013[[#This Row],[full_text]],{"*makan siang gratis*";"*MBG*";"*makan gratis*";"*makan bergizi gratis*";"*makangratis*";"*makanan gratis*"})),"Relevan","Tidak Relevan")</f>
        <v>Relevan</v>
      </c>
    </row>
    <row r="222" spans="1:10" x14ac:dyDescent="0.35">
      <c r="A222" t="e">
        <f t="shared" si="3"/>
        <v>#REF!</v>
      </c>
      <c r="B222">
        <v>231</v>
      </c>
      <c r="C222" t="s">
        <v>2621</v>
      </c>
      <c r="D222" t="s">
        <v>396</v>
      </c>
      <c r="E222" t="s">
        <v>2622</v>
      </c>
      <c r="F222" t="s">
        <v>2008</v>
      </c>
      <c r="G222" t="s">
        <v>2623</v>
      </c>
      <c r="H222" t="s">
        <v>3679</v>
      </c>
      <c r="I222" t="s">
        <v>3680</v>
      </c>
      <c r="J222" t="str" cm="1">
        <f t="array" ref="J222">IF(SUM(COUNTIF(Text_Preprocessing291013[[#This Row],[full_text]],{"*makan siang gratis*";"*MBG*";"*makan gratis*";"*makan bergizi gratis*";"*makangratis*";"*makanan gratis*"})),"Relevan","Tidak Relevan")</f>
        <v>Relevan</v>
      </c>
    </row>
    <row r="223" spans="1:10" x14ac:dyDescent="0.35">
      <c r="A223" t="e">
        <f t="shared" si="3"/>
        <v>#REF!</v>
      </c>
      <c r="B223">
        <v>232</v>
      </c>
      <c r="C223" t="s">
        <v>2625</v>
      </c>
      <c r="D223" t="s">
        <v>304</v>
      </c>
      <c r="E223" t="s">
        <v>2626</v>
      </c>
      <c r="F223" t="s">
        <v>2627</v>
      </c>
      <c r="G223" t="s">
        <v>2628</v>
      </c>
      <c r="H223" t="s">
        <v>2628</v>
      </c>
      <c r="I223" t="s">
        <v>2629</v>
      </c>
      <c r="J223" t="str" cm="1">
        <f t="array" ref="J223">IF(SUM(COUNTIF(Text_Preprocessing291013[[#This Row],[full_text]],{"*makan siang gratis*";"*MBG*";"*makan gratis*";"*makan bergizi gratis*";"*makangratis*";"*makanan gratis*"})),"Relevan","Tidak Relevan")</f>
        <v>Relevan</v>
      </c>
    </row>
    <row r="224" spans="1:10" x14ac:dyDescent="0.35">
      <c r="A224" t="e">
        <f t="shared" si="3"/>
        <v>#REF!</v>
      </c>
      <c r="B224">
        <v>233</v>
      </c>
      <c r="C224" t="s">
        <v>2630</v>
      </c>
      <c r="D224" t="s">
        <v>213</v>
      </c>
      <c r="E224" t="s">
        <v>2631</v>
      </c>
      <c r="F224" t="s">
        <v>1785</v>
      </c>
      <c r="G224" t="s">
        <v>2632</v>
      </c>
      <c r="H224" t="s">
        <v>3681</v>
      </c>
      <c r="I224" t="s">
        <v>3682</v>
      </c>
      <c r="J224" t="str" cm="1">
        <f t="array" ref="J224">IF(SUM(COUNTIF(Text_Preprocessing291013[[#This Row],[full_text]],{"*makan siang gratis*";"*MBG*";"*makan gratis*";"*makan bergizi gratis*";"*makangratis*";"*makanan gratis*"})),"Relevan","Tidak Relevan")</f>
        <v>Relevan</v>
      </c>
    </row>
    <row r="225" spans="1:10" x14ac:dyDescent="0.35">
      <c r="A225" t="e">
        <f t="shared" si="3"/>
        <v>#REF!</v>
      </c>
      <c r="B225">
        <v>234</v>
      </c>
      <c r="C225" t="s">
        <v>2634</v>
      </c>
      <c r="D225" t="s">
        <v>259</v>
      </c>
      <c r="E225" t="s">
        <v>2635</v>
      </c>
      <c r="F225" t="s">
        <v>2186</v>
      </c>
      <c r="G225" t="s">
        <v>2636</v>
      </c>
      <c r="H225" t="s">
        <v>3683</v>
      </c>
      <c r="I225" t="s">
        <v>3684</v>
      </c>
      <c r="J225" t="str" cm="1">
        <f t="array" ref="J225">IF(SUM(COUNTIF(Text_Preprocessing291013[[#This Row],[full_text]],{"*makan siang gratis*";"*MBG*";"*makan gratis*";"*makan bergizi gratis*";"*makangratis*";"*makanan gratis*"})),"Relevan","Tidak Relevan")</f>
        <v>Relevan</v>
      </c>
    </row>
    <row r="226" spans="1:10" x14ac:dyDescent="0.35">
      <c r="A226" t="e">
        <f t="shared" si="3"/>
        <v>#REF!</v>
      </c>
      <c r="B226">
        <v>235</v>
      </c>
      <c r="C226" t="s">
        <v>2638</v>
      </c>
      <c r="D226" t="s">
        <v>401</v>
      </c>
      <c r="E226" t="s">
        <v>2639</v>
      </c>
      <c r="F226" t="s">
        <v>2640</v>
      </c>
      <c r="G226" t="s">
        <v>2641</v>
      </c>
      <c r="H226" t="s">
        <v>2642</v>
      </c>
      <c r="I226" t="s">
        <v>2643</v>
      </c>
      <c r="J226" t="str" cm="1">
        <f t="array" ref="J226">IF(SUM(COUNTIF(Text_Preprocessing291013[[#This Row],[full_text]],{"*makan siang gratis*";"*MBG*";"*makan gratis*";"*makan bergizi gratis*";"*makangratis*";"*makanan gratis*"})),"Relevan","Tidak Relevan")</f>
        <v>Relevan</v>
      </c>
    </row>
    <row r="227" spans="1:10" x14ac:dyDescent="0.35">
      <c r="A227" t="e">
        <f t="shared" si="3"/>
        <v>#REF!</v>
      </c>
      <c r="B227">
        <v>236</v>
      </c>
      <c r="C227" t="s">
        <v>2644</v>
      </c>
      <c r="D227" t="s">
        <v>403</v>
      </c>
      <c r="E227" t="s">
        <v>2645</v>
      </c>
      <c r="F227" t="s">
        <v>2092</v>
      </c>
      <c r="G227" t="s">
        <v>2646</v>
      </c>
      <c r="H227" t="s">
        <v>2646</v>
      </c>
      <c r="I227" t="s">
        <v>2647</v>
      </c>
      <c r="J227" t="str" cm="1">
        <f t="array" ref="J227">IF(SUM(COUNTIF(Text_Preprocessing291013[[#This Row],[full_text]],{"*makan siang gratis*";"*MBG*";"*makan gratis*";"*makan bergizi gratis*";"*makangratis*";"*makanan gratis*"})),"Relevan","Tidak Relevan")</f>
        <v>Relevan</v>
      </c>
    </row>
    <row r="228" spans="1:10" x14ac:dyDescent="0.35">
      <c r="A228" t="e">
        <f t="shared" si="3"/>
        <v>#REF!</v>
      </c>
      <c r="B228">
        <v>237</v>
      </c>
      <c r="C228" t="s">
        <v>2648</v>
      </c>
      <c r="D228" t="s">
        <v>405</v>
      </c>
      <c r="E228" t="s">
        <v>2649</v>
      </c>
      <c r="F228" t="s">
        <v>2558</v>
      </c>
      <c r="G228" t="s">
        <v>2650</v>
      </c>
      <c r="H228" t="s">
        <v>2650</v>
      </c>
      <c r="I228" t="s">
        <v>2651</v>
      </c>
      <c r="J228" t="str" cm="1">
        <f t="array" ref="J228">IF(SUM(COUNTIF(Text_Preprocessing291013[[#This Row],[full_text]],{"*makan siang gratis*";"*MBG*";"*makan gratis*";"*makan bergizi gratis*";"*makangratis*";"*makanan gratis*"})),"Relevan","Tidak Relevan")</f>
        <v>Relevan</v>
      </c>
    </row>
    <row r="229" spans="1:10" x14ac:dyDescent="0.35">
      <c r="A229" t="e">
        <f t="shared" si="3"/>
        <v>#REF!</v>
      </c>
      <c r="B229">
        <v>238</v>
      </c>
      <c r="C229" t="s">
        <v>2652</v>
      </c>
      <c r="D229" t="s">
        <v>407</v>
      </c>
      <c r="E229" t="s">
        <v>2653</v>
      </c>
      <c r="F229" t="s">
        <v>1686</v>
      </c>
      <c r="G229" t="s">
        <v>2654</v>
      </c>
      <c r="H229" t="s">
        <v>2654</v>
      </c>
      <c r="I229" t="s">
        <v>2655</v>
      </c>
      <c r="J229" t="str" cm="1">
        <f t="array" ref="J229">IF(SUM(COUNTIF(Text_Preprocessing291013[[#This Row],[full_text]],{"*makan siang gratis*";"*MBG*";"*makan gratis*";"*makan bergizi gratis*";"*makangratis*";"*makanan gratis*"})),"Relevan","Tidak Relevan")</f>
        <v>Relevan</v>
      </c>
    </row>
    <row r="230" spans="1:10" x14ac:dyDescent="0.35">
      <c r="A230" t="e">
        <f t="shared" si="3"/>
        <v>#REF!</v>
      </c>
      <c r="B230">
        <v>239</v>
      </c>
      <c r="C230" t="s">
        <v>2656</v>
      </c>
      <c r="D230" t="s">
        <v>409</v>
      </c>
      <c r="E230" t="s">
        <v>2657</v>
      </c>
      <c r="F230" t="s">
        <v>2627</v>
      </c>
      <c r="G230" t="s">
        <v>2658</v>
      </c>
      <c r="H230" t="s">
        <v>2658</v>
      </c>
      <c r="I230" t="s">
        <v>2659</v>
      </c>
      <c r="J230" t="str" cm="1">
        <f t="array" ref="J230">IF(SUM(COUNTIF(Text_Preprocessing291013[[#This Row],[full_text]],{"*makan siang gratis*";"*MBG*";"*makan gratis*";"*makan bergizi gratis*";"*makangratis*";"*makanan gratis*"})),"Relevan","Tidak Relevan")</f>
        <v>Relevan</v>
      </c>
    </row>
    <row r="231" spans="1:10" x14ac:dyDescent="0.35">
      <c r="A231" t="e">
        <f t="shared" si="3"/>
        <v>#REF!</v>
      </c>
      <c r="B231">
        <v>240</v>
      </c>
      <c r="C231" t="s">
        <v>2660</v>
      </c>
      <c r="D231" t="s">
        <v>411</v>
      </c>
      <c r="E231" t="s">
        <v>2661</v>
      </c>
      <c r="F231" t="s">
        <v>1799</v>
      </c>
      <c r="G231" t="s">
        <v>2662</v>
      </c>
      <c r="H231" t="s">
        <v>2663</v>
      </c>
      <c r="I231" t="s">
        <v>2664</v>
      </c>
      <c r="J231" t="str" cm="1">
        <f t="array" ref="J231">IF(SUM(COUNTIF(Text_Preprocessing291013[[#This Row],[full_text]],{"*makan siang gratis*";"*MBG*";"*makan gratis*";"*makan bergizi gratis*";"*makangratis*";"*makanan gratis*"})),"Relevan","Tidak Relevan")</f>
        <v>Relevan</v>
      </c>
    </row>
    <row r="232" spans="1:10" x14ac:dyDescent="0.35">
      <c r="A232" t="e">
        <f t="shared" si="3"/>
        <v>#REF!</v>
      </c>
      <c r="B232">
        <v>241</v>
      </c>
      <c r="C232" t="s">
        <v>2665</v>
      </c>
      <c r="D232" t="s">
        <v>413</v>
      </c>
      <c r="E232" t="s">
        <v>2666</v>
      </c>
      <c r="F232" t="s">
        <v>1730</v>
      </c>
      <c r="G232" t="s">
        <v>2667</v>
      </c>
      <c r="H232" t="s">
        <v>2667</v>
      </c>
      <c r="I232" t="s">
        <v>2668</v>
      </c>
      <c r="J232" t="str" cm="1">
        <f t="array" ref="J232">IF(SUM(COUNTIF(Text_Preprocessing291013[[#This Row],[full_text]],{"*makan siang gratis*";"*MBG*";"*makan gratis*";"*makan bergizi gratis*";"*makangratis*";"*makanan gratis*"})),"Relevan","Tidak Relevan")</f>
        <v>Relevan</v>
      </c>
    </row>
    <row r="233" spans="1:10" x14ac:dyDescent="0.35">
      <c r="A233" t="e">
        <f t="shared" si="3"/>
        <v>#REF!</v>
      </c>
      <c r="B233">
        <v>242</v>
      </c>
      <c r="C233" t="s">
        <v>2669</v>
      </c>
      <c r="D233" t="s">
        <v>133</v>
      </c>
      <c r="E233" t="s">
        <v>2670</v>
      </c>
      <c r="F233" t="s">
        <v>2092</v>
      </c>
      <c r="G233" t="s">
        <v>2671</v>
      </c>
      <c r="H233" t="s">
        <v>2671</v>
      </c>
      <c r="I233" t="s">
        <v>2672</v>
      </c>
      <c r="J233" t="str" cm="1">
        <f t="array" ref="J233">IF(SUM(COUNTIF(Text_Preprocessing291013[[#This Row],[full_text]],{"*makan siang gratis*";"*MBG*";"*makan gratis*";"*makan bergizi gratis*";"*makangratis*";"*makanan gratis*"})),"Relevan","Tidak Relevan")</f>
        <v>Relevan</v>
      </c>
    </row>
    <row r="234" spans="1:10" x14ac:dyDescent="0.35">
      <c r="A234" t="e">
        <f t="shared" si="3"/>
        <v>#REF!</v>
      </c>
      <c r="B234">
        <v>243</v>
      </c>
      <c r="C234" t="s">
        <v>2673</v>
      </c>
      <c r="D234" t="s">
        <v>382</v>
      </c>
      <c r="E234" t="s">
        <v>2674</v>
      </c>
      <c r="F234" t="s">
        <v>1607</v>
      </c>
      <c r="G234" t="s">
        <v>2675</v>
      </c>
      <c r="H234" t="s">
        <v>2675</v>
      </c>
      <c r="I234" t="s">
        <v>2676</v>
      </c>
      <c r="J234" t="str" cm="1">
        <f t="array" ref="J234">IF(SUM(COUNTIF(Text_Preprocessing291013[[#This Row],[full_text]],{"*makan siang gratis*";"*MBG*";"*makan gratis*";"*makan bergizi gratis*";"*makangratis*";"*makanan gratis*"})),"Relevan","Tidak Relevan")</f>
        <v>Relevan</v>
      </c>
    </row>
    <row r="235" spans="1:10" x14ac:dyDescent="0.35">
      <c r="A235" t="e">
        <f t="shared" si="3"/>
        <v>#REF!</v>
      </c>
      <c r="B235">
        <v>244</v>
      </c>
      <c r="C235" t="s">
        <v>2677</v>
      </c>
      <c r="D235" t="s">
        <v>417</v>
      </c>
      <c r="E235" t="s">
        <v>2678</v>
      </c>
      <c r="F235" t="s">
        <v>2679</v>
      </c>
      <c r="G235" t="s">
        <v>2680</v>
      </c>
      <c r="H235" t="s">
        <v>2680</v>
      </c>
      <c r="I235" t="s">
        <v>2681</v>
      </c>
      <c r="J235" t="str" cm="1">
        <f t="array" ref="J235">IF(SUM(COUNTIF(Text_Preprocessing291013[[#This Row],[full_text]],{"*makan siang gratis*";"*MBG*";"*makan gratis*";"*makan bergizi gratis*";"*makangratis*";"*makanan gratis*"})),"Relevan","Tidak Relevan")</f>
        <v>Relevan</v>
      </c>
    </row>
    <row r="236" spans="1:10" x14ac:dyDescent="0.35">
      <c r="A236" t="e">
        <f t="shared" si="3"/>
        <v>#REF!</v>
      </c>
      <c r="B236">
        <v>245</v>
      </c>
      <c r="C236" t="s">
        <v>2682</v>
      </c>
      <c r="D236" t="s">
        <v>419</v>
      </c>
      <c r="E236" t="s">
        <v>2683</v>
      </c>
      <c r="F236" t="s">
        <v>2684</v>
      </c>
      <c r="G236" t="s">
        <v>2685</v>
      </c>
      <c r="H236" t="s">
        <v>2686</v>
      </c>
      <c r="I236" t="s">
        <v>2687</v>
      </c>
      <c r="J236" t="str" cm="1">
        <f t="array" ref="J236">IF(SUM(COUNTIF(Text_Preprocessing291013[[#This Row],[full_text]],{"*makan siang gratis*";"*MBG*";"*makan gratis*";"*makan bergizi gratis*";"*makangratis*";"*makanan gratis*"})),"Relevan","Tidak Relevan")</f>
        <v>Relevan</v>
      </c>
    </row>
    <row r="237" spans="1:10" x14ac:dyDescent="0.35">
      <c r="A237" t="e">
        <f t="shared" si="3"/>
        <v>#REF!</v>
      </c>
      <c r="B237">
        <v>246</v>
      </c>
      <c r="C237" t="s">
        <v>2688</v>
      </c>
      <c r="D237" t="s">
        <v>421</v>
      </c>
      <c r="E237" t="s">
        <v>2689</v>
      </c>
      <c r="F237" t="s">
        <v>2690</v>
      </c>
      <c r="G237" t="s">
        <v>2691</v>
      </c>
      <c r="H237" t="s">
        <v>2691</v>
      </c>
      <c r="I237" t="s">
        <v>2692</v>
      </c>
      <c r="J237" t="str" cm="1">
        <f t="array" ref="J237">IF(SUM(COUNTIF(Text_Preprocessing291013[[#This Row],[full_text]],{"*makan siang gratis*";"*MBG*";"*makan gratis*";"*makan bergizi gratis*";"*makangratis*";"*makanan gratis*"})),"Relevan","Tidak Relevan")</f>
        <v>Relevan</v>
      </c>
    </row>
    <row r="238" spans="1:10" x14ac:dyDescent="0.35">
      <c r="A238" t="e">
        <f t="shared" si="3"/>
        <v>#REF!</v>
      </c>
      <c r="B238">
        <v>247</v>
      </c>
      <c r="C238" t="s">
        <v>2693</v>
      </c>
      <c r="D238" t="s">
        <v>379</v>
      </c>
      <c r="E238" t="s">
        <v>2694</v>
      </c>
      <c r="F238" t="s">
        <v>2082</v>
      </c>
      <c r="G238" t="s">
        <v>2695</v>
      </c>
      <c r="H238" t="s">
        <v>2695</v>
      </c>
      <c r="I238" t="s">
        <v>2696</v>
      </c>
      <c r="J238" t="str" cm="1">
        <f t="array" ref="J238">IF(SUM(COUNTIF(Text_Preprocessing291013[[#This Row],[full_text]],{"*makan siang gratis*";"*MBG*";"*makan gratis*";"*makan bergizi gratis*";"*makangratis*";"*makanan gratis*"})),"Relevan","Tidak Relevan")</f>
        <v>Relevan</v>
      </c>
    </row>
    <row r="239" spans="1:10" x14ac:dyDescent="0.35">
      <c r="A239" t="e">
        <f t="shared" si="3"/>
        <v>#REF!</v>
      </c>
      <c r="B239">
        <v>248</v>
      </c>
      <c r="C239" t="s">
        <v>2697</v>
      </c>
      <c r="D239" t="s">
        <v>411</v>
      </c>
      <c r="E239" t="s">
        <v>2698</v>
      </c>
      <c r="F239" t="s">
        <v>1613</v>
      </c>
      <c r="G239" t="s">
        <v>2699</v>
      </c>
      <c r="H239" t="s">
        <v>2700</v>
      </c>
      <c r="I239" t="s">
        <v>2701</v>
      </c>
      <c r="J239" t="str" cm="1">
        <f t="array" ref="J239">IF(SUM(COUNTIF(Text_Preprocessing291013[[#This Row],[full_text]],{"*makan siang gratis*";"*MBG*";"*makan gratis*";"*makan bergizi gratis*";"*makangratis*";"*makanan gratis*"})),"Relevan","Tidak Relevan")</f>
        <v>Relevan</v>
      </c>
    </row>
    <row r="240" spans="1:10" x14ac:dyDescent="0.35">
      <c r="A240" t="e">
        <f t="shared" si="3"/>
        <v>#REF!</v>
      </c>
      <c r="B240">
        <v>249</v>
      </c>
      <c r="C240" t="s">
        <v>2702</v>
      </c>
      <c r="D240" t="s">
        <v>133</v>
      </c>
      <c r="E240" t="s">
        <v>2703</v>
      </c>
      <c r="F240" t="s">
        <v>2335</v>
      </c>
      <c r="G240" t="s">
        <v>2704</v>
      </c>
      <c r="H240" t="s">
        <v>2704</v>
      </c>
      <c r="I240" t="s">
        <v>2705</v>
      </c>
      <c r="J240" t="str" cm="1">
        <f t="array" ref="J240">IF(SUM(COUNTIF(Text_Preprocessing291013[[#This Row],[full_text]],{"*makan siang gratis*";"*MBG*";"*makan gratis*";"*makan bergizi gratis*";"*makangratis*";"*makanan gratis*"})),"Relevan","Tidak Relevan")</f>
        <v>Relevan</v>
      </c>
    </row>
    <row r="241" spans="1:10" x14ac:dyDescent="0.35">
      <c r="A241" t="e">
        <f t="shared" si="3"/>
        <v>#REF!</v>
      </c>
      <c r="B241">
        <v>250</v>
      </c>
      <c r="C241" t="s">
        <v>2706</v>
      </c>
      <c r="D241" t="s">
        <v>426</v>
      </c>
      <c r="E241" t="s">
        <v>2707</v>
      </c>
      <c r="F241" t="s">
        <v>1809</v>
      </c>
      <c r="G241" t="s">
        <v>2707</v>
      </c>
      <c r="H241" t="s">
        <v>2707</v>
      </c>
      <c r="I241" t="s">
        <v>2708</v>
      </c>
      <c r="J241" t="str" cm="1">
        <f t="array" ref="J241">IF(SUM(COUNTIF(Text_Preprocessing291013[[#This Row],[full_text]],{"*makan siang gratis*";"*MBG*";"*makan gratis*";"*makan bergizi gratis*";"*makangratis*";"*makanan gratis*"})),"Relevan","Tidak Relevan")</f>
        <v>Relevan</v>
      </c>
    </row>
    <row r="242" spans="1:10" x14ac:dyDescent="0.35">
      <c r="A242" t="e">
        <f t="shared" si="3"/>
        <v>#REF!</v>
      </c>
      <c r="B242">
        <v>251</v>
      </c>
      <c r="C242" t="s">
        <v>2709</v>
      </c>
      <c r="D242" t="s">
        <v>428</v>
      </c>
      <c r="E242" t="s">
        <v>2710</v>
      </c>
      <c r="F242" t="s">
        <v>2092</v>
      </c>
      <c r="G242" t="s">
        <v>2711</v>
      </c>
      <c r="H242" t="s">
        <v>2711</v>
      </c>
      <c r="I242" t="s">
        <v>2712</v>
      </c>
      <c r="J242" t="str" cm="1">
        <f t="array" ref="J242">IF(SUM(COUNTIF(Text_Preprocessing291013[[#This Row],[full_text]],{"*makan siang gratis*";"*MBG*";"*makan gratis*";"*makan bergizi gratis*";"*makangratis*";"*makanan gratis*"})),"Relevan","Tidak Relevan")</f>
        <v>Relevan</v>
      </c>
    </row>
    <row r="243" spans="1:10" x14ac:dyDescent="0.35">
      <c r="A243" t="e">
        <f t="shared" si="3"/>
        <v>#REF!</v>
      </c>
      <c r="B243">
        <v>252</v>
      </c>
      <c r="C243" t="s">
        <v>2713</v>
      </c>
      <c r="D243" t="s">
        <v>137</v>
      </c>
      <c r="E243" t="s">
        <v>2714</v>
      </c>
      <c r="F243" t="s">
        <v>1999</v>
      </c>
      <c r="G243" t="s">
        <v>2715</v>
      </c>
      <c r="H243" t="s">
        <v>2715</v>
      </c>
      <c r="I243" t="s">
        <v>2716</v>
      </c>
      <c r="J243" t="str" cm="1">
        <f t="array" ref="J243">IF(SUM(COUNTIF(Text_Preprocessing291013[[#This Row],[full_text]],{"*makan siang gratis*";"*MBG*";"*makan gratis*";"*makan bergizi gratis*";"*makangratis*";"*makanan gratis*"})),"Relevan","Tidak Relevan")</f>
        <v>Relevan</v>
      </c>
    </row>
    <row r="244" spans="1:10" x14ac:dyDescent="0.35">
      <c r="A244" t="e">
        <f t="shared" si="3"/>
        <v>#REF!</v>
      </c>
      <c r="B244">
        <v>253</v>
      </c>
      <c r="C244" t="s">
        <v>2717</v>
      </c>
      <c r="D244" t="s">
        <v>431</v>
      </c>
      <c r="E244" t="s">
        <v>2718</v>
      </c>
      <c r="F244" t="s">
        <v>1799</v>
      </c>
      <c r="G244" t="s">
        <v>2719</v>
      </c>
      <c r="H244" t="s">
        <v>2719</v>
      </c>
      <c r="I244" t="s">
        <v>2720</v>
      </c>
      <c r="J244" t="str" cm="1">
        <f t="array" ref="J244">IF(SUM(COUNTIF(Text_Preprocessing291013[[#This Row],[full_text]],{"*makan siang gratis*";"*MBG*";"*makan gratis*";"*makan bergizi gratis*";"*makangratis*";"*makanan gratis*"})),"Relevan","Tidak Relevan")</f>
        <v>Relevan</v>
      </c>
    </row>
    <row r="245" spans="1:10" x14ac:dyDescent="0.35">
      <c r="A245" t="e">
        <f t="shared" si="3"/>
        <v>#REF!</v>
      </c>
      <c r="B245">
        <v>254</v>
      </c>
      <c r="C245" t="s">
        <v>2721</v>
      </c>
      <c r="D245" t="s">
        <v>433</v>
      </c>
      <c r="E245" t="s">
        <v>2722</v>
      </c>
      <c r="F245" t="s">
        <v>2177</v>
      </c>
      <c r="G245" t="s">
        <v>2723</v>
      </c>
      <c r="H245" t="s">
        <v>2723</v>
      </c>
      <c r="I245" t="s">
        <v>2724</v>
      </c>
      <c r="J245" t="str" cm="1">
        <f t="array" ref="J245">IF(SUM(COUNTIF(Text_Preprocessing291013[[#This Row],[full_text]],{"*makan siang gratis*";"*MBG*";"*makan gratis*";"*makan bergizi gratis*";"*makangratis*";"*makanan gratis*"})),"Relevan","Tidak Relevan")</f>
        <v>Relevan</v>
      </c>
    </row>
    <row r="246" spans="1:10" x14ac:dyDescent="0.35">
      <c r="A246" t="e">
        <f t="shared" si="3"/>
        <v>#REF!</v>
      </c>
      <c r="B246">
        <v>255</v>
      </c>
      <c r="C246" t="s">
        <v>2725</v>
      </c>
      <c r="D246" t="s">
        <v>435</v>
      </c>
      <c r="E246" t="s">
        <v>2726</v>
      </c>
      <c r="F246" t="s">
        <v>1758</v>
      </c>
      <c r="G246" t="s">
        <v>2727</v>
      </c>
      <c r="H246" t="s">
        <v>2727</v>
      </c>
      <c r="I246" t="s">
        <v>2728</v>
      </c>
      <c r="J246" t="str" cm="1">
        <f t="array" ref="J246">IF(SUM(COUNTIF(Text_Preprocessing291013[[#This Row],[full_text]],{"*makan siang gratis*";"*MBG*";"*makan gratis*";"*makan bergizi gratis*";"*makangratis*";"*makanan gratis*"})),"Relevan","Tidak Relevan")</f>
        <v>Relevan</v>
      </c>
    </row>
    <row r="247" spans="1:10" x14ac:dyDescent="0.35">
      <c r="A247" t="e">
        <f t="shared" si="3"/>
        <v>#REF!</v>
      </c>
      <c r="B247">
        <v>256</v>
      </c>
      <c r="C247" t="s">
        <v>2729</v>
      </c>
      <c r="D247" t="s">
        <v>437</v>
      </c>
      <c r="E247" t="s">
        <v>2730</v>
      </c>
      <c r="F247" t="s">
        <v>1629</v>
      </c>
      <c r="G247" t="s">
        <v>2731</v>
      </c>
      <c r="H247" t="s">
        <v>2731</v>
      </c>
      <c r="I247" t="s">
        <v>2732</v>
      </c>
      <c r="J247" t="str" cm="1">
        <f t="array" ref="J247">IF(SUM(COUNTIF(Text_Preprocessing291013[[#This Row],[full_text]],{"*makan siang gratis*";"*MBG*";"*makan gratis*";"*makan bergizi gratis*";"*makangratis*";"*makanan gratis*"})),"Relevan","Tidak Relevan")</f>
        <v>Relevan</v>
      </c>
    </row>
    <row r="248" spans="1:10" x14ac:dyDescent="0.35">
      <c r="A248" t="e">
        <f t="shared" si="3"/>
        <v>#REF!</v>
      </c>
      <c r="B248">
        <v>257</v>
      </c>
      <c r="C248" t="s">
        <v>2733</v>
      </c>
      <c r="D248" t="s">
        <v>91</v>
      </c>
      <c r="E248" t="s">
        <v>2734</v>
      </c>
      <c r="F248" t="s">
        <v>2335</v>
      </c>
      <c r="G248" t="s">
        <v>2735</v>
      </c>
      <c r="H248" t="s">
        <v>2735</v>
      </c>
      <c r="I248" t="s">
        <v>2736</v>
      </c>
      <c r="J248" t="str" cm="1">
        <f t="array" ref="J248">IF(SUM(COUNTIF(Text_Preprocessing291013[[#This Row],[full_text]],{"*makan siang gratis*";"*MBG*";"*makan gratis*";"*makan bergizi gratis*";"*makangratis*";"*makanan gratis*"})),"Relevan","Tidak Relevan")</f>
        <v>Relevan</v>
      </c>
    </row>
    <row r="249" spans="1:10" x14ac:dyDescent="0.35">
      <c r="A249" t="e">
        <f t="shared" si="3"/>
        <v>#REF!</v>
      </c>
      <c r="B249">
        <v>258</v>
      </c>
      <c r="C249" t="s">
        <v>2737</v>
      </c>
      <c r="D249" t="s">
        <v>440</v>
      </c>
      <c r="E249" t="s">
        <v>2738</v>
      </c>
      <c r="F249" t="s">
        <v>1674</v>
      </c>
      <c r="G249" t="s">
        <v>2739</v>
      </c>
      <c r="H249" t="s">
        <v>2739</v>
      </c>
      <c r="I249" t="s">
        <v>2740</v>
      </c>
      <c r="J249" t="str" cm="1">
        <f t="array" ref="J249">IF(SUM(COUNTIF(Text_Preprocessing291013[[#This Row],[full_text]],{"*makan siang gratis*";"*MBG*";"*makan gratis*";"*makan bergizi gratis*";"*makangratis*";"*makanan gratis*"})),"Relevan","Tidak Relevan")</f>
        <v>Relevan</v>
      </c>
    </row>
    <row r="250" spans="1:10" x14ac:dyDescent="0.35">
      <c r="A250" t="e">
        <f t="shared" si="3"/>
        <v>#REF!</v>
      </c>
      <c r="B250">
        <v>259</v>
      </c>
      <c r="C250" t="s">
        <v>2741</v>
      </c>
      <c r="D250" t="s">
        <v>442</v>
      </c>
      <c r="E250" t="s">
        <v>2742</v>
      </c>
      <c r="F250" t="s">
        <v>2743</v>
      </c>
      <c r="G250" t="s">
        <v>2744</v>
      </c>
      <c r="H250" t="s">
        <v>2744</v>
      </c>
      <c r="I250" t="s">
        <v>2745</v>
      </c>
      <c r="J250" t="str" cm="1">
        <f t="array" ref="J250">IF(SUM(COUNTIF(Text_Preprocessing291013[[#This Row],[full_text]],{"*makan siang gratis*";"*MBG*";"*makan gratis*";"*makan bergizi gratis*";"*makangratis*";"*makanan gratis*"})),"Relevan","Tidak Relevan")</f>
        <v>Relevan</v>
      </c>
    </row>
    <row r="251" spans="1:10" x14ac:dyDescent="0.35">
      <c r="A251" t="e">
        <f t="shared" si="3"/>
        <v>#REF!</v>
      </c>
      <c r="B251">
        <v>260</v>
      </c>
      <c r="C251" t="s">
        <v>2746</v>
      </c>
      <c r="D251" t="s">
        <v>442</v>
      </c>
      <c r="E251" t="s">
        <v>2747</v>
      </c>
      <c r="F251" t="s">
        <v>2748</v>
      </c>
      <c r="G251" t="s">
        <v>2749</v>
      </c>
      <c r="H251" t="s">
        <v>2749</v>
      </c>
      <c r="I251" t="s">
        <v>2750</v>
      </c>
      <c r="J251" t="str" cm="1">
        <f t="array" ref="J251">IF(SUM(COUNTIF(Text_Preprocessing291013[[#This Row],[full_text]],{"*makan siang gratis*";"*MBG*";"*makan gratis*";"*makan bergizi gratis*";"*makangratis*";"*makanan gratis*"})),"Relevan","Tidak Relevan")</f>
        <v>Relevan</v>
      </c>
    </row>
    <row r="252" spans="1:10" x14ac:dyDescent="0.35">
      <c r="A252" t="e">
        <f t="shared" si="3"/>
        <v>#REF!</v>
      </c>
      <c r="B252">
        <v>261</v>
      </c>
      <c r="C252" t="s">
        <v>2751</v>
      </c>
      <c r="D252" t="s">
        <v>445</v>
      </c>
      <c r="E252" t="s">
        <v>2752</v>
      </c>
      <c r="F252" t="s">
        <v>1680</v>
      </c>
      <c r="G252" t="s">
        <v>2753</v>
      </c>
      <c r="H252" t="s">
        <v>2754</v>
      </c>
      <c r="I252" t="s">
        <v>2755</v>
      </c>
      <c r="J252" t="str" cm="1">
        <f t="array" ref="J252">IF(SUM(COUNTIF(Text_Preprocessing291013[[#This Row],[full_text]],{"*makan siang gratis*";"*MBG*";"*makan gratis*";"*makan bergizi gratis*";"*makangratis*";"*makanan gratis*"})),"Relevan","Tidak Relevan")</f>
        <v>Relevan</v>
      </c>
    </row>
    <row r="253" spans="1:10" x14ac:dyDescent="0.35">
      <c r="A253" t="e">
        <f t="shared" si="3"/>
        <v>#REF!</v>
      </c>
      <c r="B253">
        <v>262</v>
      </c>
      <c r="C253" t="s">
        <v>2756</v>
      </c>
      <c r="D253" t="s">
        <v>447</v>
      </c>
      <c r="E253" t="s">
        <v>2757</v>
      </c>
      <c r="F253" t="s">
        <v>2609</v>
      </c>
      <c r="G253" t="s">
        <v>2758</v>
      </c>
      <c r="H253" t="s">
        <v>2758</v>
      </c>
      <c r="I253" t="s">
        <v>2759</v>
      </c>
      <c r="J253" t="str" cm="1">
        <f t="array" ref="J253">IF(SUM(COUNTIF(Text_Preprocessing291013[[#This Row],[full_text]],{"*makan siang gratis*";"*MBG*";"*makan gratis*";"*makan bergizi gratis*";"*makangratis*";"*makanan gratis*"})),"Relevan","Tidak Relevan")</f>
        <v>Relevan</v>
      </c>
    </row>
    <row r="254" spans="1:10" x14ac:dyDescent="0.35">
      <c r="A254" t="e">
        <f t="shared" si="3"/>
        <v>#REF!</v>
      </c>
      <c r="B254">
        <v>263</v>
      </c>
      <c r="C254" t="s">
        <v>2760</v>
      </c>
      <c r="D254" t="s">
        <v>449</v>
      </c>
      <c r="E254" t="s">
        <v>2761</v>
      </c>
      <c r="F254" t="s">
        <v>2553</v>
      </c>
      <c r="G254" t="s">
        <v>2762</v>
      </c>
      <c r="H254" t="s">
        <v>2762</v>
      </c>
      <c r="I254" t="s">
        <v>2763</v>
      </c>
      <c r="J254" t="str" cm="1">
        <f t="array" ref="J254">IF(SUM(COUNTIF(Text_Preprocessing291013[[#This Row],[full_text]],{"*makan siang gratis*";"*MBG*";"*makan gratis*";"*makan bergizi gratis*";"*makangratis*";"*makanan gratis*"})),"Relevan","Tidak Relevan")</f>
        <v>Relevan</v>
      </c>
    </row>
    <row r="255" spans="1:10" x14ac:dyDescent="0.35">
      <c r="A255" t="e">
        <f t="shared" si="3"/>
        <v>#REF!</v>
      </c>
      <c r="B255">
        <v>264</v>
      </c>
      <c r="C255" t="s">
        <v>2764</v>
      </c>
      <c r="D255" t="s">
        <v>451</v>
      </c>
      <c r="E255" t="s">
        <v>2765</v>
      </c>
      <c r="F255" t="s">
        <v>2069</v>
      </c>
      <c r="G255" t="s">
        <v>2766</v>
      </c>
      <c r="H255" t="s">
        <v>2766</v>
      </c>
      <c r="I255" t="s">
        <v>2767</v>
      </c>
      <c r="J255" t="str" cm="1">
        <f t="array" ref="J255">IF(SUM(COUNTIF(Text_Preprocessing291013[[#This Row],[full_text]],{"*makan siang gratis*";"*MBG*";"*makan gratis*";"*makan bergizi gratis*";"*makangratis*";"*makanan gratis*"})),"Relevan","Tidak Relevan")</f>
        <v>Relevan</v>
      </c>
    </row>
    <row r="256" spans="1:10" x14ac:dyDescent="0.35">
      <c r="A256" t="e">
        <f t="shared" si="3"/>
        <v>#REF!</v>
      </c>
      <c r="B256">
        <v>265</v>
      </c>
      <c r="C256" t="s">
        <v>2768</v>
      </c>
      <c r="D256" t="s">
        <v>102</v>
      </c>
      <c r="E256" t="s">
        <v>2769</v>
      </c>
      <c r="F256" t="s">
        <v>2558</v>
      </c>
      <c r="G256" t="s">
        <v>2770</v>
      </c>
      <c r="H256" t="s">
        <v>3685</v>
      </c>
      <c r="I256" t="s">
        <v>3686</v>
      </c>
      <c r="J256" t="str" cm="1">
        <f t="array" ref="J256">IF(SUM(COUNTIF(Text_Preprocessing291013[[#This Row],[full_text]],{"*makan siang gratis*";"*MBG*";"*makan gratis*";"*makan bergizi gratis*";"*makangratis*";"*makanan gratis*"})),"Relevan","Tidak Relevan")</f>
        <v>Relevan</v>
      </c>
    </row>
    <row r="257" spans="1:10" x14ac:dyDescent="0.35">
      <c r="A257" t="e">
        <f t="shared" si="3"/>
        <v>#REF!</v>
      </c>
      <c r="B257">
        <v>266</v>
      </c>
      <c r="C257" t="s">
        <v>2772</v>
      </c>
      <c r="D257" t="s">
        <v>454</v>
      </c>
      <c r="E257" t="s">
        <v>2773</v>
      </c>
      <c r="F257" t="s">
        <v>2558</v>
      </c>
      <c r="G257" t="s">
        <v>2774</v>
      </c>
      <c r="H257" t="s">
        <v>2774</v>
      </c>
      <c r="I257" t="s">
        <v>2775</v>
      </c>
      <c r="J257" t="str" cm="1">
        <f t="array" ref="J257">IF(SUM(COUNTIF(Text_Preprocessing291013[[#This Row],[full_text]],{"*makan siang gratis*";"*MBG*";"*makan gratis*";"*makan bergizi gratis*";"*makangratis*";"*makanan gratis*"})),"Relevan","Tidak Relevan")</f>
        <v>Relevan</v>
      </c>
    </row>
    <row r="258" spans="1:10" x14ac:dyDescent="0.35">
      <c r="A258" t="e">
        <f t="shared" si="3"/>
        <v>#REF!</v>
      </c>
      <c r="B258">
        <v>267</v>
      </c>
      <c r="C258" t="s">
        <v>2776</v>
      </c>
      <c r="D258" t="s">
        <v>456</v>
      </c>
      <c r="E258" t="s">
        <v>2777</v>
      </c>
      <c r="F258" t="s">
        <v>2074</v>
      </c>
      <c r="G258" t="s">
        <v>2778</v>
      </c>
      <c r="H258" t="s">
        <v>2778</v>
      </c>
      <c r="I258" t="s">
        <v>2779</v>
      </c>
      <c r="J258" t="str" cm="1">
        <f t="array" ref="J258">IF(SUM(COUNTIF(Text_Preprocessing291013[[#This Row],[full_text]],{"*makan siang gratis*";"*MBG*";"*makan gratis*";"*makan bergizi gratis*";"*makangratis*";"*makanan gratis*"})),"Relevan","Tidak Relevan")</f>
        <v>Relevan</v>
      </c>
    </row>
    <row r="259" spans="1:10" x14ac:dyDescent="0.35">
      <c r="A259" t="e">
        <f t="shared" ref="A259:A321" si="4">SUM(A258+1)</f>
        <v>#REF!</v>
      </c>
      <c r="B259">
        <v>268</v>
      </c>
      <c r="C259" t="s">
        <v>2780</v>
      </c>
      <c r="D259" t="s">
        <v>458</v>
      </c>
      <c r="E259" t="s">
        <v>2781</v>
      </c>
      <c r="F259" t="s">
        <v>2782</v>
      </c>
      <c r="G259" t="s">
        <v>2783</v>
      </c>
      <c r="H259" t="s">
        <v>2784</v>
      </c>
      <c r="I259" t="s">
        <v>2785</v>
      </c>
      <c r="J259" t="str" cm="1">
        <f t="array" ref="J259">IF(SUM(COUNTIF(Text_Preprocessing291013[[#This Row],[full_text]],{"*makan siang gratis*";"*MBG*";"*makan gratis*";"*makan bergizi gratis*";"*makangratis*";"*makanan gratis*"})),"Relevan","Tidak Relevan")</f>
        <v>Relevan</v>
      </c>
    </row>
    <row r="260" spans="1:10" x14ac:dyDescent="0.35">
      <c r="A260" t="e">
        <f t="shared" si="4"/>
        <v>#REF!</v>
      </c>
      <c r="B260">
        <v>269</v>
      </c>
      <c r="C260" t="s">
        <v>2786</v>
      </c>
      <c r="D260" t="s">
        <v>460</v>
      </c>
      <c r="E260" t="s">
        <v>2787</v>
      </c>
      <c r="F260" t="s">
        <v>1692</v>
      </c>
      <c r="G260" t="s">
        <v>2788</v>
      </c>
      <c r="H260" t="s">
        <v>2788</v>
      </c>
      <c r="I260" t="s">
        <v>2789</v>
      </c>
      <c r="J260" t="str" cm="1">
        <f t="array" ref="J260">IF(SUM(COUNTIF(Text_Preprocessing291013[[#This Row],[full_text]],{"*makan siang gratis*";"*MBG*";"*makan gratis*";"*makan bergizi gratis*";"*makangratis*";"*makanan gratis*"})),"Relevan","Tidak Relevan")</f>
        <v>Relevan</v>
      </c>
    </row>
    <row r="261" spans="1:10" x14ac:dyDescent="0.35">
      <c r="A261" t="e">
        <f t="shared" si="4"/>
        <v>#REF!</v>
      </c>
      <c r="B261">
        <v>270</v>
      </c>
      <c r="C261" t="s">
        <v>2790</v>
      </c>
      <c r="D261" t="s">
        <v>442</v>
      </c>
      <c r="E261" t="s">
        <v>2791</v>
      </c>
      <c r="F261" t="s">
        <v>2782</v>
      </c>
      <c r="G261" t="s">
        <v>2792</v>
      </c>
      <c r="H261" t="s">
        <v>2792</v>
      </c>
      <c r="I261" t="s">
        <v>2793</v>
      </c>
      <c r="J261" t="str" cm="1">
        <f t="array" ref="J261">IF(SUM(COUNTIF(Text_Preprocessing291013[[#This Row],[full_text]],{"*makan siang gratis*";"*MBG*";"*makan gratis*";"*makan bergizi gratis*";"*makangratis*";"*makanan gratis*"})),"Relevan","Tidak Relevan")</f>
        <v>Relevan</v>
      </c>
    </row>
    <row r="262" spans="1:10" x14ac:dyDescent="0.35">
      <c r="A262" t="e">
        <f t="shared" si="4"/>
        <v>#REF!</v>
      </c>
      <c r="B262">
        <v>271</v>
      </c>
      <c r="C262" t="s">
        <v>2794</v>
      </c>
      <c r="D262" t="s">
        <v>463</v>
      </c>
      <c r="E262" t="s">
        <v>2795</v>
      </c>
      <c r="F262" t="s">
        <v>2796</v>
      </c>
      <c r="G262" t="s">
        <v>2797</v>
      </c>
      <c r="H262" t="s">
        <v>2797</v>
      </c>
      <c r="I262" t="s">
        <v>2798</v>
      </c>
      <c r="J262" t="str" cm="1">
        <f t="array" ref="J262">IF(SUM(COUNTIF(Text_Preprocessing291013[[#This Row],[full_text]],{"*makan siang gratis*";"*MBG*";"*makan gratis*";"*makan bergizi gratis*";"*makangratis*";"*makanan gratis*"})),"Relevan","Tidak Relevan")</f>
        <v>Relevan</v>
      </c>
    </row>
    <row r="263" spans="1:10" x14ac:dyDescent="0.35">
      <c r="A263" t="e">
        <f t="shared" si="4"/>
        <v>#REF!</v>
      </c>
      <c r="B263">
        <v>272</v>
      </c>
      <c r="C263" t="s">
        <v>2799</v>
      </c>
      <c r="D263" t="s">
        <v>463</v>
      </c>
      <c r="E263" t="s">
        <v>2800</v>
      </c>
      <c r="F263" t="s">
        <v>2558</v>
      </c>
      <c r="G263" t="s">
        <v>2801</v>
      </c>
      <c r="H263" t="s">
        <v>2802</v>
      </c>
      <c r="I263" t="s">
        <v>2803</v>
      </c>
      <c r="J263" t="str" cm="1">
        <f t="array" ref="J263">IF(SUM(COUNTIF(Text_Preprocessing291013[[#This Row],[full_text]],{"*makan siang gratis*";"*MBG*";"*makan gratis*";"*makan bergizi gratis*";"*makangratis*";"*makanan gratis*"})),"Relevan","Tidak Relevan")</f>
        <v>Relevan</v>
      </c>
    </row>
    <row r="264" spans="1:10" x14ac:dyDescent="0.35">
      <c r="A264" t="e">
        <f t="shared" si="4"/>
        <v>#REF!</v>
      </c>
      <c r="B264">
        <v>273</v>
      </c>
      <c r="C264" t="s">
        <v>2804</v>
      </c>
      <c r="D264" t="s">
        <v>379</v>
      </c>
      <c r="E264" t="s">
        <v>2805</v>
      </c>
      <c r="F264" t="s">
        <v>2806</v>
      </c>
      <c r="G264" t="s">
        <v>2807</v>
      </c>
      <c r="H264" t="s">
        <v>2807</v>
      </c>
      <c r="I264" t="s">
        <v>2808</v>
      </c>
      <c r="J264" t="str" cm="1">
        <f t="array" ref="J264">IF(SUM(COUNTIF(Text_Preprocessing291013[[#This Row],[full_text]],{"*makan siang gratis*";"*MBG*";"*makan gratis*";"*makan bergizi gratis*";"*makangratis*";"*makanan gratis*"})),"Relevan","Tidak Relevan")</f>
        <v>Relevan</v>
      </c>
    </row>
    <row r="265" spans="1:10" x14ac:dyDescent="0.35">
      <c r="A265" t="e">
        <f t="shared" si="4"/>
        <v>#REF!</v>
      </c>
      <c r="B265">
        <v>274</v>
      </c>
      <c r="C265" t="s">
        <v>2809</v>
      </c>
      <c r="D265" t="s">
        <v>467</v>
      </c>
      <c r="E265" t="s">
        <v>2810</v>
      </c>
      <c r="F265" t="s">
        <v>1893</v>
      </c>
      <c r="G265" t="s">
        <v>2811</v>
      </c>
      <c r="H265" t="s">
        <v>2812</v>
      </c>
      <c r="I265" t="s">
        <v>2813</v>
      </c>
      <c r="J265" t="str" cm="1">
        <f t="array" ref="J265">IF(SUM(COUNTIF(Text_Preprocessing291013[[#This Row],[full_text]],{"*makan siang gratis*";"*MBG*";"*makan gratis*";"*makan bergizi gratis*";"*makangratis*";"*makanan gratis*"})),"Relevan","Tidak Relevan")</f>
        <v>Relevan</v>
      </c>
    </row>
    <row r="266" spans="1:10" x14ac:dyDescent="0.35">
      <c r="A266" t="e">
        <f>SUM(#REF!+1)</f>
        <v>#REF!</v>
      </c>
      <c r="B266">
        <v>276</v>
      </c>
      <c r="C266" t="s">
        <v>2819</v>
      </c>
      <c r="D266" t="s">
        <v>470</v>
      </c>
      <c r="E266" t="s">
        <v>2820</v>
      </c>
      <c r="F266" t="s">
        <v>2609</v>
      </c>
      <c r="G266" t="s">
        <v>2821</v>
      </c>
      <c r="H266" t="s">
        <v>3687</v>
      </c>
      <c r="I266" t="s">
        <v>3688</v>
      </c>
      <c r="J266" t="str" cm="1">
        <f t="array" ref="J266">IF(SUM(COUNTIF(Text_Preprocessing291013[[#This Row],[full_text]],{"*makan siang gratis*";"*MBG*";"*makan gratis*";"*makan bergizi gratis*";"*makangratis*";"*makanan gratis*"})),"Relevan","Tidak Relevan")</f>
        <v>Relevan</v>
      </c>
    </row>
    <row r="267" spans="1:10" x14ac:dyDescent="0.35">
      <c r="A267" t="e">
        <f t="shared" si="4"/>
        <v>#REF!</v>
      </c>
      <c r="B267">
        <v>277</v>
      </c>
      <c r="C267" t="s">
        <v>2824</v>
      </c>
      <c r="D267" t="s">
        <v>472</v>
      </c>
      <c r="E267" t="s">
        <v>2825</v>
      </c>
      <c r="F267" t="s">
        <v>2253</v>
      </c>
      <c r="G267" t="s">
        <v>2826</v>
      </c>
      <c r="H267" t="s">
        <v>2826</v>
      </c>
      <c r="I267" t="s">
        <v>2827</v>
      </c>
      <c r="J267" t="str" cm="1">
        <f t="array" ref="J267">IF(SUM(COUNTIF(Text_Preprocessing291013[[#This Row],[full_text]],{"*makan siang gratis*";"*MBG*";"*makan gratis*";"*makan bergizi gratis*";"*makangratis*";"*makanan gratis*"})),"Relevan","Tidak Relevan")</f>
        <v>Relevan</v>
      </c>
    </row>
    <row r="268" spans="1:10" x14ac:dyDescent="0.35">
      <c r="A268" t="e">
        <f t="shared" si="4"/>
        <v>#REF!</v>
      </c>
      <c r="B268">
        <v>278</v>
      </c>
      <c r="C268" t="s">
        <v>2828</v>
      </c>
      <c r="D268" t="s">
        <v>442</v>
      </c>
      <c r="E268" t="s">
        <v>2829</v>
      </c>
      <c r="F268" t="s">
        <v>2599</v>
      </c>
      <c r="G268" t="s">
        <v>2830</v>
      </c>
      <c r="H268" t="s">
        <v>2830</v>
      </c>
      <c r="I268" t="s">
        <v>2831</v>
      </c>
      <c r="J268" t="str" cm="1">
        <f t="array" ref="J268">IF(SUM(COUNTIF(Text_Preprocessing291013[[#This Row],[full_text]],{"*makan siang gratis*";"*MBG*";"*makan gratis*";"*makan bergizi gratis*";"*makangratis*";"*makanan gratis*"})),"Relevan","Tidak Relevan")</f>
        <v>Relevan</v>
      </c>
    </row>
    <row r="269" spans="1:10" x14ac:dyDescent="0.35">
      <c r="A269" t="e">
        <f t="shared" si="4"/>
        <v>#REF!</v>
      </c>
      <c r="B269">
        <v>279</v>
      </c>
      <c r="C269" t="s">
        <v>2832</v>
      </c>
      <c r="D269" t="s">
        <v>475</v>
      </c>
      <c r="E269" t="s">
        <v>2833</v>
      </c>
      <c r="F269" t="s">
        <v>2229</v>
      </c>
      <c r="G269" t="s">
        <v>2834</v>
      </c>
      <c r="H269" t="s">
        <v>2834</v>
      </c>
      <c r="I269" t="s">
        <v>2835</v>
      </c>
      <c r="J269" t="str" cm="1">
        <f t="array" ref="J269">IF(SUM(COUNTIF(Text_Preprocessing291013[[#This Row],[full_text]],{"*makan siang gratis*";"*MBG*";"*makan gratis*";"*makan bergizi gratis*";"*makangratis*";"*makanan gratis*"})),"Relevan","Tidak Relevan")</f>
        <v>Relevan</v>
      </c>
    </row>
    <row r="270" spans="1:10" x14ac:dyDescent="0.35">
      <c r="A270" t="e">
        <f t="shared" si="4"/>
        <v>#REF!</v>
      </c>
      <c r="B270">
        <v>280</v>
      </c>
      <c r="C270" t="s">
        <v>2836</v>
      </c>
      <c r="D270" t="s">
        <v>477</v>
      </c>
      <c r="E270" t="s">
        <v>2837</v>
      </c>
      <c r="F270" t="s">
        <v>2164</v>
      </c>
      <c r="G270" t="s">
        <v>2838</v>
      </c>
      <c r="H270" t="s">
        <v>2838</v>
      </c>
      <c r="I270" t="s">
        <v>2839</v>
      </c>
      <c r="J270" t="str" cm="1">
        <f t="array" ref="J270">IF(SUM(COUNTIF(Text_Preprocessing291013[[#This Row],[full_text]],{"*makan siang gratis*";"*MBG*";"*makan gratis*";"*makan bergizi gratis*";"*makangratis*";"*makanan gratis*"})),"Relevan","Tidak Relevan")</f>
        <v>Relevan</v>
      </c>
    </row>
    <row r="271" spans="1:10" x14ac:dyDescent="0.35">
      <c r="A271" t="e">
        <f t="shared" si="4"/>
        <v>#REF!</v>
      </c>
      <c r="B271">
        <v>281</v>
      </c>
      <c r="C271" t="s">
        <v>2840</v>
      </c>
      <c r="D271" t="s">
        <v>445</v>
      </c>
      <c r="E271" t="s">
        <v>2841</v>
      </c>
      <c r="F271" t="s">
        <v>2052</v>
      </c>
      <c r="G271" t="s">
        <v>2842</v>
      </c>
      <c r="H271" t="s">
        <v>2842</v>
      </c>
      <c r="I271" t="s">
        <v>2843</v>
      </c>
      <c r="J271" t="str" cm="1">
        <f t="array" ref="J271">IF(SUM(COUNTIF(Text_Preprocessing291013[[#This Row],[full_text]],{"*makan siang gratis*";"*MBG*";"*makan gratis*";"*makan bergizi gratis*";"*makangratis*";"*makanan gratis*"})),"Relevan","Tidak Relevan")</f>
        <v>Relevan</v>
      </c>
    </row>
    <row r="272" spans="1:10" x14ac:dyDescent="0.35">
      <c r="A272" t="e">
        <f t="shared" si="4"/>
        <v>#REF!</v>
      </c>
      <c r="B272">
        <v>282</v>
      </c>
      <c r="C272" t="s">
        <v>2844</v>
      </c>
      <c r="D272" t="s">
        <v>480</v>
      </c>
      <c r="E272" t="s">
        <v>2845</v>
      </c>
      <c r="F272" t="s">
        <v>1596</v>
      </c>
      <c r="G272" t="s">
        <v>2845</v>
      </c>
      <c r="H272" t="s">
        <v>2845</v>
      </c>
      <c r="I272" t="s">
        <v>2846</v>
      </c>
      <c r="J272" t="str" cm="1">
        <f t="array" ref="J272">IF(SUM(COUNTIF(Text_Preprocessing291013[[#This Row],[full_text]],{"*makan siang gratis*";"*MBG*";"*makan gratis*";"*makan bergizi gratis*";"*makangratis*";"*makanan gratis*"})),"Relevan","Tidak Relevan")</f>
        <v>Relevan</v>
      </c>
    </row>
    <row r="273" spans="1:11" x14ac:dyDescent="0.35">
      <c r="A273" t="e">
        <f t="shared" si="4"/>
        <v>#REF!</v>
      </c>
      <c r="B273">
        <v>283</v>
      </c>
      <c r="C273" t="s">
        <v>2847</v>
      </c>
      <c r="D273" t="s">
        <v>482</v>
      </c>
      <c r="E273" t="s">
        <v>2848</v>
      </c>
      <c r="F273" t="s">
        <v>2599</v>
      </c>
      <c r="G273" t="s">
        <v>2849</v>
      </c>
      <c r="H273" t="s">
        <v>2850</v>
      </c>
      <c r="I273" t="s">
        <v>2851</v>
      </c>
      <c r="J273" t="str" cm="1">
        <f t="array" ref="J273">IF(SUM(COUNTIF(Text_Preprocessing291013[[#This Row],[full_text]],{"*makan siang gratis*";"*MBG*";"*makan gratis*";"*makan bergizi gratis*";"*makangratis*";"*makanan gratis*"})),"Relevan","Tidak Relevan")</f>
        <v>Relevan</v>
      </c>
    </row>
    <row r="274" spans="1:11" x14ac:dyDescent="0.35">
      <c r="A274" t="e">
        <f t="shared" si="4"/>
        <v>#REF!</v>
      </c>
      <c r="B274">
        <v>284</v>
      </c>
      <c r="C274" t="s">
        <v>2852</v>
      </c>
      <c r="D274" t="s">
        <v>484</v>
      </c>
      <c r="E274" t="s">
        <v>2853</v>
      </c>
      <c r="F274" t="s">
        <v>2348</v>
      </c>
      <c r="G274" t="s">
        <v>2854</v>
      </c>
      <c r="H274" t="s">
        <v>2854</v>
      </c>
      <c r="I274" t="s">
        <v>2855</v>
      </c>
      <c r="J274" t="str" cm="1">
        <f t="array" ref="J274">IF(SUM(COUNTIF(Text_Preprocessing291013[[#This Row],[full_text]],{"*makan siang gratis*";"*MBG*";"*makan gratis*";"*makan bergizi gratis*";"*makangratis*";"*makanan gratis*"})),"Relevan","Tidak Relevan")</f>
        <v>Relevan</v>
      </c>
    </row>
    <row r="275" spans="1:11" x14ac:dyDescent="0.35">
      <c r="A275" t="e">
        <f t="shared" si="4"/>
        <v>#REF!</v>
      </c>
      <c r="B275">
        <v>285</v>
      </c>
      <c r="C275" t="s">
        <v>2856</v>
      </c>
      <c r="D275" t="s">
        <v>486</v>
      </c>
      <c r="E275" t="s">
        <v>2857</v>
      </c>
      <c r="F275" t="s">
        <v>1888</v>
      </c>
      <c r="G275" t="s">
        <v>2858</v>
      </c>
      <c r="H275" t="s">
        <v>2858</v>
      </c>
      <c r="I275" t="s">
        <v>2859</v>
      </c>
      <c r="J275" t="str" cm="1">
        <f t="array" ref="J275">IF(SUM(COUNTIF(Text_Preprocessing291013[[#This Row],[full_text]],{"*makan siang gratis*";"*MBG*";"*makan gratis*";"*makan bergizi gratis*";"*makangratis*";"*makanan gratis*"})),"Relevan","Tidak Relevan")</f>
        <v>Relevan</v>
      </c>
    </row>
    <row r="276" spans="1:11" x14ac:dyDescent="0.35">
      <c r="A276" t="e">
        <f t="shared" si="4"/>
        <v>#REF!</v>
      </c>
      <c r="B276">
        <v>286</v>
      </c>
      <c r="C276" t="s">
        <v>2860</v>
      </c>
      <c r="D276" t="s">
        <v>488</v>
      </c>
      <c r="E276" t="s">
        <v>2861</v>
      </c>
      <c r="F276" t="s">
        <v>2862</v>
      </c>
      <c r="G276" t="s">
        <v>2863</v>
      </c>
      <c r="H276" t="s">
        <v>2863</v>
      </c>
      <c r="I276" t="s">
        <v>2864</v>
      </c>
      <c r="J276" t="str" cm="1">
        <f t="array" ref="J276">IF(SUM(COUNTIF(Text_Preprocessing291013[[#This Row],[full_text]],{"*makan siang gratis*";"*MBG*";"*makan gratis*";"*makan bergizi gratis*";"*makangratis*";"*makanan gratis*"})),"Relevan","Tidak Relevan")</f>
        <v>Relevan</v>
      </c>
    </row>
    <row r="277" spans="1:11" x14ac:dyDescent="0.35">
      <c r="A277" t="e">
        <f t="shared" si="4"/>
        <v>#REF!</v>
      </c>
      <c r="B277">
        <v>287</v>
      </c>
      <c r="C277" t="s">
        <v>2865</v>
      </c>
      <c r="D277" t="s">
        <v>490</v>
      </c>
      <c r="E277" t="s">
        <v>2866</v>
      </c>
      <c r="F277" t="s">
        <v>2867</v>
      </c>
      <c r="G277" t="s">
        <v>2868</v>
      </c>
      <c r="H277" t="s">
        <v>3689</v>
      </c>
      <c r="I277" t="s">
        <v>3690</v>
      </c>
      <c r="J277" t="str" cm="1">
        <f t="array" ref="J277">IF(SUM(COUNTIF(Text_Preprocessing291013[[#This Row],[full_text]],{"*makan siang gratis*";"*MBG*";"*makan gratis*";"*makan bergizi gratis*";"*makangratis*";"*makanan gratis*"})),"Relevan","Tidak Relevan")</f>
        <v>Relevan</v>
      </c>
    </row>
    <row r="278" spans="1:11" x14ac:dyDescent="0.35">
      <c r="A278" t="e">
        <f t="shared" si="4"/>
        <v>#REF!</v>
      </c>
      <c r="B278">
        <v>288</v>
      </c>
      <c r="C278" t="s">
        <v>2871</v>
      </c>
      <c r="D278" t="s">
        <v>492</v>
      </c>
      <c r="E278" t="s">
        <v>2872</v>
      </c>
      <c r="F278" t="s">
        <v>1669</v>
      </c>
      <c r="G278" t="s">
        <v>2873</v>
      </c>
      <c r="H278" t="s">
        <v>2874</v>
      </c>
      <c r="I278" t="s">
        <v>2875</v>
      </c>
      <c r="J278" t="str" cm="1">
        <f t="array" ref="J278">IF(SUM(COUNTIF(Text_Preprocessing291013[[#This Row],[full_text]],{"*makan siang gratis*";"*MBG*";"*makan gratis*";"*makan bergizi gratis*";"*makangratis*";"*makanan gratis*"})),"Relevan","Tidak Relevan")</f>
        <v>Relevan</v>
      </c>
    </row>
    <row r="279" spans="1:11" x14ac:dyDescent="0.35">
      <c r="A279" t="e">
        <f t="shared" si="4"/>
        <v>#REF!</v>
      </c>
      <c r="B279">
        <v>289</v>
      </c>
      <c r="C279" t="s">
        <v>2876</v>
      </c>
      <c r="D279" t="s">
        <v>494</v>
      </c>
      <c r="E279" t="s">
        <v>2877</v>
      </c>
      <c r="F279" t="s">
        <v>2878</v>
      </c>
      <c r="G279" t="s">
        <v>2879</v>
      </c>
      <c r="H279" t="s">
        <v>2880</v>
      </c>
      <c r="I279" t="s">
        <v>2881</v>
      </c>
      <c r="J279" t="str" cm="1">
        <f t="array" ref="J279">IF(SUM(COUNTIF(Text_Preprocessing291013[[#This Row],[full_text]],{"*makan siang gratis*";"*MBG*";"*makan gratis*";"*makan bergizi gratis*";"*makangratis*";"*makanan gratis*"})),"Relevan","Tidak Relevan")</f>
        <v>Relevan</v>
      </c>
    </row>
    <row r="280" spans="1:11" x14ac:dyDescent="0.35">
      <c r="A280" t="e">
        <f t="shared" si="4"/>
        <v>#REF!</v>
      </c>
      <c r="B280">
        <v>290</v>
      </c>
      <c r="C280" t="s">
        <v>2882</v>
      </c>
      <c r="D280" t="s">
        <v>496</v>
      </c>
      <c r="E280" t="s">
        <v>2883</v>
      </c>
      <c r="F280" t="s">
        <v>1799</v>
      </c>
      <c r="G280" t="s">
        <v>2884</v>
      </c>
      <c r="H280" t="s">
        <v>2884</v>
      </c>
      <c r="I280" t="s">
        <v>2885</v>
      </c>
      <c r="J280" t="str" cm="1">
        <f t="array" ref="J280">IF(SUM(COUNTIF(Text_Preprocessing291013[[#This Row],[full_text]],{"*makan siang gratis*";"*MBG*";"*makan gratis*";"*makan bergizi gratis*";"*makangratis*";"*makanan gratis*"})),"Relevan","Tidak Relevan")</f>
        <v>Tidak Relevan</v>
      </c>
      <c r="K280" t="s">
        <v>3622</v>
      </c>
    </row>
    <row r="281" spans="1:11" x14ac:dyDescent="0.35">
      <c r="A281" t="e">
        <f t="shared" si="4"/>
        <v>#REF!</v>
      </c>
      <c r="B281">
        <v>291</v>
      </c>
      <c r="C281" t="s">
        <v>2886</v>
      </c>
      <c r="D281" t="s">
        <v>498</v>
      </c>
      <c r="E281" t="s">
        <v>2887</v>
      </c>
      <c r="F281" t="s">
        <v>1596</v>
      </c>
      <c r="G281" t="s">
        <v>2888</v>
      </c>
      <c r="H281" t="s">
        <v>2888</v>
      </c>
      <c r="I281" t="s">
        <v>2888</v>
      </c>
      <c r="J281" t="str" cm="1">
        <f t="array" ref="J281">IF(SUM(COUNTIF(Text_Preprocessing291013[[#This Row],[full_text]],{"*makan siang gratis*";"*MBG*";"*makan gratis*";"*makan bergizi gratis*";"*makangratis*";"*makanan gratis*"})),"Relevan","Tidak Relevan")</f>
        <v>Relevan</v>
      </c>
    </row>
    <row r="282" spans="1:11" x14ac:dyDescent="0.35">
      <c r="A282" t="e">
        <f t="shared" si="4"/>
        <v>#REF!</v>
      </c>
      <c r="B282">
        <v>292</v>
      </c>
      <c r="C282" t="s">
        <v>2889</v>
      </c>
      <c r="D282" t="s">
        <v>442</v>
      </c>
      <c r="E282" t="s">
        <v>2890</v>
      </c>
      <c r="F282" t="s">
        <v>2609</v>
      </c>
      <c r="G282" t="s">
        <v>2891</v>
      </c>
      <c r="H282" t="s">
        <v>2891</v>
      </c>
      <c r="I282" t="s">
        <v>2892</v>
      </c>
      <c r="J282" t="str" cm="1">
        <f t="array" ref="J282">IF(SUM(COUNTIF(Text_Preprocessing291013[[#This Row],[full_text]],{"*makan siang gratis*";"*MBG*";"*makan gratis*";"*makan bergizi gratis*";"*makangratis*";"*makanan gratis*"})),"Relevan","Tidak Relevan")</f>
        <v>Relevan</v>
      </c>
    </row>
    <row r="283" spans="1:11" x14ac:dyDescent="0.35">
      <c r="A283" t="e">
        <f t="shared" si="4"/>
        <v>#REF!</v>
      </c>
      <c r="B283">
        <v>293</v>
      </c>
      <c r="C283" t="s">
        <v>2893</v>
      </c>
      <c r="D283" t="s">
        <v>501</v>
      </c>
      <c r="E283" t="s">
        <v>2894</v>
      </c>
      <c r="F283" t="s">
        <v>2878</v>
      </c>
      <c r="G283" t="s">
        <v>2895</v>
      </c>
      <c r="H283" t="s">
        <v>2895</v>
      </c>
      <c r="I283" t="s">
        <v>2896</v>
      </c>
      <c r="J283" t="str" cm="1">
        <f t="array" ref="J283">IF(SUM(COUNTIF(Text_Preprocessing291013[[#This Row],[full_text]],{"*makan siang gratis*";"*MBG*";"*makan gratis*";"*makan bergizi gratis*";"*makangratis*";"*makanan gratis*"})),"Relevan","Tidak Relevan")</f>
        <v>Relevan</v>
      </c>
    </row>
    <row r="284" spans="1:11" x14ac:dyDescent="0.35">
      <c r="A284" t="e">
        <f t="shared" si="4"/>
        <v>#REF!</v>
      </c>
      <c r="B284">
        <v>294</v>
      </c>
      <c r="C284" t="s">
        <v>2897</v>
      </c>
      <c r="D284" t="s">
        <v>503</v>
      </c>
      <c r="E284" t="s">
        <v>2898</v>
      </c>
      <c r="F284" t="s">
        <v>2899</v>
      </c>
      <c r="G284" t="s">
        <v>2900</v>
      </c>
      <c r="H284" t="s">
        <v>2900</v>
      </c>
      <c r="I284" t="s">
        <v>2901</v>
      </c>
      <c r="J284" t="str" cm="1">
        <f t="array" ref="J284">IF(SUM(COUNTIF(Text_Preprocessing291013[[#This Row],[full_text]],{"*makan siang gratis*";"*MBG*";"*makan gratis*";"*makan bergizi gratis*";"*makangratis*";"*makanan gratis*"})),"Relevan","Tidak Relevan")</f>
        <v>Relevan</v>
      </c>
    </row>
    <row r="285" spans="1:11" x14ac:dyDescent="0.35">
      <c r="A285" t="e">
        <f t="shared" si="4"/>
        <v>#REF!</v>
      </c>
      <c r="B285">
        <v>295</v>
      </c>
      <c r="C285" t="s">
        <v>2902</v>
      </c>
      <c r="D285" t="s">
        <v>76</v>
      </c>
      <c r="E285" t="s">
        <v>2903</v>
      </c>
      <c r="F285" t="s">
        <v>2904</v>
      </c>
      <c r="G285" t="s">
        <v>2905</v>
      </c>
      <c r="H285" t="s">
        <v>2905</v>
      </c>
      <c r="I285" t="s">
        <v>2906</v>
      </c>
      <c r="J285" t="str" cm="1">
        <f t="array" ref="J285">IF(SUM(COUNTIF(Text_Preprocessing291013[[#This Row],[full_text]],{"*makan siang gratis*";"*MBG*";"*makan gratis*";"*makan bergizi gratis*";"*makangratis*";"*makanan gratis*"})),"Relevan","Tidak Relevan")</f>
        <v>Relevan</v>
      </c>
    </row>
    <row r="286" spans="1:11" x14ac:dyDescent="0.35">
      <c r="A286" t="e">
        <f t="shared" si="4"/>
        <v>#REF!</v>
      </c>
      <c r="B286">
        <v>296</v>
      </c>
      <c r="C286" t="s">
        <v>2907</v>
      </c>
      <c r="D286" t="s">
        <v>506</v>
      </c>
      <c r="E286" t="s">
        <v>2908</v>
      </c>
      <c r="F286" t="s">
        <v>1730</v>
      </c>
      <c r="G286" t="s">
        <v>2909</v>
      </c>
      <c r="H286" t="s">
        <v>2909</v>
      </c>
      <c r="I286" t="s">
        <v>2910</v>
      </c>
      <c r="J286" t="str" cm="1">
        <f t="array" ref="J286">IF(SUM(COUNTIF(Text_Preprocessing291013[[#This Row],[full_text]],{"*makan siang gratis*";"*MBG*";"*makan gratis*";"*makan bergizi gratis*";"*makangratis*";"*makanan gratis*"})),"Relevan","Tidak Relevan")</f>
        <v>Relevan</v>
      </c>
    </row>
    <row r="287" spans="1:11" x14ac:dyDescent="0.35">
      <c r="A287" t="e">
        <f t="shared" si="4"/>
        <v>#REF!</v>
      </c>
      <c r="B287">
        <v>297</v>
      </c>
      <c r="C287" t="s">
        <v>2911</v>
      </c>
      <c r="D287" t="s">
        <v>508</v>
      </c>
      <c r="E287" t="s">
        <v>2912</v>
      </c>
      <c r="F287" t="s">
        <v>1669</v>
      </c>
      <c r="G287" t="s">
        <v>2913</v>
      </c>
      <c r="H287" t="s">
        <v>2913</v>
      </c>
      <c r="I287" t="s">
        <v>2914</v>
      </c>
      <c r="J287" t="str" cm="1">
        <f t="array" ref="J287">IF(SUM(COUNTIF(Text_Preprocessing291013[[#This Row],[full_text]],{"*makan siang gratis*";"*MBG*";"*makan gratis*";"*makan bergizi gratis*";"*makangratis*";"*makanan gratis*"})),"Relevan","Tidak Relevan")</f>
        <v>Relevan</v>
      </c>
    </row>
    <row r="288" spans="1:11" x14ac:dyDescent="0.35">
      <c r="A288" t="e">
        <f t="shared" si="4"/>
        <v>#REF!</v>
      </c>
      <c r="B288">
        <v>298</v>
      </c>
      <c r="C288" t="s">
        <v>2915</v>
      </c>
      <c r="D288" t="s">
        <v>510</v>
      </c>
      <c r="E288" t="s">
        <v>2916</v>
      </c>
      <c r="F288" t="s">
        <v>1906</v>
      </c>
      <c r="G288" t="s">
        <v>2917</v>
      </c>
      <c r="H288" t="s">
        <v>2917</v>
      </c>
      <c r="I288" t="s">
        <v>2918</v>
      </c>
      <c r="J288" t="str" cm="1">
        <f t="array" ref="J288">IF(SUM(COUNTIF(Text_Preprocessing291013[[#This Row],[full_text]],{"*makan siang gratis*";"*MBG*";"*makan gratis*";"*makan bergizi gratis*";"*makangratis*";"*makanan gratis*"})),"Relevan","Tidak Relevan")</f>
        <v>Relevan</v>
      </c>
    </row>
    <row r="289" spans="1:11" x14ac:dyDescent="0.35">
      <c r="A289" t="e">
        <f t="shared" si="4"/>
        <v>#REF!</v>
      </c>
      <c r="B289">
        <v>299</v>
      </c>
      <c r="C289" t="s">
        <v>2919</v>
      </c>
      <c r="D289" t="s">
        <v>512</v>
      </c>
      <c r="E289" t="s">
        <v>2920</v>
      </c>
      <c r="F289" t="s">
        <v>2921</v>
      </c>
      <c r="G289" t="s">
        <v>2922</v>
      </c>
      <c r="H289" t="s">
        <v>2922</v>
      </c>
      <c r="I289" t="s">
        <v>2923</v>
      </c>
      <c r="J289" t="str" cm="1">
        <f t="array" ref="J289">IF(SUM(COUNTIF(Text_Preprocessing291013[[#This Row],[full_text]],{"*makan siang gratis*";"*MBG*";"*makan gratis*";"*makan bergizi gratis*";"*makangratis*";"*makanan gratis*"})),"Relevan","Tidak Relevan")</f>
        <v>Relevan</v>
      </c>
    </row>
    <row r="290" spans="1:11" x14ac:dyDescent="0.35">
      <c r="A290" t="e">
        <f t="shared" si="4"/>
        <v>#REF!</v>
      </c>
      <c r="B290">
        <v>300</v>
      </c>
      <c r="C290" t="s">
        <v>2924</v>
      </c>
      <c r="D290" t="s">
        <v>447</v>
      </c>
      <c r="E290" t="s">
        <v>2925</v>
      </c>
      <c r="F290" t="s">
        <v>2599</v>
      </c>
      <c r="G290" t="s">
        <v>2926</v>
      </c>
      <c r="H290" t="s">
        <v>2926</v>
      </c>
      <c r="I290" t="s">
        <v>2927</v>
      </c>
      <c r="J290" t="str" cm="1">
        <f t="array" ref="J290">IF(SUM(COUNTIF(Text_Preprocessing291013[[#This Row],[full_text]],{"*makan siang gratis*";"*MBG*";"*makan gratis*";"*makan bergizi gratis*";"*makangratis*";"*makanan gratis*"})),"Relevan","Tidak Relevan")</f>
        <v>Relevan</v>
      </c>
    </row>
    <row r="291" spans="1:11" x14ac:dyDescent="0.35">
      <c r="A291" t="e">
        <f t="shared" si="4"/>
        <v>#REF!</v>
      </c>
      <c r="B291">
        <v>301</v>
      </c>
      <c r="C291" t="s">
        <v>2928</v>
      </c>
      <c r="D291" t="s">
        <v>515</v>
      </c>
      <c r="E291" t="s">
        <v>2929</v>
      </c>
      <c r="F291" t="s">
        <v>1735</v>
      </c>
      <c r="G291" t="s">
        <v>2930</v>
      </c>
      <c r="H291" t="s">
        <v>2930</v>
      </c>
      <c r="I291" t="s">
        <v>2931</v>
      </c>
      <c r="J291" t="str" cm="1">
        <f t="array" ref="J291">IF(SUM(COUNTIF(Text_Preprocessing291013[[#This Row],[full_text]],{"*makan siang gratis*";"*MBG*";"*makan gratis*";"*makan bergizi gratis*";"*makangratis*";"*makanan gratis*"})),"Relevan","Tidak Relevan")</f>
        <v>Relevan</v>
      </c>
    </row>
    <row r="292" spans="1:11" x14ac:dyDescent="0.35">
      <c r="A292" t="e">
        <f t="shared" si="4"/>
        <v>#REF!</v>
      </c>
      <c r="B292">
        <v>302</v>
      </c>
      <c r="C292" t="s">
        <v>2932</v>
      </c>
      <c r="D292" t="s">
        <v>517</v>
      </c>
      <c r="E292" t="s">
        <v>2933</v>
      </c>
      <c r="F292" t="s">
        <v>2934</v>
      </c>
      <c r="G292" t="s">
        <v>2935</v>
      </c>
      <c r="H292" t="s">
        <v>2935</v>
      </c>
      <c r="I292" t="s">
        <v>2936</v>
      </c>
      <c r="J292" t="str" cm="1">
        <f t="array" ref="J292">IF(SUM(COUNTIF(Text_Preprocessing291013[[#This Row],[full_text]],{"*makan siang gratis*";"*MBG*";"*makan gratis*";"*makan bergizi gratis*";"*makangratis*";"*makanan gratis*"})),"Relevan","Tidak Relevan")</f>
        <v>Relevan</v>
      </c>
    </row>
    <row r="293" spans="1:11" x14ac:dyDescent="0.35">
      <c r="A293" t="e">
        <f t="shared" si="4"/>
        <v>#REF!</v>
      </c>
      <c r="B293">
        <v>303</v>
      </c>
      <c r="C293" t="s">
        <v>2937</v>
      </c>
      <c r="D293" t="s">
        <v>519</v>
      </c>
      <c r="E293" t="s">
        <v>2938</v>
      </c>
      <c r="F293" t="s">
        <v>1692</v>
      </c>
      <c r="G293" t="s">
        <v>2939</v>
      </c>
      <c r="H293" t="s">
        <v>2939</v>
      </c>
      <c r="I293" t="s">
        <v>2940</v>
      </c>
      <c r="J293" t="str" cm="1">
        <f t="array" ref="J293">IF(SUM(COUNTIF(Text_Preprocessing291013[[#This Row],[full_text]],{"*makan siang gratis*";"*MBG*";"*makan gratis*";"*makan bergizi gratis*";"*makangratis*";"*makanan gratis*"})),"Relevan","Tidak Relevan")</f>
        <v>Relevan</v>
      </c>
    </row>
    <row r="294" spans="1:11" x14ac:dyDescent="0.35">
      <c r="A294" t="e">
        <f t="shared" si="4"/>
        <v>#REF!</v>
      </c>
      <c r="B294">
        <v>304</v>
      </c>
      <c r="C294" t="s">
        <v>2941</v>
      </c>
      <c r="D294" t="s">
        <v>519</v>
      </c>
      <c r="E294" t="s">
        <v>2942</v>
      </c>
      <c r="F294" t="s">
        <v>1735</v>
      </c>
      <c r="G294" t="s">
        <v>2943</v>
      </c>
      <c r="H294" t="s">
        <v>2943</v>
      </c>
      <c r="I294" t="s">
        <v>2944</v>
      </c>
      <c r="J294" t="str" cm="1">
        <f t="array" ref="J294">IF(SUM(COUNTIF(Text_Preprocessing291013[[#This Row],[full_text]],{"*makan siang gratis*";"*MBG*";"*makan gratis*";"*makan bergizi gratis*";"*makangratis*";"*makanan gratis*"})),"Relevan","Tidak Relevan")</f>
        <v>Relevan</v>
      </c>
    </row>
    <row r="295" spans="1:11" x14ac:dyDescent="0.35">
      <c r="A295" t="e">
        <f t="shared" si="4"/>
        <v>#REF!</v>
      </c>
      <c r="B295">
        <v>305</v>
      </c>
      <c r="C295" t="s">
        <v>2945</v>
      </c>
      <c r="D295" t="s">
        <v>522</v>
      </c>
      <c r="E295" t="s">
        <v>2946</v>
      </c>
      <c r="F295" t="s">
        <v>2008</v>
      </c>
      <c r="G295" t="s">
        <v>2947</v>
      </c>
      <c r="H295" t="s">
        <v>2948</v>
      </c>
      <c r="I295" t="s">
        <v>2949</v>
      </c>
      <c r="J295" t="str" cm="1">
        <f t="array" ref="J295">IF(SUM(COUNTIF(Text_Preprocessing291013[[#This Row],[full_text]],{"*makan siang gratis*";"*MBG*";"*makan gratis*";"*makan bergizi gratis*";"*makangratis*";"*makanan gratis*"})),"Relevan","Tidak Relevan")</f>
        <v>Relevan</v>
      </c>
    </row>
    <row r="296" spans="1:11" x14ac:dyDescent="0.35">
      <c r="A296" t="e">
        <f t="shared" si="4"/>
        <v>#REF!</v>
      </c>
      <c r="B296">
        <v>306</v>
      </c>
      <c r="C296" t="s">
        <v>2950</v>
      </c>
      <c r="D296" t="s">
        <v>447</v>
      </c>
      <c r="E296" t="s">
        <v>2951</v>
      </c>
      <c r="F296" t="s">
        <v>1775</v>
      </c>
      <c r="G296" t="s">
        <v>2952</v>
      </c>
      <c r="H296" t="s">
        <v>2952</v>
      </c>
      <c r="I296" t="s">
        <v>2953</v>
      </c>
      <c r="J296" t="str" cm="1">
        <f t="array" ref="J296">IF(SUM(COUNTIF(Text_Preprocessing291013[[#This Row],[full_text]],{"*makan siang gratis*";"*MBG*";"*makan gratis*";"*makan bergizi gratis*";"*makangratis*";"*makanan gratis*"})),"Relevan","Tidak Relevan")</f>
        <v>Relevan</v>
      </c>
    </row>
    <row r="297" spans="1:11" x14ac:dyDescent="0.35">
      <c r="A297" t="e">
        <f t="shared" si="4"/>
        <v>#REF!</v>
      </c>
      <c r="B297">
        <v>307</v>
      </c>
      <c r="C297" t="s">
        <v>2954</v>
      </c>
      <c r="D297" t="s">
        <v>525</v>
      </c>
      <c r="E297" t="s">
        <v>2955</v>
      </c>
      <c r="F297" t="s">
        <v>1764</v>
      </c>
      <c r="G297" t="s">
        <v>2956</v>
      </c>
      <c r="H297" t="s">
        <v>2956</v>
      </c>
      <c r="I297" t="s">
        <v>2957</v>
      </c>
      <c r="J297" t="str" cm="1">
        <f t="array" ref="J297">IF(SUM(COUNTIF(Text_Preprocessing291013[[#This Row],[full_text]],{"*makan siang gratis*";"*MBG*";"*makan gratis*";"*makan bergizi gratis*";"*makangratis*";"*makanan gratis*"})),"Relevan","Tidak Relevan")</f>
        <v>Relevan</v>
      </c>
    </row>
    <row r="298" spans="1:11" x14ac:dyDescent="0.35">
      <c r="A298" t="e">
        <f t="shared" si="4"/>
        <v>#REF!</v>
      </c>
      <c r="B298">
        <v>308</v>
      </c>
      <c r="C298" t="s">
        <v>2958</v>
      </c>
      <c r="D298" t="s">
        <v>447</v>
      </c>
      <c r="E298" t="s">
        <v>2959</v>
      </c>
      <c r="F298" t="s">
        <v>2442</v>
      </c>
      <c r="G298" t="s">
        <v>2960</v>
      </c>
      <c r="H298" t="s">
        <v>2960</v>
      </c>
      <c r="I298" t="s">
        <v>2961</v>
      </c>
      <c r="J298" t="str" cm="1">
        <f t="array" ref="J298">IF(SUM(COUNTIF(Text_Preprocessing291013[[#This Row],[full_text]],{"*makan siang gratis*";"*MBG*";"*makan gratis*";"*makan bergizi gratis*";"*makangratis*";"*makanan gratis*"})),"Relevan","Tidak Relevan")</f>
        <v>Relevan</v>
      </c>
    </row>
    <row r="299" spans="1:11" x14ac:dyDescent="0.35">
      <c r="A299" t="e">
        <f t="shared" si="4"/>
        <v>#REF!</v>
      </c>
      <c r="B299">
        <v>309</v>
      </c>
      <c r="C299" t="s">
        <v>2962</v>
      </c>
      <c r="D299" t="s">
        <v>528</v>
      </c>
      <c r="E299" t="s">
        <v>2963</v>
      </c>
      <c r="F299" t="s">
        <v>1596</v>
      </c>
      <c r="G299" t="s">
        <v>2964</v>
      </c>
      <c r="H299" t="s">
        <v>2965</v>
      </c>
      <c r="I299" t="s">
        <v>2966</v>
      </c>
      <c r="J299" t="str" cm="1">
        <f t="array" ref="J299">IF(SUM(COUNTIF(Text_Preprocessing291013[[#This Row],[full_text]],{"*makan siang gratis*";"*MBG*";"*makan gratis*";"*makan bergizi gratis*";"*makangratis*";"*makanan gratis*"})),"Relevan","Tidak Relevan")</f>
        <v>Tidak Relevan</v>
      </c>
      <c r="K299" t="s">
        <v>3622</v>
      </c>
    </row>
    <row r="300" spans="1:11" x14ac:dyDescent="0.35">
      <c r="A300" t="e">
        <f t="shared" si="4"/>
        <v>#REF!</v>
      </c>
      <c r="B300">
        <v>310</v>
      </c>
      <c r="C300" t="s">
        <v>2967</v>
      </c>
      <c r="D300" t="s">
        <v>442</v>
      </c>
      <c r="E300" t="s">
        <v>2968</v>
      </c>
      <c r="F300" t="s">
        <v>2609</v>
      </c>
      <c r="G300" t="s">
        <v>2969</v>
      </c>
      <c r="H300" t="s">
        <v>2969</v>
      </c>
      <c r="I300" t="s">
        <v>2970</v>
      </c>
      <c r="J300" t="str" cm="1">
        <f t="array" ref="J300">IF(SUM(COUNTIF(Text_Preprocessing291013[[#This Row],[full_text]],{"*makan siang gratis*";"*MBG*";"*makan gratis*";"*makan bergizi gratis*";"*makangratis*";"*makanan gratis*"})),"Relevan","Tidak Relevan")</f>
        <v>Relevan</v>
      </c>
    </row>
    <row r="301" spans="1:11" x14ac:dyDescent="0.35">
      <c r="A301" t="e">
        <f t="shared" si="4"/>
        <v>#REF!</v>
      </c>
      <c r="B301">
        <v>311</v>
      </c>
      <c r="C301" t="s">
        <v>2971</v>
      </c>
      <c r="D301" t="s">
        <v>531</v>
      </c>
      <c r="E301" t="s">
        <v>2972</v>
      </c>
      <c r="F301" t="s">
        <v>2782</v>
      </c>
      <c r="G301" t="s">
        <v>2973</v>
      </c>
      <c r="H301" t="s">
        <v>2973</v>
      </c>
      <c r="I301" t="s">
        <v>2974</v>
      </c>
      <c r="J301" t="str" cm="1">
        <f t="array" ref="J301">IF(SUM(COUNTIF(Text_Preprocessing291013[[#This Row],[full_text]],{"*makan siang gratis*";"*MBG*";"*makan gratis*";"*makan bergizi gratis*";"*makangratis*";"*makanan gratis*"})),"Relevan","Tidak Relevan")</f>
        <v>Relevan</v>
      </c>
    </row>
    <row r="302" spans="1:11" x14ac:dyDescent="0.35">
      <c r="A302" t="e">
        <f t="shared" si="4"/>
        <v>#REF!</v>
      </c>
      <c r="B302">
        <v>312</v>
      </c>
      <c r="C302" t="s">
        <v>2975</v>
      </c>
      <c r="D302" t="s">
        <v>533</v>
      </c>
      <c r="E302" t="s">
        <v>2976</v>
      </c>
      <c r="F302" t="s">
        <v>2977</v>
      </c>
      <c r="G302" t="s">
        <v>2978</v>
      </c>
      <c r="H302" t="s">
        <v>2979</v>
      </c>
      <c r="I302" t="s">
        <v>2980</v>
      </c>
      <c r="J302" t="str" cm="1">
        <f t="array" ref="J302">IF(SUM(COUNTIF(Text_Preprocessing291013[[#This Row],[full_text]],{"*makan siang gratis*";"*MBG*";"*makan gratis*";"*makan bergizi gratis*";"*makangratis*";"*makanan gratis*"})),"Relevan","Tidak Relevan")</f>
        <v>Tidak Relevan</v>
      </c>
      <c r="K302" t="s">
        <v>3622</v>
      </c>
    </row>
    <row r="303" spans="1:11" x14ac:dyDescent="0.35">
      <c r="A303" t="e">
        <f t="shared" si="4"/>
        <v>#REF!</v>
      </c>
      <c r="B303">
        <v>313</v>
      </c>
      <c r="C303" t="s">
        <v>2981</v>
      </c>
      <c r="D303" t="s">
        <v>535</v>
      </c>
      <c r="E303" t="s">
        <v>2982</v>
      </c>
      <c r="F303" t="s">
        <v>2977</v>
      </c>
      <c r="G303" t="s">
        <v>2983</v>
      </c>
      <c r="H303" t="s">
        <v>3691</v>
      </c>
      <c r="I303" t="s">
        <v>3692</v>
      </c>
      <c r="J303" t="str" cm="1">
        <f t="array" ref="J303">IF(SUM(COUNTIF(Text_Preprocessing291013[[#This Row],[full_text]],{"*makan siang gratis*";"*MBG*";"*makan gratis*";"*makan bergizi gratis*";"*makangratis*";"*makanan gratis*"})),"Relevan","Tidak Relevan")</f>
        <v>Relevan</v>
      </c>
    </row>
    <row r="304" spans="1:11" x14ac:dyDescent="0.35">
      <c r="A304" t="e">
        <f t="shared" si="4"/>
        <v>#REF!</v>
      </c>
      <c r="B304">
        <v>314</v>
      </c>
      <c r="C304" t="s">
        <v>2986</v>
      </c>
      <c r="D304" t="s">
        <v>537</v>
      </c>
      <c r="E304" t="s">
        <v>2987</v>
      </c>
      <c r="F304" t="s">
        <v>2258</v>
      </c>
      <c r="G304" t="s">
        <v>2988</v>
      </c>
      <c r="H304" t="s">
        <v>2988</v>
      </c>
      <c r="I304" t="s">
        <v>2989</v>
      </c>
      <c r="J304" t="str" cm="1">
        <f t="array" ref="J304">IF(SUM(COUNTIF(Text_Preprocessing291013[[#This Row],[full_text]],{"*makan siang gratis*";"*MBG*";"*makan gratis*";"*makan bergizi gratis*";"*makangratis*";"*makanan gratis*"})),"Relevan","Tidak Relevan")</f>
        <v>Relevan</v>
      </c>
    </row>
    <row r="305" spans="1:11" x14ac:dyDescent="0.35">
      <c r="A305" t="e">
        <f t="shared" si="4"/>
        <v>#REF!</v>
      </c>
      <c r="B305">
        <v>315</v>
      </c>
      <c r="C305" t="s">
        <v>2990</v>
      </c>
      <c r="D305" t="s">
        <v>539</v>
      </c>
      <c r="E305" t="s">
        <v>2991</v>
      </c>
      <c r="F305" t="s">
        <v>2164</v>
      </c>
      <c r="G305" t="s">
        <v>2992</v>
      </c>
      <c r="H305" t="s">
        <v>2993</v>
      </c>
      <c r="I305" t="s">
        <v>2994</v>
      </c>
      <c r="J305" t="str" cm="1">
        <f t="array" ref="J305">IF(SUM(COUNTIF(Text_Preprocessing291013[[#This Row],[full_text]],{"*makan siang gratis*";"*MBG*";"*makan gratis*";"*makan bergizi gratis*";"*makangratis*";"*makanan gratis*"})),"Relevan","Tidak Relevan")</f>
        <v>Tidak Relevan</v>
      </c>
      <c r="K305" t="s">
        <v>3622</v>
      </c>
    </row>
    <row r="306" spans="1:11" x14ac:dyDescent="0.35">
      <c r="A306" t="e">
        <f t="shared" si="4"/>
        <v>#REF!</v>
      </c>
      <c r="B306">
        <v>316</v>
      </c>
      <c r="C306" t="s">
        <v>2995</v>
      </c>
      <c r="D306" t="s">
        <v>541</v>
      </c>
      <c r="E306" t="s">
        <v>2996</v>
      </c>
      <c r="F306" t="s">
        <v>1804</v>
      </c>
      <c r="G306" t="s">
        <v>2996</v>
      </c>
      <c r="H306" t="s">
        <v>2996</v>
      </c>
      <c r="I306" t="s">
        <v>2997</v>
      </c>
      <c r="J306" t="str" cm="1">
        <f t="array" ref="J306">IF(SUM(COUNTIF(Text_Preprocessing291013[[#This Row],[full_text]],{"*makan siang gratis*";"*MBG*";"*makan gratis*";"*makan bergizi gratis*";"*makangratis*";"*makanan gratis*"})),"Relevan","Tidak Relevan")</f>
        <v>Relevan</v>
      </c>
    </row>
    <row r="307" spans="1:11" x14ac:dyDescent="0.35">
      <c r="A307" t="e">
        <f t="shared" si="4"/>
        <v>#REF!</v>
      </c>
      <c r="B307">
        <v>317</v>
      </c>
      <c r="C307" t="s">
        <v>2998</v>
      </c>
      <c r="D307" t="s">
        <v>543</v>
      </c>
      <c r="E307" t="s">
        <v>2999</v>
      </c>
      <c r="F307" t="s">
        <v>2609</v>
      </c>
      <c r="G307" t="s">
        <v>3000</v>
      </c>
      <c r="H307" t="s">
        <v>3000</v>
      </c>
      <c r="I307" t="s">
        <v>3001</v>
      </c>
      <c r="J307" t="str" cm="1">
        <f t="array" ref="J307">IF(SUM(COUNTIF(Text_Preprocessing291013[[#This Row],[full_text]],{"*makan siang gratis*";"*MBG*";"*makan gratis*";"*makan bergizi gratis*";"*makangratis*";"*makanan gratis*"})),"Relevan","Tidak Relevan")</f>
        <v>Relevan</v>
      </c>
    </row>
    <row r="308" spans="1:11" x14ac:dyDescent="0.35">
      <c r="A308" t="e">
        <f t="shared" si="4"/>
        <v>#REF!</v>
      </c>
      <c r="B308">
        <v>318</v>
      </c>
      <c r="C308" t="s">
        <v>3002</v>
      </c>
      <c r="D308" t="s">
        <v>545</v>
      </c>
      <c r="E308" t="s">
        <v>3003</v>
      </c>
      <c r="F308" t="s">
        <v>2082</v>
      </c>
      <c r="G308" t="s">
        <v>3004</v>
      </c>
      <c r="H308" t="s">
        <v>3004</v>
      </c>
      <c r="I308" t="s">
        <v>3005</v>
      </c>
      <c r="J308" t="str" cm="1">
        <f t="array" ref="J308">IF(SUM(COUNTIF(Text_Preprocessing291013[[#This Row],[full_text]],{"*makan siang gratis*";"*MBG*";"*makan gratis*";"*makan bergizi gratis*";"*makangratis*";"*makanan gratis*"})),"Relevan","Tidak Relevan")</f>
        <v>Relevan</v>
      </c>
    </row>
    <row r="309" spans="1:11" x14ac:dyDescent="0.35">
      <c r="A309" t="e">
        <f t="shared" si="4"/>
        <v>#REF!</v>
      </c>
      <c r="B309">
        <v>319</v>
      </c>
      <c r="C309" t="s">
        <v>3006</v>
      </c>
      <c r="D309" t="s">
        <v>547</v>
      </c>
      <c r="E309" t="s">
        <v>3007</v>
      </c>
      <c r="F309" t="s">
        <v>1719</v>
      </c>
      <c r="G309" t="s">
        <v>3008</v>
      </c>
      <c r="H309" t="s">
        <v>3008</v>
      </c>
      <c r="I309" t="s">
        <v>3009</v>
      </c>
      <c r="J309" t="str" cm="1">
        <f t="array" ref="J309">IF(SUM(COUNTIF(Text_Preprocessing291013[[#This Row],[full_text]],{"*makan siang gratis*";"*MBG*";"*makan gratis*";"*makan bergizi gratis*";"*makangratis*";"*makanan gratis*"})),"Relevan","Tidak Relevan")</f>
        <v>Relevan</v>
      </c>
    </row>
    <row r="310" spans="1:11" x14ac:dyDescent="0.35">
      <c r="A310" t="e">
        <f t="shared" si="4"/>
        <v>#REF!</v>
      </c>
      <c r="B310">
        <v>320</v>
      </c>
      <c r="C310" t="s">
        <v>3010</v>
      </c>
      <c r="D310" t="s">
        <v>549</v>
      </c>
      <c r="E310" t="s">
        <v>3011</v>
      </c>
      <c r="F310" t="s">
        <v>3012</v>
      </c>
      <c r="G310" t="s">
        <v>3013</v>
      </c>
      <c r="H310" t="s">
        <v>3013</v>
      </c>
      <c r="I310" t="s">
        <v>3014</v>
      </c>
      <c r="J310" t="str" cm="1">
        <f t="array" ref="J310">IF(SUM(COUNTIF(Text_Preprocessing291013[[#This Row],[full_text]],{"*makan siang gratis*";"*MBG*";"*makan gratis*";"*makan bergizi gratis*";"*makangratis*";"*makanan gratis*"})),"Relevan","Tidak Relevan")</f>
        <v>Relevan</v>
      </c>
    </row>
    <row r="311" spans="1:11" x14ac:dyDescent="0.35">
      <c r="A311" t="e">
        <f t="shared" si="4"/>
        <v>#REF!</v>
      </c>
      <c r="B311">
        <v>321</v>
      </c>
      <c r="C311" t="s">
        <v>3015</v>
      </c>
      <c r="D311" t="s">
        <v>551</v>
      </c>
      <c r="E311" t="s">
        <v>3016</v>
      </c>
      <c r="F311" t="s">
        <v>1844</v>
      </c>
      <c r="G311" t="s">
        <v>3017</v>
      </c>
      <c r="H311" t="s">
        <v>3017</v>
      </c>
      <c r="I311" t="s">
        <v>3018</v>
      </c>
      <c r="J311" t="str" cm="1">
        <f t="array" ref="J311">IF(SUM(COUNTIF(Text_Preprocessing291013[[#This Row],[full_text]],{"*makan siang gratis*";"*MBG*";"*makan gratis*";"*makan bergizi gratis*";"*makangratis*";"*makanan gratis*"})),"Relevan","Tidak Relevan")</f>
        <v>Relevan</v>
      </c>
    </row>
    <row r="312" spans="1:11" x14ac:dyDescent="0.35">
      <c r="A312" t="e">
        <f t="shared" si="4"/>
        <v>#REF!</v>
      </c>
      <c r="B312">
        <v>322</v>
      </c>
      <c r="C312" t="s">
        <v>3019</v>
      </c>
      <c r="D312" t="s">
        <v>555</v>
      </c>
      <c r="E312" t="s">
        <v>3020</v>
      </c>
      <c r="F312" t="s">
        <v>3021</v>
      </c>
      <c r="G312" t="s">
        <v>3022</v>
      </c>
      <c r="H312" t="s">
        <v>3023</v>
      </c>
      <c r="I312" t="s">
        <v>3024</v>
      </c>
      <c r="J312" t="str" cm="1">
        <f t="array" ref="J312">IF(SUM(COUNTIF(Text_Preprocessing291013[[#This Row],[full_text]],{"*makan siang gratis*";"*MBG*";"*makan gratis*";"*makan bergizi gratis*";"*makangratis*";"*makanan gratis*"})),"Relevan","Tidak Relevan")</f>
        <v>Relevan</v>
      </c>
    </row>
    <row r="313" spans="1:11" x14ac:dyDescent="0.35">
      <c r="A313" t="e">
        <f t="shared" si="4"/>
        <v>#REF!</v>
      </c>
      <c r="B313">
        <v>323</v>
      </c>
      <c r="C313" t="s">
        <v>3025</v>
      </c>
      <c r="D313" t="s">
        <v>557</v>
      </c>
      <c r="E313" t="s">
        <v>3026</v>
      </c>
      <c r="F313" t="s">
        <v>2092</v>
      </c>
      <c r="G313" t="s">
        <v>3027</v>
      </c>
      <c r="H313" t="s">
        <v>3028</v>
      </c>
      <c r="I313" t="s">
        <v>3029</v>
      </c>
      <c r="J313" t="str" cm="1">
        <f t="array" ref="J313">IF(SUM(COUNTIF(Text_Preprocessing291013[[#This Row],[full_text]],{"*makan siang gratis*";"*MBG*";"*makan gratis*";"*makan bergizi gratis*";"*makangratis*";"*makanan gratis*"})),"Relevan","Tidak Relevan")</f>
        <v>Tidak Relevan</v>
      </c>
      <c r="K313" t="s">
        <v>3622</v>
      </c>
    </row>
    <row r="314" spans="1:11" x14ac:dyDescent="0.35">
      <c r="A314" t="e">
        <f t="shared" si="4"/>
        <v>#REF!</v>
      </c>
      <c r="B314">
        <v>324</v>
      </c>
      <c r="C314" t="s">
        <v>3030</v>
      </c>
      <c r="D314" t="s">
        <v>559</v>
      </c>
      <c r="E314" t="s">
        <v>3031</v>
      </c>
      <c r="F314" t="s">
        <v>2348</v>
      </c>
      <c r="G314" t="s">
        <v>3032</v>
      </c>
      <c r="H314" t="s">
        <v>3032</v>
      </c>
      <c r="I314" t="s">
        <v>3033</v>
      </c>
      <c r="J314" t="str" cm="1">
        <f t="array" ref="J314">IF(SUM(COUNTIF(Text_Preprocessing291013[[#This Row],[full_text]],{"*makan siang gratis*";"*MBG*";"*makan gratis*";"*makan bergizi gratis*";"*makangratis*";"*makanan gratis*"})),"Relevan","Tidak Relevan")</f>
        <v>Relevan</v>
      </c>
    </row>
    <row r="315" spans="1:11" x14ac:dyDescent="0.35">
      <c r="A315" t="e">
        <f t="shared" si="4"/>
        <v>#REF!</v>
      </c>
      <c r="B315">
        <v>325</v>
      </c>
      <c r="C315" t="s">
        <v>3034</v>
      </c>
      <c r="D315" t="s">
        <v>561</v>
      </c>
      <c r="E315" t="s">
        <v>3035</v>
      </c>
      <c r="F315" t="s">
        <v>3036</v>
      </c>
      <c r="G315" t="s">
        <v>3037</v>
      </c>
      <c r="H315" t="s">
        <v>3037</v>
      </c>
      <c r="I315" t="s">
        <v>3038</v>
      </c>
      <c r="J315" t="str" cm="1">
        <f t="array" ref="J315">IF(SUM(COUNTIF(Text_Preprocessing291013[[#This Row],[full_text]],{"*makan siang gratis*";"*MBG*";"*makan gratis*";"*makan bergizi gratis*";"*makangratis*";"*makanan gratis*"})),"Relevan","Tidak Relevan")</f>
        <v>Relevan</v>
      </c>
    </row>
    <row r="316" spans="1:11" x14ac:dyDescent="0.35">
      <c r="A316" t="e">
        <f t="shared" si="4"/>
        <v>#REF!</v>
      </c>
      <c r="B316">
        <v>326</v>
      </c>
      <c r="C316" t="s">
        <v>3039</v>
      </c>
      <c r="D316" t="s">
        <v>563</v>
      </c>
      <c r="E316" t="s">
        <v>3040</v>
      </c>
      <c r="F316" t="s">
        <v>3041</v>
      </c>
      <c r="G316" t="s">
        <v>3042</v>
      </c>
      <c r="H316" t="s">
        <v>3042</v>
      </c>
      <c r="I316" t="s">
        <v>3043</v>
      </c>
      <c r="J316" t="str" cm="1">
        <f t="array" ref="J316">IF(SUM(COUNTIF(Text_Preprocessing291013[[#This Row],[full_text]],{"*makan siang gratis*";"*MBG*";"*makan gratis*";"*makan bergizi gratis*";"*makangratis*";"*makanan gratis*"})),"Relevan","Tidak Relevan")</f>
        <v>Relevan</v>
      </c>
    </row>
    <row r="317" spans="1:11" x14ac:dyDescent="0.35">
      <c r="A317" t="e">
        <f t="shared" si="4"/>
        <v>#REF!</v>
      </c>
      <c r="B317">
        <v>327</v>
      </c>
      <c r="C317" t="s">
        <v>3044</v>
      </c>
      <c r="D317" t="s">
        <v>565</v>
      </c>
      <c r="E317" t="s">
        <v>3045</v>
      </c>
      <c r="F317" t="s">
        <v>2159</v>
      </c>
      <c r="G317" t="s">
        <v>3046</v>
      </c>
      <c r="H317" t="s">
        <v>3046</v>
      </c>
      <c r="I317" t="s">
        <v>3047</v>
      </c>
      <c r="J317" t="str" cm="1">
        <f t="array" ref="J317">IF(SUM(COUNTIF(Text_Preprocessing291013[[#This Row],[full_text]],{"*makan siang gratis*";"*MBG*";"*makan gratis*";"*makan bergizi gratis*";"*makangratis*";"*makanan gratis*"})),"Relevan","Tidak Relevan")</f>
        <v>Relevan</v>
      </c>
    </row>
    <row r="318" spans="1:11" x14ac:dyDescent="0.35">
      <c r="A318" t="e">
        <f t="shared" si="4"/>
        <v>#REF!</v>
      </c>
      <c r="B318">
        <v>328</v>
      </c>
      <c r="C318" t="s">
        <v>3048</v>
      </c>
      <c r="D318" t="s">
        <v>567</v>
      </c>
      <c r="E318" t="s">
        <v>3049</v>
      </c>
      <c r="F318" t="s">
        <v>2312</v>
      </c>
      <c r="G318" t="s">
        <v>3050</v>
      </c>
      <c r="H318" t="s">
        <v>3050</v>
      </c>
      <c r="I318" t="s">
        <v>3051</v>
      </c>
      <c r="J318" t="str" cm="1">
        <f t="array" ref="J318">IF(SUM(COUNTIF(Text_Preprocessing291013[[#This Row],[full_text]],{"*makan siang gratis*";"*MBG*";"*makan gratis*";"*makan bergizi gratis*";"*makangratis*";"*makanan gratis*"})),"Relevan","Tidak Relevan")</f>
        <v>Relevan</v>
      </c>
    </row>
    <row r="319" spans="1:11" x14ac:dyDescent="0.35">
      <c r="A319" t="e">
        <f t="shared" si="4"/>
        <v>#REF!</v>
      </c>
      <c r="B319">
        <v>329</v>
      </c>
      <c r="C319" t="s">
        <v>3052</v>
      </c>
      <c r="D319" t="s">
        <v>569</v>
      </c>
      <c r="E319" t="s">
        <v>3053</v>
      </c>
      <c r="F319" t="s">
        <v>1629</v>
      </c>
      <c r="G319" t="s">
        <v>3054</v>
      </c>
      <c r="H319" t="s">
        <v>3054</v>
      </c>
      <c r="I319" t="s">
        <v>3055</v>
      </c>
      <c r="J319" t="str" cm="1">
        <f t="array" ref="J319">IF(SUM(COUNTIF(Text_Preprocessing291013[[#This Row],[full_text]],{"*makan siang gratis*";"*MBG*";"*makan gratis*";"*makan bergizi gratis*";"*makangratis*";"*makanan gratis*"})),"Relevan","Tidak Relevan")</f>
        <v>Relevan</v>
      </c>
    </row>
    <row r="320" spans="1:11" x14ac:dyDescent="0.35">
      <c r="A320" t="e">
        <f t="shared" si="4"/>
        <v>#REF!</v>
      </c>
      <c r="B320">
        <v>330</v>
      </c>
      <c r="C320" t="s">
        <v>3056</v>
      </c>
      <c r="D320" t="s">
        <v>571</v>
      </c>
      <c r="E320" t="s">
        <v>3057</v>
      </c>
      <c r="F320" t="s">
        <v>1990</v>
      </c>
      <c r="G320" t="s">
        <v>3058</v>
      </c>
      <c r="H320" t="s">
        <v>3058</v>
      </c>
      <c r="I320" t="s">
        <v>3059</v>
      </c>
      <c r="J320" t="str" cm="1">
        <f t="array" ref="J320">IF(SUM(COUNTIF(Text_Preprocessing291013[[#This Row],[full_text]],{"*makan siang gratis*";"*MBG*";"*makan gratis*";"*makan bergizi gratis*";"*makangratis*";"*makanan gratis*"})),"Relevan","Tidak Relevan")</f>
        <v>Relevan</v>
      </c>
    </row>
    <row r="321" spans="1:11" x14ac:dyDescent="0.35">
      <c r="A321" t="e">
        <f t="shared" si="4"/>
        <v>#REF!</v>
      </c>
      <c r="B321">
        <v>331</v>
      </c>
      <c r="C321" t="s">
        <v>3060</v>
      </c>
      <c r="D321" t="s">
        <v>484</v>
      </c>
      <c r="E321" t="s">
        <v>3061</v>
      </c>
      <c r="F321" t="s">
        <v>2348</v>
      </c>
      <c r="G321" t="s">
        <v>3062</v>
      </c>
      <c r="H321" t="s">
        <v>3062</v>
      </c>
      <c r="I321" t="s">
        <v>3063</v>
      </c>
      <c r="J321" t="str" cm="1">
        <f t="array" ref="J321">IF(SUM(COUNTIF(Text_Preprocessing291013[[#This Row],[full_text]],{"*makan siang gratis*";"*MBG*";"*makan gratis*";"*makan bergizi gratis*";"*makangratis*";"*makanan gratis*"})),"Relevan","Tidak Relevan")</f>
        <v>Relevan</v>
      </c>
    </row>
    <row r="322" spans="1:11" x14ac:dyDescent="0.35">
      <c r="A322" t="e">
        <f t="shared" ref="A322:A384" si="5">SUM(A321+1)</f>
        <v>#REF!</v>
      </c>
      <c r="B322">
        <v>332</v>
      </c>
      <c r="C322" t="s">
        <v>3064</v>
      </c>
      <c r="D322" t="s">
        <v>575</v>
      </c>
      <c r="E322" t="s">
        <v>3065</v>
      </c>
      <c r="F322" t="s">
        <v>2312</v>
      </c>
      <c r="G322" t="s">
        <v>3066</v>
      </c>
      <c r="H322" t="s">
        <v>3066</v>
      </c>
      <c r="I322" t="s">
        <v>3067</v>
      </c>
      <c r="J322" t="str" cm="1">
        <f t="array" ref="J322">IF(SUM(COUNTIF(Text_Preprocessing291013[[#This Row],[full_text]],{"*makan siang gratis*";"*MBG*";"*makan gratis*";"*makan bergizi gratis*";"*makangratis*";"*makanan gratis*"})),"Relevan","Tidak Relevan")</f>
        <v>Relevan</v>
      </c>
    </row>
    <row r="323" spans="1:11" x14ac:dyDescent="0.35">
      <c r="A323" t="e">
        <f t="shared" si="5"/>
        <v>#REF!</v>
      </c>
      <c r="B323">
        <v>333</v>
      </c>
      <c r="C323" t="s">
        <v>3068</v>
      </c>
      <c r="D323" t="s">
        <v>577</v>
      </c>
      <c r="E323" t="s">
        <v>3069</v>
      </c>
      <c r="F323" t="s">
        <v>3070</v>
      </c>
      <c r="G323" t="s">
        <v>3071</v>
      </c>
      <c r="H323" t="s">
        <v>3071</v>
      </c>
      <c r="I323" t="s">
        <v>3072</v>
      </c>
      <c r="J323" t="str" cm="1">
        <f t="array" ref="J323">IF(SUM(COUNTIF(Text_Preprocessing291013[[#This Row],[full_text]],{"*makan siang gratis*";"*MBG*";"*makan gratis*";"*makan bergizi gratis*";"*makangratis*";"*makanan gratis*"})),"Relevan","Tidak Relevan")</f>
        <v>Relevan</v>
      </c>
    </row>
    <row r="324" spans="1:11" x14ac:dyDescent="0.35">
      <c r="A324" t="e">
        <f t="shared" si="5"/>
        <v>#REF!</v>
      </c>
      <c r="B324">
        <v>334</v>
      </c>
      <c r="C324" t="s">
        <v>3073</v>
      </c>
      <c r="D324" t="s">
        <v>577</v>
      </c>
      <c r="E324" t="s">
        <v>3074</v>
      </c>
      <c r="F324" t="s">
        <v>1764</v>
      </c>
      <c r="G324" t="s">
        <v>3075</v>
      </c>
      <c r="H324" t="s">
        <v>3075</v>
      </c>
      <c r="I324" t="s">
        <v>3076</v>
      </c>
      <c r="J324" t="str" cm="1">
        <f t="array" ref="J324">IF(SUM(COUNTIF(Text_Preprocessing291013[[#This Row],[full_text]],{"*makan siang gratis*";"*MBG*";"*makan gratis*";"*makan bergizi gratis*";"*makangratis*";"*makanan gratis*"})),"Relevan","Tidak Relevan")</f>
        <v>Relevan</v>
      </c>
    </row>
    <row r="325" spans="1:11" x14ac:dyDescent="0.35">
      <c r="A325" t="e">
        <f t="shared" si="5"/>
        <v>#REF!</v>
      </c>
      <c r="B325">
        <v>335</v>
      </c>
      <c r="C325" t="s">
        <v>3077</v>
      </c>
      <c r="D325" t="s">
        <v>435</v>
      </c>
      <c r="E325" t="s">
        <v>3078</v>
      </c>
      <c r="F325" t="s">
        <v>3079</v>
      </c>
      <c r="G325" t="s">
        <v>3080</v>
      </c>
      <c r="H325" t="s">
        <v>3080</v>
      </c>
      <c r="I325" t="s">
        <v>3081</v>
      </c>
      <c r="J325" t="str" cm="1">
        <f t="array" ref="J325">IF(SUM(COUNTIF(Text_Preprocessing291013[[#This Row],[full_text]],{"*makan siang gratis*";"*MBG*";"*makan gratis*";"*makan bergizi gratis*";"*makangratis*";"*makanan gratis*"})),"Relevan","Tidak Relevan")</f>
        <v>Relevan</v>
      </c>
    </row>
    <row r="326" spans="1:11" x14ac:dyDescent="0.35">
      <c r="A326" t="e">
        <f t="shared" si="5"/>
        <v>#REF!</v>
      </c>
      <c r="B326">
        <v>336</v>
      </c>
      <c r="C326" t="s">
        <v>3082</v>
      </c>
      <c r="D326" t="s">
        <v>76</v>
      </c>
      <c r="E326" t="s">
        <v>3083</v>
      </c>
      <c r="F326" t="s">
        <v>2796</v>
      </c>
      <c r="G326" t="s">
        <v>3084</v>
      </c>
      <c r="H326" t="s">
        <v>3084</v>
      </c>
      <c r="I326" t="s">
        <v>3085</v>
      </c>
      <c r="J326" t="str" cm="1">
        <f t="array" ref="J326">IF(SUM(COUNTIF(Text_Preprocessing291013[[#This Row],[full_text]],{"*makan siang gratis*";"*MBG*";"*makan gratis*";"*makan bergizi gratis*";"*makangratis*";"*makanan gratis*"})),"Relevan","Tidak Relevan")</f>
        <v>Relevan</v>
      </c>
    </row>
    <row r="327" spans="1:11" x14ac:dyDescent="0.35">
      <c r="A327" t="e">
        <f t="shared" si="5"/>
        <v>#REF!</v>
      </c>
      <c r="B327">
        <v>337</v>
      </c>
      <c r="C327" t="s">
        <v>3086</v>
      </c>
      <c r="D327" t="s">
        <v>582</v>
      </c>
      <c r="E327" t="s">
        <v>3087</v>
      </c>
      <c r="F327" t="s">
        <v>1613</v>
      </c>
      <c r="G327" t="s">
        <v>3088</v>
      </c>
      <c r="H327" t="s">
        <v>3693</v>
      </c>
      <c r="I327" t="s">
        <v>3694</v>
      </c>
      <c r="J327" t="str" cm="1">
        <f t="array" ref="J327">IF(SUM(COUNTIF(Text_Preprocessing291013[[#This Row],[full_text]],{"*makan siang gratis*";"*MBG*";"*makan gratis*";"*makan bergizi gratis*";"*makangratis*";"*makanan gratis*"})),"Relevan","Tidak Relevan")</f>
        <v>Relevan</v>
      </c>
    </row>
    <row r="328" spans="1:11" x14ac:dyDescent="0.35">
      <c r="A328" t="e">
        <f t="shared" si="5"/>
        <v>#REF!</v>
      </c>
      <c r="B328">
        <v>338</v>
      </c>
      <c r="C328" t="s">
        <v>3091</v>
      </c>
      <c r="D328" t="s">
        <v>584</v>
      </c>
      <c r="E328" t="s">
        <v>3092</v>
      </c>
      <c r="F328" t="s">
        <v>3079</v>
      </c>
      <c r="G328" t="s">
        <v>3093</v>
      </c>
      <c r="H328" t="s">
        <v>3093</v>
      </c>
      <c r="I328" t="s">
        <v>3094</v>
      </c>
      <c r="J328" t="str" cm="1">
        <f t="array" ref="J328">IF(SUM(COUNTIF(Text_Preprocessing291013[[#This Row],[full_text]],{"*makan siang gratis*";"*MBG*";"*makan gratis*";"*makan bergizi gratis*";"*makangratis*";"*makanan gratis*"})),"Relevan","Tidak Relevan")</f>
        <v>Tidak Relevan</v>
      </c>
      <c r="K328" t="s">
        <v>3622</v>
      </c>
    </row>
    <row r="329" spans="1:11" x14ac:dyDescent="0.35">
      <c r="A329" t="e">
        <f t="shared" si="5"/>
        <v>#REF!</v>
      </c>
      <c r="B329">
        <v>339</v>
      </c>
      <c r="C329" t="s">
        <v>3095</v>
      </c>
      <c r="D329" t="s">
        <v>586</v>
      </c>
      <c r="E329" t="s">
        <v>3096</v>
      </c>
      <c r="F329" t="s">
        <v>1663</v>
      </c>
      <c r="G329" t="s">
        <v>3097</v>
      </c>
      <c r="H329" t="s">
        <v>3098</v>
      </c>
      <c r="I329" t="s">
        <v>3099</v>
      </c>
      <c r="J329" t="str" cm="1">
        <f t="array" ref="J329">IF(SUM(COUNTIF(Text_Preprocessing291013[[#This Row],[full_text]],{"*makan siang gratis*";"*MBG*";"*makan gratis*";"*makan bergizi gratis*";"*makangratis*";"*makanan gratis*"})),"Relevan","Tidak Relevan")</f>
        <v>Tidak Relevan</v>
      </c>
      <c r="K329" t="s">
        <v>3622</v>
      </c>
    </row>
    <row r="330" spans="1:11" x14ac:dyDescent="0.35">
      <c r="A330" t="e">
        <f t="shared" si="5"/>
        <v>#REF!</v>
      </c>
      <c r="B330">
        <v>340</v>
      </c>
      <c r="C330" t="s">
        <v>3100</v>
      </c>
      <c r="D330" t="s">
        <v>588</v>
      </c>
      <c r="E330" t="s">
        <v>3101</v>
      </c>
      <c r="F330" t="s">
        <v>2558</v>
      </c>
      <c r="G330" t="s">
        <v>3102</v>
      </c>
      <c r="H330" t="s">
        <v>3103</v>
      </c>
      <c r="I330" t="s">
        <v>3104</v>
      </c>
      <c r="J330" t="str" cm="1">
        <f t="array" ref="J330">IF(SUM(COUNTIF(Text_Preprocessing291013[[#This Row],[full_text]],{"*makan siang gratis*";"*MBG*";"*makan gratis*";"*makan bergizi gratis*";"*makangratis*";"*makanan gratis*"})),"Relevan","Tidak Relevan")</f>
        <v>Relevan</v>
      </c>
    </row>
    <row r="331" spans="1:11" x14ac:dyDescent="0.35">
      <c r="A331" t="e">
        <f t="shared" si="5"/>
        <v>#REF!</v>
      </c>
      <c r="B331">
        <v>341</v>
      </c>
      <c r="C331" t="s">
        <v>3105</v>
      </c>
      <c r="D331" t="s">
        <v>590</v>
      </c>
      <c r="E331" t="s">
        <v>3106</v>
      </c>
      <c r="F331" t="s">
        <v>3107</v>
      </c>
      <c r="G331" t="s">
        <v>3108</v>
      </c>
      <c r="H331" t="s">
        <v>3695</v>
      </c>
      <c r="I331" t="s">
        <v>3696</v>
      </c>
      <c r="J331" t="str" cm="1">
        <f t="array" ref="J331">IF(SUM(COUNTIF(Text_Preprocessing291013[[#This Row],[full_text]],{"*makan siang gratis*";"*MBG*";"*makan gratis*";"*makan bergizi gratis*";"*makangratis*";"*makanan gratis*"})),"Relevan","Tidak Relevan")</f>
        <v>Relevan</v>
      </c>
    </row>
    <row r="332" spans="1:11" x14ac:dyDescent="0.35">
      <c r="A332" t="e">
        <f t="shared" si="5"/>
        <v>#REF!</v>
      </c>
      <c r="B332">
        <v>342</v>
      </c>
      <c r="C332" t="s">
        <v>3111</v>
      </c>
      <c r="D332" t="s">
        <v>592</v>
      </c>
      <c r="E332" t="s">
        <v>3112</v>
      </c>
      <c r="F332" t="s">
        <v>3113</v>
      </c>
      <c r="G332" t="s">
        <v>3114</v>
      </c>
      <c r="H332" t="s">
        <v>3114</v>
      </c>
      <c r="I332" t="s">
        <v>3115</v>
      </c>
      <c r="J332" t="str" cm="1">
        <f t="array" ref="J332">IF(SUM(COUNTIF(Text_Preprocessing291013[[#This Row],[full_text]],{"*makan siang gratis*";"*MBG*";"*makan gratis*";"*makan bergizi gratis*";"*makangratis*";"*makanan gratis*"})),"Relevan","Tidak Relevan")</f>
        <v>Relevan</v>
      </c>
    </row>
    <row r="333" spans="1:11" x14ac:dyDescent="0.35">
      <c r="A333" t="e">
        <f t="shared" si="5"/>
        <v>#REF!</v>
      </c>
      <c r="B333">
        <v>343</v>
      </c>
      <c r="C333" t="s">
        <v>3116</v>
      </c>
      <c r="D333" t="s">
        <v>594</v>
      </c>
      <c r="E333" t="s">
        <v>3117</v>
      </c>
      <c r="F333" t="s">
        <v>3118</v>
      </c>
      <c r="G333" t="s">
        <v>3119</v>
      </c>
      <c r="H333" t="s">
        <v>3119</v>
      </c>
      <c r="I333" t="s">
        <v>3120</v>
      </c>
      <c r="J333" t="str" cm="1">
        <f t="array" ref="J333">IF(SUM(COUNTIF(Text_Preprocessing291013[[#This Row],[full_text]],{"*makan siang gratis*";"*MBG*";"*makan gratis*";"*makan bergizi gratis*";"*makangratis*";"*makanan gratis*"})),"Relevan","Tidak Relevan")</f>
        <v>Relevan</v>
      </c>
    </row>
    <row r="334" spans="1:11" x14ac:dyDescent="0.35">
      <c r="A334" t="e">
        <f t="shared" si="5"/>
        <v>#REF!</v>
      </c>
      <c r="B334">
        <v>344</v>
      </c>
      <c r="C334" t="s">
        <v>3121</v>
      </c>
      <c r="D334" t="s">
        <v>596</v>
      </c>
      <c r="E334" t="s">
        <v>3122</v>
      </c>
      <c r="F334" t="s">
        <v>1853</v>
      </c>
      <c r="G334" t="s">
        <v>3123</v>
      </c>
      <c r="H334" t="s">
        <v>3123</v>
      </c>
      <c r="I334" t="s">
        <v>3124</v>
      </c>
      <c r="J334" t="str" cm="1">
        <f t="array" ref="J334">IF(SUM(COUNTIF(Text_Preprocessing291013[[#This Row],[full_text]],{"*makan siang gratis*";"*MBG*";"*makan gratis*";"*makan bergizi gratis*";"*makangratis*";"*makanan gratis*"})),"Relevan","Tidak Relevan")</f>
        <v>Relevan</v>
      </c>
    </row>
    <row r="335" spans="1:11" x14ac:dyDescent="0.35">
      <c r="A335" t="e">
        <f t="shared" si="5"/>
        <v>#REF!</v>
      </c>
      <c r="B335">
        <v>345</v>
      </c>
      <c r="C335" t="s">
        <v>3125</v>
      </c>
      <c r="D335" t="s">
        <v>598</v>
      </c>
      <c r="E335" t="s">
        <v>3126</v>
      </c>
      <c r="F335" t="s">
        <v>2229</v>
      </c>
      <c r="G335" t="s">
        <v>3127</v>
      </c>
      <c r="H335" t="s">
        <v>3127</v>
      </c>
      <c r="I335" t="s">
        <v>3128</v>
      </c>
      <c r="J335" t="str" cm="1">
        <f t="array" ref="J335">IF(SUM(COUNTIF(Text_Preprocessing291013[[#This Row],[full_text]],{"*makan siang gratis*";"*MBG*";"*makan gratis*";"*makan bergizi gratis*";"*makangratis*";"*makanan gratis*"})),"Relevan","Tidak Relevan")</f>
        <v>Relevan</v>
      </c>
    </row>
    <row r="336" spans="1:11" x14ac:dyDescent="0.35">
      <c r="A336" t="e">
        <f t="shared" si="5"/>
        <v>#REF!</v>
      </c>
      <c r="B336">
        <v>346</v>
      </c>
      <c r="C336" t="s">
        <v>3129</v>
      </c>
      <c r="D336" t="s">
        <v>600</v>
      </c>
      <c r="E336" t="s">
        <v>3130</v>
      </c>
      <c r="F336" t="s">
        <v>3131</v>
      </c>
      <c r="G336" t="s">
        <v>3130</v>
      </c>
      <c r="H336" t="s">
        <v>3130</v>
      </c>
      <c r="I336" t="s">
        <v>3132</v>
      </c>
      <c r="J336" t="str" cm="1">
        <f t="array" ref="J336">IF(SUM(COUNTIF(Text_Preprocessing291013[[#This Row],[full_text]],{"*makan siang gratis*";"*MBG*";"*makan gratis*";"*makan bergizi gratis*";"*makangratis*";"*makanan gratis*"})),"Relevan","Tidak Relevan")</f>
        <v>Relevan</v>
      </c>
    </row>
    <row r="337" spans="1:10" x14ac:dyDescent="0.35">
      <c r="A337" t="e">
        <f t="shared" si="5"/>
        <v>#REF!</v>
      </c>
      <c r="B337">
        <v>347</v>
      </c>
      <c r="C337" t="s">
        <v>3133</v>
      </c>
      <c r="D337" t="s">
        <v>602</v>
      </c>
      <c r="E337" t="s">
        <v>3134</v>
      </c>
      <c r="F337" t="s">
        <v>2862</v>
      </c>
      <c r="G337" t="s">
        <v>3135</v>
      </c>
      <c r="H337" t="s">
        <v>3135</v>
      </c>
      <c r="I337" t="s">
        <v>3136</v>
      </c>
      <c r="J337" t="str" cm="1">
        <f t="array" ref="J337">IF(SUM(COUNTIF(Text_Preprocessing291013[[#This Row],[full_text]],{"*makan siang gratis*";"*MBG*";"*makan gratis*";"*makan bergizi gratis*";"*makangratis*";"*makanan gratis*"})),"Relevan","Tidak Relevan")</f>
        <v>Relevan</v>
      </c>
    </row>
    <row r="338" spans="1:10" x14ac:dyDescent="0.35">
      <c r="A338" t="e">
        <f t="shared" si="5"/>
        <v>#REF!</v>
      </c>
      <c r="B338">
        <v>348</v>
      </c>
      <c r="C338" t="s">
        <v>3137</v>
      </c>
      <c r="D338" t="s">
        <v>604</v>
      </c>
      <c r="E338" t="s">
        <v>3138</v>
      </c>
      <c r="F338" t="s">
        <v>2558</v>
      </c>
      <c r="G338" t="s">
        <v>3139</v>
      </c>
      <c r="H338" t="s">
        <v>3139</v>
      </c>
      <c r="I338" t="s">
        <v>3140</v>
      </c>
      <c r="J338" t="str" cm="1">
        <f t="array" ref="J338">IF(SUM(COUNTIF(Text_Preprocessing291013[[#This Row],[full_text]],{"*makan siang gratis*";"*MBG*";"*makan gratis*";"*makan bergizi gratis*";"*makangratis*";"*makanan gratis*"})),"Relevan","Tidak Relevan")</f>
        <v>Relevan</v>
      </c>
    </row>
    <row r="339" spans="1:10" x14ac:dyDescent="0.35">
      <c r="A339" t="e">
        <f t="shared" si="5"/>
        <v>#REF!</v>
      </c>
      <c r="B339">
        <v>349</v>
      </c>
      <c r="C339" t="s">
        <v>3141</v>
      </c>
      <c r="D339" t="s">
        <v>606</v>
      </c>
      <c r="E339" t="s">
        <v>3142</v>
      </c>
      <c r="F339" t="s">
        <v>2154</v>
      </c>
      <c r="G339" t="s">
        <v>3143</v>
      </c>
      <c r="H339" t="s">
        <v>3144</v>
      </c>
      <c r="I339" t="s">
        <v>3145</v>
      </c>
      <c r="J339" t="str" cm="1">
        <f t="array" ref="J339">IF(SUM(COUNTIF(Text_Preprocessing291013[[#This Row],[full_text]],{"*makan siang gratis*";"*MBG*";"*makan gratis*";"*makan bergizi gratis*";"*makangratis*";"*makanan gratis*"})),"Relevan","Tidak Relevan")</f>
        <v>Relevan</v>
      </c>
    </row>
    <row r="340" spans="1:10" x14ac:dyDescent="0.35">
      <c r="A340" t="e">
        <f t="shared" si="5"/>
        <v>#REF!</v>
      </c>
      <c r="B340">
        <v>350</v>
      </c>
      <c r="C340" t="s">
        <v>3146</v>
      </c>
      <c r="D340" t="s">
        <v>608</v>
      </c>
      <c r="E340" t="s">
        <v>3147</v>
      </c>
      <c r="F340" t="s">
        <v>1785</v>
      </c>
      <c r="G340" t="s">
        <v>3148</v>
      </c>
      <c r="H340" t="s">
        <v>3148</v>
      </c>
      <c r="I340" t="s">
        <v>3149</v>
      </c>
      <c r="J340" t="str" cm="1">
        <f t="array" ref="J340">IF(SUM(COUNTIF(Text_Preprocessing291013[[#This Row],[full_text]],{"*makan siang gratis*";"*MBG*";"*makan gratis*";"*makan bergizi gratis*";"*makangratis*";"*makanan gratis*"})),"Relevan","Tidak Relevan")</f>
        <v>Relevan</v>
      </c>
    </row>
    <row r="341" spans="1:10" x14ac:dyDescent="0.35">
      <c r="A341" t="e">
        <f t="shared" si="5"/>
        <v>#REF!</v>
      </c>
      <c r="B341">
        <v>351</v>
      </c>
      <c r="C341" t="s">
        <v>3150</v>
      </c>
      <c r="D341" t="s">
        <v>610</v>
      </c>
      <c r="E341" t="s">
        <v>3151</v>
      </c>
      <c r="F341" t="s">
        <v>1764</v>
      </c>
      <c r="G341" t="s">
        <v>3152</v>
      </c>
      <c r="H341" t="s">
        <v>3152</v>
      </c>
      <c r="I341" t="s">
        <v>3153</v>
      </c>
      <c r="J341" t="str" cm="1">
        <f t="array" ref="J341">IF(SUM(COUNTIF(Text_Preprocessing291013[[#This Row],[full_text]],{"*makan siang gratis*";"*MBG*";"*makan gratis*";"*makan bergizi gratis*";"*makangratis*";"*makanan gratis*"})),"Relevan","Tidak Relevan")</f>
        <v>Relevan</v>
      </c>
    </row>
    <row r="342" spans="1:10" x14ac:dyDescent="0.35">
      <c r="A342" t="e">
        <f t="shared" si="5"/>
        <v>#REF!</v>
      </c>
      <c r="B342">
        <v>352</v>
      </c>
      <c r="C342" t="s">
        <v>3154</v>
      </c>
      <c r="D342" t="s">
        <v>612</v>
      </c>
      <c r="E342" t="s">
        <v>3155</v>
      </c>
      <c r="F342" t="s">
        <v>1799</v>
      </c>
      <c r="G342" t="s">
        <v>3156</v>
      </c>
      <c r="H342" t="s">
        <v>3156</v>
      </c>
      <c r="I342" t="s">
        <v>3157</v>
      </c>
      <c r="J342" t="str" cm="1">
        <f t="array" ref="J342">IF(SUM(COUNTIF(Text_Preprocessing291013[[#This Row],[full_text]],{"*makan siang gratis*";"*MBG*";"*makan gratis*";"*makan bergizi gratis*";"*makangratis*";"*makanan gratis*"})),"Relevan","Tidak Relevan")</f>
        <v>Relevan</v>
      </c>
    </row>
    <row r="343" spans="1:10" x14ac:dyDescent="0.35">
      <c r="A343" t="e">
        <f t="shared" si="5"/>
        <v>#REF!</v>
      </c>
      <c r="B343">
        <v>353</v>
      </c>
      <c r="C343" t="s">
        <v>3158</v>
      </c>
      <c r="D343" t="s">
        <v>614</v>
      </c>
      <c r="E343" t="s">
        <v>3159</v>
      </c>
      <c r="F343" t="s">
        <v>1799</v>
      </c>
      <c r="G343" t="s">
        <v>3160</v>
      </c>
      <c r="H343" t="s">
        <v>3160</v>
      </c>
      <c r="I343" t="s">
        <v>3161</v>
      </c>
      <c r="J343" t="str" cm="1">
        <f t="array" ref="J343">IF(SUM(COUNTIF(Text_Preprocessing291013[[#This Row],[full_text]],{"*makan siang gratis*";"*MBG*";"*makan gratis*";"*makan bergizi gratis*";"*makangratis*";"*makanan gratis*"})),"Relevan","Tidak Relevan")</f>
        <v>Relevan</v>
      </c>
    </row>
    <row r="344" spans="1:10" x14ac:dyDescent="0.35">
      <c r="A344" t="e">
        <f t="shared" si="5"/>
        <v>#REF!</v>
      </c>
      <c r="B344">
        <v>354</v>
      </c>
      <c r="C344" t="s">
        <v>3162</v>
      </c>
      <c r="D344" t="s">
        <v>614</v>
      </c>
      <c r="E344" t="s">
        <v>3163</v>
      </c>
      <c r="F344" t="s">
        <v>1829</v>
      </c>
      <c r="G344" t="s">
        <v>3164</v>
      </c>
      <c r="H344" t="s">
        <v>3164</v>
      </c>
      <c r="I344" t="s">
        <v>3165</v>
      </c>
      <c r="J344" t="str" cm="1">
        <f t="array" ref="J344">IF(SUM(COUNTIF(Text_Preprocessing291013[[#This Row],[full_text]],{"*makan siang gratis*";"*MBG*";"*makan gratis*";"*makan bergizi gratis*";"*makangratis*";"*makanan gratis*"})),"Relevan","Tidak Relevan")</f>
        <v>Relevan</v>
      </c>
    </row>
    <row r="345" spans="1:10" x14ac:dyDescent="0.35">
      <c r="A345" t="e">
        <f t="shared" si="5"/>
        <v>#REF!</v>
      </c>
      <c r="B345">
        <v>355</v>
      </c>
      <c r="C345" t="s">
        <v>3166</v>
      </c>
      <c r="D345" t="s">
        <v>617</v>
      </c>
      <c r="E345" t="s">
        <v>3167</v>
      </c>
      <c r="F345" t="s">
        <v>2505</v>
      </c>
      <c r="G345" t="s">
        <v>3168</v>
      </c>
      <c r="H345" t="s">
        <v>3168</v>
      </c>
      <c r="I345" t="s">
        <v>3169</v>
      </c>
      <c r="J345" t="str" cm="1">
        <f t="array" ref="J345">IF(SUM(COUNTIF(Text_Preprocessing291013[[#This Row],[full_text]],{"*makan siang gratis*";"*MBG*";"*makan gratis*";"*makan bergizi gratis*";"*makangratis*";"*makanan gratis*"})),"Relevan","Tidak Relevan")</f>
        <v>Relevan</v>
      </c>
    </row>
    <row r="346" spans="1:10" x14ac:dyDescent="0.35">
      <c r="A346" t="e">
        <f t="shared" si="5"/>
        <v>#REF!</v>
      </c>
      <c r="B346">
        <v>356</v>
      </c>
      <c r="C346" t="s">
        <v>3170</v>
      </c>
      <c r="D346" t="s">
        <v>221</v>
      </c>
      <c r="E346" t="s">
        <v>3171</v>
      </c>
      <c r="F346" t="s">
        <v>1804</v>
      </c>
      <c r="G346" t="s">
        <v>3171</v>
      </c>
      <c r="H346" t="s">
        <v>3171</v>
      </c>
      <c r="I346" t="s">
        <v>3172</v>
      </c>
      <c r="J346" t="str" cm="1">
        <f t="array" ref="J346">IF(SUM(COUNTIF(Text_Preprocessing291013[[#This Row],[full_text]],{"*makan siang gratis*";"*MBG*";"*makan gratis*";"*makan bergizi gratis*";"*makangratis*";"*makanan gratis*"})),"Relevan","Tidak Relevan")</f>
        <v>Relevan</v>
      </c>
    </row>
    <row r="347" spans="1:10" x14ac:dyDescent="0.35">
      <c r="A347" t="e">
        <f t="shared" si="5"/>
        <v>#REF!</v>
      </c>
      <c r="B347">
        <v>357</v>
      </c>
      <c r="C347" t="s">
        <v>3173</v>
      </c>
      <c r="D347" t="s">
        <v>620</v>
      </c>
      <c r="E347" t="s">
        <v>3174</v>
      </c>
      <c r="F347" t="s">
        <v>2604</v>
      </c>
      <c r="G347" t="s">
        <v>3175</v>
      </c>
      <c r="H347" t="s">
        <v>3175</v>
      </c>
      <c r="I347" t="s">
        <v>3176</v>
      </c>
      <c r="J347" t="str" cm="1">
        <f t="array" ref="J347">IF(SUM(COUNTIF(Text_Preprocessing291013[[#This Row],[full_text]],{"*makan siang gratis*";"*MBG*";"*makan gratis*";"*makan bergizi gratis*";"*makangratis*";"*makanan gratis*"})),"Relevan","Tidak Relevan")</f>
        <v>Relevan</v>
      </c>
    </row>
    <row r="348" spans="1:10" x14ac:dyDescent="0.35">
      <c r="A348" t="e">
        <f t="shared" si="5"/>
        <v>#REF!</v>
      </c>
      <c r="B348">
        <v>358</v>
      </c>
      <c r="C348" t="s">
        <v>3177</v>
      </c>
      <c r="D348" t="s">
        <v>460</v>
      </c>
      <c r="E348" t="s">
        <v>3178</v>
      </c>
      <c r="F348" t="s">
        <v>1844</v>
      </c>
      <c r="G348" t="s">
        <v>3179</v>
      </c>
      <c r="H348" t="s">
        <v>3179</v>
      </c>
      <c r="I348" t="s">
        <v>3180</v>
      </c>
      <c r="J348" t="str" cm="1">
        <f t="array" ref="J348">IF(SUM(COUNTIF(Text_Preprocessing291013[[#This Row],[full_text]],{"*makan siang gratis*";"*MBG*";"*makan gratis*";"*makan bergizi gratis*";"*makangratis*";"*makanan gratis*"})),"Relevan","Tidak Relevan")</f>
        <v>Relevan</v>
      </c>
    </row>
    <row r="349" spans="1:10" x14ac:dyDescent="0.35">
      <c r="A349" t="e">
        <f t="shared" si="5"/>
        <v>#REF!</v>
      </c>
      <c r="B349">
        <v>359</v>
      </c>
      <c r="C349" t="s">
        <v>3181</v>
      </c>
      <c r="D349" t="s">
        <v>460</v>
      </c>
      <c r="E349" t="s">
        <v>3182</v>
      </c>
      <c r="F349" t="s">
        <v>1730</v>
      </c>
      <c r="G349" t="s">
        <v>3183</v>
      </c>
      <c r="H349" t="s">
        <v>3183</v>
      </c>
      <c r="I349" t="s">
        <v>3184</v>
      </c>
      <c r="J349" t="str" cm="1">
        <f t="array" ref="J349">IF(SUM(COUNTIF(Text_Preprocessing291013[[#This Row],[full_text]],{"*makan siang gratis*";"*MBG*";"*makan gratis*";"*makan bergizi gratis*";"*makangratis*";"*makanan gratis*"})),"Relevan","Tidak Relevan")</f>
        <v>Relevan</v>
      </c>
    </row>
    <row r="350" spans="1:10" x14ac:dyDescent="0.35">
      <c r="A350" t="e">
        <f t="shared" si="5"/>
        <v>#REF!</v>
      </c>
      <c r="B350">
        <v>360</v>
      </c>
      <c r="C350" t="s">
        <v>3185</v>
      </c>
      <c r="D350" t="s">
        <v>460</v>
      </c>
      <c r="E350" t="s">
        <v>3186</v>
      </c>
      <c r="F350" t="s">
        <v>1929</v>
      </c>
      <c r="G350" t="s">
        <v>3187</v>
      </c>
      <c r="H350" t="s">
        <v>3187</v>
      </c>
      <c r="I350" t="s">
        <v>3188</v>
      </c>
      <c r="J350" t="str" cm="1">
        <f t="array" ref="J350">IF(SUM(COUNTIF(Text_Preprocessing291013[[#This Row],[full_text]],{"*makan siang gratis*";"*MBG*";"*makan gratis*";"*makan bergizi gratis*";"*makangratis*";"*makanan gratis*"})),"Relevan","Tidak Relevan")</f>
        <v>Relevan</v>
      </c>
    </row>
    <row r="351" spans="1:10" x14ac:dyDescent="0.35">
      <c r="A351" t="e">
        <f t="shared" si="5"/>
        <v>#REF!</v>
      </c>
      <c r="B351">
        <v>361</v>
      </c>
      <c r="C351" t="s">
        <v>3189</v>
      </c>
      <c r="D351" t="s">
        <v>460</v>
      </c>
      <c r="E351" t="s">
        <v>3190</v>
      </c>
      <c r="F351" t="s">
        <v>1929</v>
      </c>
      <c r="G351" t="s">
        <v>3191</v>
      </c>
      <c r="H351" t="s">
        <v>3191</v>
      </c>
      <c r="I351" t="s">
        <v>3192</v>
      </c>
      <c r="J351" t="str" cm="1">
        <f t="array" ref="J351">IF(SUM(COUNTIF(Text_Preprocessing291013[[#This Row],[full_text]],{"*makan siang gratis*";"*MBG*";"*makan gratis*";"*makan bergizi gratis*";"*makangratis*";"*makanan gratis*"})),"Relevan","Tidak Relevan")</f>
        <v>Relevan</v>
      </c>
    </row>
    <row r="352" spans="1:10" x14ac:dyDescent="0.35">
      <c r="A352" t="e">
        <f t="shared" si="5"/>
        <v>#REF!</v>
      </c>
      <c r="B352">
        <v>362</v>
      </c>
      <c r="C352" t="s">
        <v>3193</v>
      </c>
      <c r="D352" t="s">
        <v>620</v>
      </c>
      <c r="E352" t="s">
        <v>3194</v>
      </c>
      <c r="F352" t="s">
        <v>1719</v>
      </c>
      <c r="G352" t="s">
        <v>3195</v>
      </c>
      <c r="H352" t="s">
        <v>3195</v>
      </c>
      <c r="I352" t="s">
        <v>3196</v>
      </c>
      <c r="J352" t="str" cm="1">
        <f t="array" ref="J352">IF(SUM(COUNTIF(Text_Preprocessing291013[[#This Row],[full_text]],{"*makan siang gratis*";"*MBG*";"*makan gratis*";"*makan bergizi gratis*";"*makangratis*";"*makanan gratis*"})),"Relevan","Tidak Relevan")</f>
        <v>Relevan</v>
      </c>
    </row>
    <row r="353" spans="1:11" x14ac:dyDescent="0.35">
      <c r="A353" t="e">
        <f t="shared" si="5"/>
        <v>#REF!</v>
      </c>
      <c r="B353">
        <v>363</v>
      </c>
      <c r="C353" t="s">
        <v>3197</v>
      </c>
      <c r="D353" t="s">
        <v>460</v>
      </c>
      <c r="E353" t="s">
        <v>3198</v>
      </c>
      <c r="F353" t="s">
        <v>1730</v>
      </c>
      <c r="G353" t="s">
        <v>3199</v>
      </c>
      <c r="H353" t="s">
        <v>3199</v>
      </c>
      <c r="I353" t="s">
        <v>3200</v>
      </c>
      <c r="J353" t="str" cm="1">
        <f t="array" ref="J353">IF(SUM(COUNTIF(Text_Preprocessing291013[[#This Row],[full_text]],{"*makan siang gratis*";"*MBG*";"*makan gratis*";"*makan bergizi gratis*";"*makangratis*";"*makanan gratis*"})),"Relevan","Tidak Relevan")</f>
        <v>Relevan</v>
      </c>
    </row>
    <row r="354" spans="1:11" x14ac:dyDescent="0.35">
      <c r="A354" t="e">
        <f t="shared" si="5"/>
        <v>#REF!</v>
      </c>
      <c r="B354">
        <v>364</v>
      </c>
      <c r="C354" t="s">
        <v>3201</v>
      </c>
      <c r="D354" t="s">
        <v>93</v>
      </c>
      <c r="E354" t="s">
        <v>3202</v>
      </c>
      <c r="F354" t="s">
        <v>2215</v>
      </c>
      <c r="G354" t="s">
        <v>3203</v>
      </c>
      <c r="H354" t="s">
        <v>3203</v>
      </c>
      <c r="I354" t="s">
        <v>3204</v>
      </c>
      <c r="J354" t="str" cm="1">
        <f t="array" ref="J354">IF(SUM(COUNTIF(Text_Preprocessing291013[[#This Row],[full_text]],{"*makan siang gratis*";"*MBG*";"*makan gratis*";"*makan bergizi gratis*";"*makangratis*";"*makanan gratis*"})),"Relevan","Tidak Relevan")</f>
        <v>Relevan</v>
      </c>
    </row>
    <row r="355" spans="1:11" x14ac:dyDescent="0.35">
      <c r="A355" t="e">
        <f t="shared" si="5"/>
        <v>#REF!</v>
      </c>
      <c r="B355">
        <v>365</v>
      </c>
      <c r="C355" t="s">
        <v>3205</v>
      </c>
      <c r="D355" t="s">
        <v>629</v>
      </c>
      <c r="E355" t="s">
        <v>3206</v>
      </c>
      <c r="F355" t="s">
        <v>1730</v>
      </c>
      <c r="G355" t="s">
        <v>3207</v>
      </c>
      <c r="H355" t="s">
        <v>3207</v>
      </c>
      <c r="I355" t="s">
        <v>3208</v>
      </c>
      <c r="J355" t="str" cm="1">
        <f t="array" ref="J355">IF(SUM(COUNTIF(Text_Preprocessing291013[[#This Row],[full_text]],{"*makan siang gratis*";"*MBG*";"*makan gratis*";"*makan bergizi gratis*";"*makangratis*";"*makanan gratis*"})),"Relevan","Tidak Relevan")</f>
        <v>Relevan</v>
      </c>
    </row>
    <row r="356" spans="1:11" x14ac:dyDescent="0.35">
      <c r="A356" t="e">
        <f t="shared" si="5"/>
        <v>#REF!</v>
      </c>
      <c r="B356">
        <v>366</v>
      </c>
      <c r="C356" t="s">
        <v>3209</v>
      </c>
      <c r="D356" t="s">
        <v>629</v>
      </c>
      <c r="E356" t="s">
        <v>3210</v>
      </c>
      <c r="F356" t="s">
        <v>1692</v>
      </c>
      <c r="G356" t="s">
        <v>3211</v>
      </c>
      <c r="H356" t="s">
        <v>3211</v>
      </c>
      <c r="I356" t="s">
        <v>3212</v>
      </c>
      <c r="J356" t="str" cm="1">
        <f t="array" ref="J356">IF(SUM(COUNTIF(Text_Preprocessing291013[[#This Row],[full_text]],{"*makan siang gratis*";"*MBG*";"*makan gratis*";"*makan bergizi gratis*";"*makangratis*";"*makanan gratis*"})),"Relevan","Tidak Relevan")</f>
        <v>Relevan</v>
      </c>
    </row>
    <row r="357" spans="1:11" x14ac:dyDescent="0.35">
      <c r="A357" t="e">
        <f t="shared" si="5"/>
        <v>#REF!</v>
      </c>
      <c r="B357">
        <v>367</v>
      </c>
      <c r="C357" t="s">
        <v>3213</v>
      </c>
      <c r="D357" t="s">
        <v>629</v>
      </c>
      <c r="E357" t="s">
        <v>3214</v>
      </c>
      <c r="F357" t="s">
        <v>1929</v>
      </c>
      <c r="G357" t="s">
        <v>3215</v>
      </c>
      <c r="H357" t="s">
        <v>3215</v>
      </c>
      <c r="I357" t="s">
        <v>3216</v>
      </c>
      <c r="J357" t="str" cm="1">
        <f t="array" ref="J357">IF(SUM(COUNTIF(Text_Preprocessing291013[[#This Row],[full_text]],{"*makan siang gratis*";"*MBG*";"*makan gratis*";"*makan bergizi gratis*";"*makangratis*";"*makanan gratis*"})),"Relevan","Tidak Relevan")</f>
        <v>Relevan</v>
      </c>
    </row>
    <row r="358" spans="1:11" x14ac:dyDescent="0.35">
      <c r="A358" t="e">
        <f t="shared" si="5"/>
        <v>#REF!</v>
      </c>
      <c r="B358">
        <v>368</v>
      </c>
      <c r="C358" t="s">
        <v>3217</v>
      </c>
      <c r="D358" t="s">
        <v>629</v>
      </c>
      <c r="E358" t="s">
        <v>3218</v>
      </c>
      <c r="F358" t="s">
        <v>1730</v>
      </c>
      <c r="G358" t="s">
        <v>3219</v>
      </c>
      <c r="H358" t="s">
        <v>3219</v>
      </c>
      <c r="I358" t="s">
        <v>3220</v>
      </c>
      <c r="J358" t="str" cm="1">
        <f t="array" ref="J358">IF(SUM(COUNTIF(Text_Preprocessing291013[[#This Row],[full_text]],{"*makan siang gratis*";"*MBG*";"*makan gratis*";"*makan bergizi gratis*";"*makangratis*";"*makanan gratis*"})),"Relevan","Tidak Relevan")</f>
        <v>Relevan</v>
      </c>
    </row>
    <row r="359" spans="1:11" x14ac:dyDescent="0.35">
      <c r="A359" t="e">
        <f t="shared" si="5"/>
        <v>#REF!</v>
      </c>
      <c r="B359">
        <v>369</v>
      </c>
      <c r="C359" t="s">
        <v>3221</v>
      </c>
      <c r="D359" t="s">
        <v>634</v>
      </c>
      <c r="E359" t="s">
        <v>3222</v>
      </c>
      <c r="F359" t="s">
        <v>2748</v>
      </c>
      <c r="G359" t="s">
        <v>3223</v>
      </c>
      <c r="H359" t="s">
        <v>3223</v>
      </c>
      <c r="I359" t="s">
        <v>3224</v>
      </c>
      <c r="J359" t="str" cm="1">
        <f t="array" ref="J359">IF(SUM(COUNTIF(Text_Preprocessing291013[[#This Row],[full_text]],{"*makan siang gratis*";"*MBG*";"*makan gratis*";"*makan bergizi gratis*";"*makangratis*";"*makanan gratis*"})),"Relevan","Tidak Relevan")</f>
        <v>Tidak Relevan</v>
      </c>
      <c r="K359" t="s">
        <v>3622</v>
      </c>
    </row>
    <row r="360" spans="1:11" x14ac:dyDescent="0.35">
      <c r="A360" t="e">
        <f t="shared" si="5"/>
        <v>#REF!</v>
      </c>
      <c r="B360">
        <v>370</v>
      </c>
      <c r="C360" t="s">
        <v>3225</v>
      </c>
      <c r="D360" t="s">
        <v>636</v>
      </c>
      <c r="E360" t="s">
        <v>3226</v>
      </c>
      <c r="F360" t="s">
        <v>3227</v>
      </c>
      <c r="G360" t="s">
        <v>3228</v>
      </c>
      <c r="H360" t="s">
        <v>3228</v>
      </c>
      <c r="I360" t="s">
        <v>3229</v>
      </c>
      <c r="J360" t="str" cm="1">
        <f t="array" ref="J360">IF(SUM(COUNTIF(Text_Preprocessing291013[[#This Row],[full_text]],{"*makan siang gratis*";"*MBG*";"*makan gratis*";"*makan bergizi gratis*";"*makangratis*";"*makanan gratis*"})),"Relevan","Tidak Relevan")</f>
        <v>Tidak Relevan</v>
      </c>
      <c r="K360" t="s">
        <v>3622</v>
      </c>
    </row>
    <row r="361" spans="1:11" x14ac:dyDescent="0.35">
      <c r="A361" t="e">
        <f t="shared" si="5"/>
        <v>#REF!</v>
      </c>
      <c r="B361">
        <v>371</v>
      </c>
      <c r="C361" t="s">
        <v>3230</v>
      </c>
      <c r="D361" t="s">
        <v>638</v>
      </c>
      <c r="E361" t="s">
        <v>3231</v>
      </c>
      <c r="F361" t="s">
        <v>2743</v>
      </c>
      <c r="G361" t="s">
        <v>3232</v>
      </c>
      <c r="H361" t="s">
        <v>3232</v>
      </c>
      <c r="I361" t="s">
        <v>3233</v>
      </c>
      <c r="J361" t="str" cm="1">
        <f t="array" ref="J361">IF(SUM(COUNTIF(Text_Preprocessing291013[[#This Row],[full_text]],{"*makan siang gratis*";"*MBG*";"*makan gratis*";"*makan bergizi gratis*";"*makangratis*";"*makanan gratis*"})),"Relevan","Tidak Relevan")</f>
        <v>Relevan</v>
      </c>
    </row>
    <row r="362" spans="1:11" x14ac:dyDescent="0.35">
      <c r="A362" t="e">
        <f t="shared" si="5"/>
        <v>#REF!</v>
      </c>
      <c r="B362">
        <v>372</v>
      </c>
      <c r="C362" t="s">
        <v>3234</v>
      </c>
      <c r="D362" t="s">
        <v>330</v>
      </c>
      <c r="E362" t="s">
        <v>3235</v>
      </c>
      <c r="F362" t="s">
        <v>1629</v>
      </c>
      <c r="G362" t="s">
        <v>3236</v>
      </c>
      <c r="H362" t="s">
        <v>3236</v>
      </c>
      <c r="I362" t="s">
        <v>3237</v>
      </c>
      <c r="J362" t="str" cm="1">
        <f t="array" ref="J362">IF(SUM(COUNTIF(Text_Preprocessing291013[[#This Row],[full_text]],{"*makan siang gratis*";"*MBG*";"*makan gratis*";"*makan bergizi gratis*";"*makangratis*";"*makanan gratis*"})),"Relevan","Tidak Relevan")</f>
        <v>Relevan</v>
      </c>
    </row>
    <row r="363" spans="1:11" x14ac:dyDescent="0.35">
      <c r="A363" t="e">
        <f t="shared" si="5"/>
        <v>#REF!</v>
      </c>
      <c r="B363">
        <v>373</v>
      </c>
      <c r="C363" t="s">
        <v>3238</v>
      </c>
      <c r="D363" t="s">
        <v>641</v>
      </c>
      <c r="E363" t="s">
        <v>3239</v>
      </c>
      <c r="F363" t="s">
        <v>1893</v>
      </c>
      <c r="G363" t="s">
        <v>3240</v>
      </c>
      <c r="H363" t="s">
        <v>3240</v>
      </c>
      <c r="I363" t="s">
        <v>3241</v>
      </c>
      <c r="J363" t="str" cm="1">
        <f t="array" ref="J363">IF(SUM(COUNTIF(Text_Preprocessing291013[[#This Row],[full_text]],{"*makan siang gratis*";"*MBG*";"*makan gratis*";"*makan bergizi gratis*";"*makangratis*";"*makanan gratis*"})),"Relevan","Tidak Relevan")</f>
        <v>Relevan</v>
      </c>
    </row>
    <row r="364" spans="1:11" x14ac:dyDescent="0.35">
      <c r="A364" t="e">
        <f t="shared" si="5"/>
        <v>#REF!</v>
      </c>
      <c r="B364">
        <v>374</v>
      </c>
      <c r="C364" t="s">
        <v>3242</v>
      </c>
      <c r="D364" t="s">
        <v>643</v>
      </c>
      <c r="E364" t="s">
        <v>3243</v>
      </c>
      <c r="F364" t="s">
        <v>3244</v>
      </c>
      <c r="G364" t="s">
        <v>3245</v>
      </c>
      <c r="H364" t="s">
        <v>3697</v>
      </c>
      <c r="I364" t="s">
        <v>3698</v>
      </c>
      <c r="J364" t="str" cm="1">
        <f t="array" ref="J364">IF(SUM(COUNTIF(Text_Preprocessing291013[[#This Row],[full_text]],{"*makan siang gratis*";"*MBG*";"*makan gratis*";"*makan bergizi gratis*";"*makangratis*";"*makanan gratis*"})),"Relevan","Tidak Relevan")</f>
        <v>Relevan</v>
      </c>
    </row>
    <row r="365" spans="1:11" x14ac:dyDescent="0.35">
      <c r="A365" t="e">
        <f t="shared" si="5"/>
        <v>#REF!</v>
      </c>
      <c r="B365">
        <v>375</v>
      </c>
      <c r="C365" t="s">
        <v>3248</v>
      </c>
      <c r="D365" t="s">
        <v>645</v>
      </c>
      <c r="E365" t="s">
        <v>3249</v>
      </c>
      <c r="F365" t="s">
        <v>1799</v>
      </c>
      <c r="G365" t="s">
        <v>3250</v>
      </c>
      <c r="H365" t="s">
        <v>3250</v>
      </c>
      <c r="I365" t="s">
        <v>3251</v>
      </c>
      <c r="J365" t="str" cm="1">
        <f t="array" ref="J365">IF(SUM(COUNTIF(Text_Preprocessing291013[[#This Row],[full_text]],{"*makan siang gratis*";"*MBG*";"*makan gratis*";"*makan bergizi gratis*";"*makangratis*";"*makanan gratis*"})),"Relevan","Tidak Relevan")</f>
        <v>Relevan</v>
      </c>
    </row>
    <row r="366" spans="1:11" x14ac:dyDescent="0.35">
      <c r="A366" t="e">
        <f t="shared" si="5"/>
        <v>#REF!</v>
      </c>
      <c r="B366">
        <v>376</v>
      </c>
      <c r="C366" t="s">
        <v>3252</v>
      </c>
      <c r="D366" t="s">
        <v>647</v>
      </c>
      <c r="E366" t="s">
        <v>3253</v>
      </c>
      <c r="F366" t="s">
        <v>1624</v>
      </c>
      <c r="G366" t="s">
        <v>3254</v>
      </c>
      <c r="H366" t="s">
        <v>3254</v>
      </c>
      <c r="I366" t="s">
        <v>3255</v>
      </c>
      <c r="J366" t="str" cm="1">
        <f t="array" ref="J366">IF(SUM(COUNTIF(Text_Preprocessing291013[[#This Row],[full_text]],{"*makan siang gratis*";"*MBG*";"*makan gratis*";"*makan bergizi gratis*";"*makangratis*";"*makanan gratis*"})),"Relevan","Tidak Relevan")</f>
        <v>Relevan</v>
      </c>
    </row>
    <row r="367" spans="1:11" x14ac:dyDescent="0.35">
      <c r="A367" t="e">
        <f t="shared" si="5"/>
        <v>#REF!</v>
      </c>
      <c r="B367">
        <v>377</v>
      </c>
      <c r="C367" t="s">
        <v>3256</v>
      </c>
      <c r="D367" t="s">
        <v>649</v>
      </c>
      <c r="E367" t="s">
        <v>3257</v>
      </c>
      <c r="F367" t="s">
        <v>3258</v>
      </c>
      <c r="G367" t="s">
        <v>3259</v>
      </c>
      <c r="H367" t="s">
        <v>3259</v>
      </c>
      <c r="I367" t="s">
        <v>3260</v>
      </c>
      <c r="J367" t="str" cm="1">
        <f t="array" ref="J367">IF(SUM(COUNTIF(Text_Preprocessing291013[[#This Row],[full_text]],{"*makan siang gratis*";"*MBG*";"*makan gratis*";"*makan bergizi gratis*";"*makangratis*";"*makanan gratis*"})),"Relevan","Tidak Relevan")</f>
        <v>Relevan</v>
      </c>
    </row>
    <row r="368" spans="1:11" x14ac:dyDescent="0.35">
      <c r="A368" t="e">
        <f t="shared" si="5"/>
        <v>#REF!</v>
      </c>
      <c r="B368">
        <v>378</v>
      </c>
      <c r="C368" t="s">
        <v>3261</v>
      </c>
      <c r="D368" t="s">
        <v>651</v>
      </c>
      <c r="E368" t="s">
        <v>3262</v>
      </c>
      <c r="F368" t="s">
        <v>3263</v>
      </c>
      <c r="G368" t="s">
        <v>3264</v>
      </c>
      <c r="H368" t="s">
        <v>3264</v>
      </c>
      <c r="I368" t="s">
        <v>3265</v>
      </c>
      <c r="J368" t="str" cm="1">
        <f t="array" ref="J368">IF(SUM(COUNTIF(Text_Preprocessing291013[[#This Row],[full_text]],{"*makan siang gratis*";"*MBG*";"*makan gratis*";"*makan bergizi gratis*";"*makangratis*";"*makanan gratis*"})),"Relevan","Tidak Relevan")</f>
        <v>Relevan</v>
      </c>
    </row>
    <row r="369" spans="1:11" x14ac:dyDescent="0.35">
      <c r="A369" t="e">
        <f t="shared" si="5"/>
        <v>#REF!</v>
      </c>
      <c r="B369">
        <v>379</v>
      </c>
      <c r="C369" t="s">
        <v>3266</v>
      </c>
      <c r="D369" t="s">
        <v>653</v>
      </c>
      <c r="E369" t="s">
        <v>3267</v>
      </c>
      <c r="F369" t="s">
        <v>1785</v>
      </c>
      <c r="G369" t="s">
        <v>3268</v>
      </c>
      <c r="H369" t="s">
        <v>3268</v>
      </c>
      <c r="I369" t="s">
        <v>3269</v>
      </c>
      <c r="J369" t="str" cm="1">
        <f t="array" ref="J369">IF(SUM(COUNTIF(Text_Preprocessing291013[[#This Row],[full_text]],{"*makan siang gratis*";"*MBG*";"*makan gratis*";"*makan bergizi gratis*";"*makangratis*";"*makanan gratis*"})),"Relevan","Tidak Relevan")</f>
        <v>Relevan</v>
      </c>
    </row>
    <row r="370" spans="1:11" x14ac:dyDescent="0.35">
      <c r="A370" t="e">
        <f t="shared" si="5"/>
        <v>#REF!</v>
      </c>
      <c r="B370">
        <v>380</v>
      </c>
      <c r="C370" t="s">
        <v>3270</v>
      </c>
      <c r="D370" t="s">
        <v>655</v>
      </c>
      <c r="E370" t="s">
        <v>3271</v>
      </c>
      <c r="F370" t="s">
        <v>1652</v>
      </c>
      <c r="G370" t="s">
        <v>3272</v>
      </c>
      <c r="H370" t="s">
        <v>3272</v>
      </c>
      <c r="I370" t="s">
        <v>3273</v>
      </c>
      <c r="J370" t="str" cm="1">
        <f t="array" ref="J370">IF(SUM(COUNTIF(Text_Preprocessing291013[[#This Row],[full_text]],{"*makan siang gratis*";"*MBG*";"*makan gratis*";"*makan bergizi gratis*";"*makangratis*";"*makanan gratis*"})),"Relevan","Tidak Relevan")</f>
        <v>Relevan</v>
      </c>
    </row>
    <row r="371" spans="1:11" x14ac:dyDescent="0.35">
      <c r="A371" t="e">
        <f>SUM(#REF!+1)</f>
        <v>#REF!</v>
      </c>
      <c r="B371">
        <v>382</v>
      </c>
      <c r="C371" t="s">
        <v>3278</v>
      </c>
      <c r="D371" t="s">
        <v>274</v>
      </c>
      <c r="E371" t="s">
        <v>3279</v>
      </c>
      <c r="F371" t="s">
        <v>2154</v>
      </c>
      <c r="G371" t="s">
        <v>3280</v>
      </c>
      <c r="H371" t="s">
        <v>3280</v>
      </c>
      <c r="I371" t="s">
        <v>3281</v>
      </c>
      <c r="J371" t="str" cm="1">
        <f t="array" ref="J371">IF(SUM(COUNTIF(Text_Preprocessing291013[[#This Row],[full_text]],{"*makan siang gratis*";"*MBG*";"*makan gratis*";"*makan bergizi gratis*";"*makangratis*";"*makanan gratis*"})),"Relevan","Tidak Relevan")</f>
        <v>Relevan</v>
      </c>
    </row>
    <row r="372" spans="1:11" x14ac:dyDescent="0.35">
      <c r="A372" t="e">
        <f t="shared" si="5"/>
        <v>#REF!</v>
      </c>
      <c r="B372">
        <v>383</v>
      </c>
      <c r="C372" t="s">
        <v>3282</v>
      </c>
      <c r="D372" t="s">
        <v>660</v>
      </c>
      <c r="E372" t="s">
        <v>3283</v>
      </c>
      <c r="F372" t="s">
        <v>2114</v>
      </c>
      <c r="G372" t="s">
        <v>3284</v>
      </c>
      <c r="H372" t="s">
        <v>3284</v>
      </c>
      <c r="I372" t="s">
        <v>3285</v>
      </c>
      <c r="J372" t="str" cm="1">
        <f t="array" ref="J372">IF(SUM(COUNTIF(Text_Preprocessing291013[[#This Row],[full_text]],{"*makan siang gratis*";"*MBG*";"*makan gratis*";"*makan bergizi gratis*";"*makangratis*";"*makanan gratis*"})),"Relevan","Tidak Relevan")</f>
        <v>Relevan</v>
      </c>
    </row>
    <row r="373" spans="1:11" x14ac:dyDescent="0.35">
      <c r="A373" t="e">
        <f t="shared" si="5"/>
        <v>#REF!</v>
      </c>
      <c r="B373">
        <v>384</v>
      </c>
      <c r="C373" t="s">
        <v>3286</v>
      </c>
      <c r="D373" t="s">
        <v>662</v>
      </c>
      <c r="E373" t="s">
        <v>3287</v>
      </c>
      <c r="F373" t="s">
        <v>1906</v>
      </c>
      <c r="G373" t="s">
        <v>3288</v>
      </c>
      <c r="H373" t="s">
        <v>3288</v>
      </c>
      <c r="I373" t="s">
        <v>3289</v>
      </c>
      <c r="J373" t="str" cm="1">
        <f t="array" ref="J373">IF(SUM(COUNTIF(Text_Preprocessing291013[[#This Row],[full_text]],{"*makan siang gratis*";"*MBG*";"*makan gratis*";"*makan bergizi gratis*";"*makangratis*";"*makanan gratis*"})),"Relevan","Tidak Relevan")</f>
        <v>Relevan</v>
      </c>
    </row>
    <row r="374" spans="1:11" x14ac:dyDescent="0.35">
      <c r="A374" t="e">
        <f t="shared" si="5"/>
        <v>#REF!</v>
      </c>
      <c r="B374">
        <v>385</v>
      </c>
      <c r="C374" t="s">
        <v>3290</v>
      </c>
      <c r="D374" t="s">
        <v>664</v>
      </c>
      <c r="E374" t="s">
        <v>3291</v>
      </c>
      <c r="F374" t="s">
        <v>2109</v>
      </c>
      <c r="G374" t="s">
        <v>3292</v>
      </c>
      <c r="H374" t="s">
        <v>3292</v>
      </c>
      <c r="I374" t="s">
        <v>3293</v>
      </c>
      <c r="J374" t="str" cm="1">
        <f t="array" ref="J374">IF(SUM(COUNTIF(Text_Preprocessing291013[[#This Row],[full_text]],{"*makan siang gratis*";"*MBG*";"*makan gratis*";"*makan bergizi gratis*";"*makangratis*";"*makanan gratis*"})),"Relevan","Tidak Relevan")</f>
        <v>Relevan</v>
      </c>
    </row>
    <row r="375" spans="1:11" x14ac:dyDescent="0.35">
      <c r="A375" t="e">
        <f t="shared" si="5"/>
        <v>#REF!</v>
      </c>
      <c r="B375">
        <v>386</v>
      </c>
      <c r="C375" t="s">
        <v>3294</v>
      </c>
      <c r="D375" t="s">
        <v>666</v>
      </c>
      <c r="E375" t="s">
        <v>3295</v>
      </c>
      <c r="F375" t="s">
        <v>1785</v>
      </c>
      <c r="G375" t="s">
        <v>3296</v>
      </c>
      <c r="H375" t="s">
        <v>3296</v>
      </c>
      <c r="I375" t="s">
        <v>3297</v>
      </c>
      <c r="J375" t="str" cm="1">
        <f t="array" ref="J375">IF(SUM(COUNTIF(Text_Preprocessing291013[[#This Row],[full_text]],{"*makan siang gratis*";"*MBG*";"*makan gratis*";"*makan bergizi gratis*";"*makangratis*";"*makanan gratis*"})),"Relevan","Tidak Relevan")</f>
        <v>Relevan</v>
      </c>
    </row>
    <row r="376" spans="1:11" x14ac:dyDescent="0.35">
      <c r="A376" t="e">
        <f t="shared" si="5"/>
        <v>#REF!</v>
      </c>
      <c r="B376">
        <v>387</v>
      </c>
      <c r="C376" t="s">
        <v>3298</v>
      </c>
      <c r="D376" t="s">
        <v>668</v>
      </c>
      <c r="E376" t="s">
        <v>3299</v>
      </c>
      <c r="F376" t="s">
        <v>1674</v>
      </c>
      <c r="G376" t="s">
        <v>3300</v>
      </c>
      <c r="H376" t="s">
        <v>3300</v>
      </c>
      <c r="I376" t="s">
        <v>3301</v>
      </c>
      <c r="J376" t="str" cm="1">
        <f t="array" ref="J376">IF(SUM(COUNTIF(Text_Preprocessing291013[[#This Row],[full_text]],{"*makan siang gratis*";"*MBG*";"*makan gratis*";"*makan bergizi gratis*";"*makangratis*";"*makanan gratis*"})),"Relevan","Tidak Relevan")</f>
        <v>Relevan</v>
      </c>
    </row>
    <row r="377" spans="1:11" x14ac:dyDescent="0.35">
      <c r="A377" t="e">
        <f t="shared" si="5"/>
        <v>#REF!</v>
      </c>
      <c r="B377">
        <v>389</v>
      </c>
      <c r="C377" t="s">
        <v>3302</v>
      </c>
      <c r="D377" t="s">
        <v>671</v>
      </c>
      <c r="E377" t="s">
        <v>3303</v>
      </c>
      <c r="F377" t="s">
        <v>1809</v>
      </c>
      <c r="G377" t="s">
        <v>3303</v>
      </c>
      <c r="H377" t="s">
        <v>3303</v>
      </c>
      <c r="I377" t="s">
        <v>3304</v>
      </c>
      <c r="J377" t="str" cm="1">
        <f t="array" ref="J377">IF(SUM(COUNTIF(Text_Preprocessing291013[[#This Row],[full_text]],{"*makan siang gratis*";"*MBG*";"*makan gratis*";"*makan bergizi gratis*";"*makangratis*";"*makanan gratis*"})),"Relevan","Tidak Relevan")</f>
        <v>Tidak Relevan</v>
      </c>
      <c r="K377" t="s">
        <v>3622</v>
      </c>
    </row>
    <row r="378" spans="1:11" x14ac:dyDescent="0.35">
      <c r="A378" t="e">
        <f t="shared" si="5"/>
        <v>#REF!</v>
      </c>
      <c r="B378">
        <v>390</v>
      </c>
      <c r="C378" t="s">
        <v>3305</v>
      </c>
      <c r="D378" t="s">
        <v>673</v>
      </c>
      <c r="E378" t="s">
        <v>3306</v>
      </c>
      <c r="F378" t="s">
        <v>2387</v>
      </c>
      <c r="G378" t="s">
        <v>3307</v>
      </c>
      <c r="H378" t="s">
        <v>3308</v>
      </c>
      <c r="I378" t="s">
        <v>3309</v>
      </c>
      <c r="J378" t="str" cm="1">
        <f t="array" ref="J378">IF(SUM(COUNTIF(Text_Preprocessing291013[[#This Row],[full_text]],{"*makan siang gratis*";"*MBG*";"*makan gratis*";"*makan bergizi gratis*";"*makangratis*";"*makanan gratis*"})),"Relevan","Tidak Relevan")</f>
        <v>Relevan</v>
      </c>
    </row>
    <row r="379" spans="1:11" x14ac:dyDescent="0.35">
      <c r="A379" t="e">
        <f t="shared" si="5"/>
        <v>#REF!</v>
      </c>
      <c r="B379">
        <v>391</v>
      </c>
      <c r="C379" t="s">
        <v>3310</v>
      </c>
      <c r="D379" t="s">
        <v>675</v>
      </c>
      <c r="E379" t="s">
        <v>3311</v>
      </c>
      <c r="F379" t="s">
        <v>1785</v>
      </c>
      <c r="G379" t="s">
        <v>3312</v>
      </c>
      <c r="H379" t="s">
        <v>3312</v>
      </c>
      <c r="I379" t="s">
        <v>3313</v>
      </c>
      <c r="J379" t="str" cm="1">
        <f t="array" ref="J379">IF(SUM(COUNTIF(Text_Preprocessing291013[[#This Row],[full_text]],{"*makan siang gratis*";"*MBG*";"*makan gratis*";"*makan bergizi gratis*";"*makangratis*";"*makanan gratis*"})),"Relevan","Tidak Relevan")</f>
        <v>Relevan</v>
      </c>
    </row>
    <row r="380" spans="1:11" x14ac:dyDescent="0.35">
      <c r="A380" t="e">
        <f t="shared" si="5"/>
        <v>#REF!</v>
      </c>
      <c r="B380">
        <v>392</v>
      </c>
      <c r="C380" t="s">
        <v>3314</v>
      </c>
      <c r="D380" t="s">
        <v>677</v>
      </c>
      <c r="E380" t="s">
        <v>3315</v>
      </c>
      <c r="F380" t="s">
        <v>1990</v>
      </c>
      <c r="G380" t="s">
        <v>3316</v>
      </c>
      <c r="H380" t="s">
        <v>3316</v>
      </c>
      <c r="I380" t="s">
        <v>3317</v>
      </c>
      <c r="J380" t="str" cm="1">
        <f t="array" ref="J380">IF(SUM(COUNTIF(Text_Preprocessing291013[[#This Row],[full_text]],{"*makan siang gratis*";"*MBG*";"*makan gratis*";"*makan bergizi gratis*";"*makangratis*";"*makanan gratis*"})),"Relevan","Tidak Relevan")</f>
        <v>Relevan</v>
      </c>
    </row>
    <row r="381" spans="1:11" x14ac:dyDescent="0.35">
      <c r="A381" t="e">
        <f t="shared" si="5"/>
        <v>#REF!</v>
      </c>
      <c r="B381">
        <v>393</v>
      </c>
      <c r="C381" t="s">
        <v>3318</v>
      </c>
      <c r="D381" t="s">
        <v>679</v>
      </c>
      <c r="E381" t="s">
        <v>3319</v>
      </c>
      <c r="F381" t="s">
        <v>1758</v>
      </c>
      <c r="G381" t="s">
        <v>3320</v>
      </c>
      <c r="H381" t="s">
        <v>3699</v>
      </c>
      <c r="I381" t="s">
        <v>3700</v>
      </c>
      <c r="J381" t="str" cm="1">
        <f t="array" ref="J381">IF(SUM(COUNTIF(Text_Preprocessing291013[[#This Row],[full_text]],{"*makan siang gratis*";"*MBG*";"*makan gratis*";"*makan bergizi gratis*";"*makangratis*";"*makanan gratis*"})),"Relevan","Tidak Relevan")</f>
        <v>Relevan</v>
      </c>
    </row>
    <row r="382" spans="1:11" x14ac:dyDescent="0.35">
      <c r="A382" t="e">
        <f t="shared" si="5"/>
        <v>#REF!</v>
      </c>
      <c r="B382">
        <v>394</v>
      </c>
      <c r="C382" t="s">
        <v>3323</v>
      </c>
      <c r="D382" t="s">
        <v>681</v>
      </c>
      <c r="E382" t="s">
        <v>3324</v>
      </c>
      <c r="F382" t="s">
        <v>1844</v>
      </c>
      <c r="G382" t="s">
        <v>3325</v>
      </c>
      <c r="H382" t="s">
        <v>3325</v>
      </c>
      <c r="I382" t="s">
        <v>3326</v>
      </c>
      <c r="J382" t="str" cm="1">
        <f t="array" ref="J382">IF(SUM(COUNTIF(Text_Preprocessing291013[[#This Row],[full_text]],{"*makan siang gratis*";"*MBG*";"*makan gratis*";"*makan bergizi gratis*";"*makangratis*";"*makanan gratis*"})),"Relevan","Tidak Relevan")</f>
        <v>Tidak Relevan</v>
      </c>
      <c r="K382" t="s">
        <v>3622</v>
      </c>
    </row>
    <row r="383" spans="1:11" x14ac:dyDescent="0.35">
      <c r="A383" t="e">
        <f t="shared" si="5"/>
        <v>#REF!</v>
      </c>
      <c r="B383">
        <v>395</v>
      </c>
      <c r="C383" t="s">
        <v>3327</v>
      </c>
      <c r="D383" t="s">
        <v>683</v>
      </c>
      <c r="E383" t="s">
        <v>3328</v>
      </c>
      <c r="F383" t="s">
        <v>3329</v>
      </c>
      <c r="G383" t="s">
        <v>3330</v>
      </c>
      <c r="H383" t="s">
        <v>3330</v>
      </c>
      <c r="I383" t="s">
        <v>3331</v>
      </c>
      <c r="J383" t="str" cm="1">
        <f t="array" ref="J383">IF(SUM(COUNTIF(Text_Preprocessing291013[[#This Row],[full_text]],{"*makan siang gratis*";"*MBG*";"*makan gratis*";"*makan bergizi gratis*";"*makangratis*";"*makanan gratis*"})),"Relevan","Tidak Relevan")</f>
        <v>Relevan</v>
      </c>
    </row>
    <row r="384" spans="1:11" x14ac:dyDescent="0.35">
      <c r="A384" t="e">
        <f t="shared" si="5"/>
        <v>#REF!</v>
      </c>
      <c r="B384">
        <v>396</v>
      </c>
      <c r="C384" t="s">
        <v>3332</v>
      </c>
      <c r="D384" t="s">
        <v>685</v>
      </c>
      <c r="E384" t="s">
        <v>3333</v>
      </c>
      <c r="F384" t="s">
        <v>1607</v>
      </c>
      <c r="G384" t="s">
        <v>3334</v>
      </c>
      <c r="H384" t="s">
        <v>3335</v>
      </c>
      <c r="I384" t="s">
        <v>3336</v>
      </c>
      <c r="J384" t="str" cm="1">
        <f t="array" ref="J384">IF(SUM(COUNTIF(Text_Preprocessing291013[[#This Row],[full_text]],{"*makan siang gratis*";"*MBG*";"*makan gratis*";"*makan bergizi gratis*";"*makangratis*";"*makanan gratis*"})),"Relevan","Tidak Relevan")</f>
        <v>Relevan</v>
      </c>
    </row>
    <row r="385" spans="1:11" x14ac:dyDescent="0.35">
      <c r="A385" t="e">
        <f t="shared" ref="A385:A448" si="6">SUM(A384+1)</f>
        <v>#REF!</v>
      </c>
      <c r="B385">
        <v>397</v>
      </c>
      <c r="C385" t="s">
        <v>3337</v>
      </c>
      <c r="D385" t="s">
        <v>687</v>
      </c>
      <c r="E385" t="s">
        <v>3338</v>
      </c>
      <c r="F385" t="s">
        <v>2229</v>
      </c>
      <c r="G385" t="s">
        <v>3339</v>
      </c>
      <c r="H385" t="s">
        <v>3339</v>
      </c>
      <c r="I385" t="s">
        <v>3340</v>
      </c>
      <c r="J385" t="str" cm="1">
        <f t="array" ref="J385">IF(SUM(COUNTIF(Text_Preprocessing291013[[#This Row],[full_text]],{"*makan siang gratis*";"*MBG*";"*makan gratis*";"*makan bergizi gratis*";"*makangratis*";"*makanan gratis*"})),"Relevan","Tidak Relevan")</f>
        <v>Relevan</v>
      </c>
    </row>
    <row r="386" spans="1:11" x14ac:dyDescent="0.35">
      <c r="A386" t="e">
        <f t="shared" si="6"/>
        <v>#REF!</v>
      </c>
      <c r="B386">
        <v>398</v>
      </c>
      <c r="C386" t="s">
        <v>3341</v>
      </c>
      <c r="D386" t="s">
        <v>689</v>
      </c>
      <c r="E386" t="s">
        <v>3342</v>
      </c>
      <c r="F386" t="s">
        <v>2748</v>
      </c>
      <c r="G386" t="s">
        <v>3343</v>
      </c>
      <c r="H386" t="s">
        <v>3343</v>
      </c>
      <c r="I386" t="s">
        <v>3344</v>
      </c>
      <c r="J386" t="str" cm="1">
        <f t="array" ref="J386">IF(SUM(COUNTIF(Text_Preprocessing291013[[#This Row],[full_text]],{"*makan siang gratis*";"*MBG*";"*makan gratis*";"*makan bergizi gratis*";"*makangratis*";"*makanan gratis*"})),"Relevan","Tidak Relevan")</f>
        <v>Relevan</v>
      </c>
    </row>
    <row r="387" spans="1:11" x14ac:dyDescent="0.35">
      <c r="A387" t="e">
        <f t="shared" si="6"/>
        <v>#REF!</v>
      </c>
      <c r="B387">
        <v>399</v>
      </c>
      <c r="C387" t="s">
        <v>3345</v>
      </c>
      <c r="D387" t="s">
        <v>691</v>
      </c>
      <c r="E387" t="s">
        <v>3346</v>
      </c>
      <c r="F387" t="s">
        <v>1730</v>
      </c>
      <c r="G387" t="s">
        <v>3347</v>
      </c>
      <c r="H387" t="s">
        <v>3348</v>
      </c>
      <c r="I387" t="s">
        <v>3349</v>
      </c>
      <c r="J387" t="str" cm="1">
        <f t="array" ref="J387">IF(SUM(COUNTIF(Text_Preprocessing291013[[#This Row],[full_text]],{"*makan siang gratis*";"*MBG*";"*makan gratis*";"*makan bergizi gratis*";"*makangratis*";"*makanan gratis*"})),"Relevan","Tidak Relevan")</f>
        <v>Relevan</v>
      </c>
    </row>
    <row r="388" spans="1:11" x14ac:dyDescent="0.35">
      <c r="A388" t="e">
        <f t="shared" si="6"/>
        <v>#REF!</v>
      </c>
      <c r="B388">
        <v>400</v>
      </c>
      <c r="C388" t="s">
        <v>3350</v>
      </c>
      <c r="D388" t="s">
        <v>693</v>
      </c>
      <c r="E388" t="s">
        <v>3351</v>
      </c>
      <c r="F388" t="s">
        <v>2558</v>
      </c>
      <c r="G388" t="s">
        <v>3352</v>
      </c>
      <c r="H388" t="s">
        <v>3353</v>
      </c>
      <c r="I388" t="s">
        <v>3354</v>
      </c>
      <c r="J388" t="str" cm="1">
        <f t="array" ref="J388">IF(SUM(COUNTIF(Text_Preprocessing291013[[#This Row],[full_text]],{"*makan siang gratis*";"*MBG*";"*makan gratis*";"*makan bergizi gratis*";"*makangratis*";"*makanan gratis*"})),"Relevan","Tidak Relevan")</f>
        <v>Relevan</v>
      </c>
    </row>
    <row r="389" spans="1:11" x14ac:dyDescent="0.35">
      <c r="A389" t="e">
        <f t="shared" si="6"/>
        <v>#REF!</v>
      </c>
      <c r="B389">
        <v>401</v>
      </c>
      <c r="C389" t="s">
        <v>3355</v>
      </c>
      <c r="D389" t="s">
        <v>695</v>
      </c>
      <c r="E389" t="s">
        <v>3356</v>
      </c>
      <c r="F389" t="s">
        <v>3357</v>
      </c>
      <c r="G389" t="s">
        <v>3356</v>
      </c>
      <c r="H389" t="s">
        <v>3356</v>
      </c>
      <c r="I389" t="s">
        <v>3358</v>
      </c>
      <c r="J389" t="str" cm="1">
        <f t="array" ref="J389">IF(SUM(COUNTIF(Text_Preprocessing291013[[#This Row],[full_text]],{"*makan siang gratis*";"*MBG*";"*makan gratis*";"*makan bergizi gratis*";"*makangratis*";"*makanan gratis*"})),"Relevan","Tidak Relevan")</f>
        <v>Relevan</v>
      </c>
    </row>
    <row r="390" spans="1:11" x14ac:dyDescent="0.35">
      <c r="A390" t="e">
        <f t="shared" si="6"/>
        <v>#REF!</v>
      </c>
      <c r="B390">
        <v>402</v>
      </c>
      <c r="C390" t="s">
        <v>3359</v>
      </c>
      <c r="D390" t="s">
        <v>697</v>
      </c>
      <c r="E390" t="s">
        <v>3360</v>
      </c>
      <c r="F390" t="s">
        <v>2862</v>
      </c>
      <c r="G390" t="s">
        <v>3361</v>
      </c>
      <c r="H390" t="s">
        <v>3361</v>
      </c>
      <c r="I390" t="s">
        <v>3362</v>
      </c>
      <c r="J390" t="str" cm="1">
        <f t="array" ref="J390">IF(SUM(COUNTIF(Text_Preprocessing291013[[#This Row],[full_text]],{"*makan siang gratis*";"*MBG*";"*makan gratis*";"*makan bergizi gratis*";"*makangratis*";"*makanan gratis*"})),"Relevan","Tidak Relevan")</f>
        <v>Relevan</v>
      </c>
    </row>
    <row r="391" spans="1:11" x14ac:dyDescent="0.35">
      <c r="A391" t="e">
        <f t="shared" si="6"/>
        <v>#REF!</v>
      </c>
      <c r="B391">
        <v>404</v>
      </c>
      <c r="C391" t="s">
        <v>3363</v>
      </c>
      <c r="D391" t="s">
        <v>701</v>
      </c>
      <c r="E391" t="s">
        <v>3364</v>
      </c>
      <c r="F391" t="s">
        <v>3365</v>
      </c>
      <c r="G391" t="s">
        <v>3364</v>
      </c>
      <c r="H391" t="s">
        <v>3366</v>
      </c>
      <c r="I391" t="s">
        <v>3367</v>
      </c>
      <c r="J391" t="str" cm="1">
        <f t="array" ref="J391">IF(SUM(COUNTIF(Text_Preprocessing291013[[#This Row],[full_text]],{"*makan siang gratis*";"*MBG*";"*makan gratis*";"*makan bergizi gratis*";"*makangratis*";"*makanan gratis*"})),"Relevan","Tidak Relevan")</f>
        <v>Relevan</v>
      </c>
    </row>
    <row r="392" spans="1:11" x14ac:dyDescent="0.35">
      <c r="A392" t="e">
        <f t="shared" si="6"/>
        <v>#REF!</v>
      </c>
      <c r="B392">
        <v>405</v>
      </c>
      <c r="C392" t="s">
        <v>3368</v>
      </c>
      <c r="D392" t="s">
        <v>703</v>
      </c>
      <c r="E392" t="s">
        <v>3369</v>
      </c>
      <c r="F392" t="s">
        <v>2299</v>
      </c>
      <c r="G392" t="s">
        <v>3370</v>
      </c>
      <c r="H392" t="s">
        <v>3371</v>
      </c>
      <c r="I392" t="s">
        <v>3372</v>
      </c>
      <c r="J392" t="str" cm="1">
        <f t="array" ref="J392">IF(SUM(COUNTIF(Text_Preprocessing291013[[#This Row],[full_text]],{"*makan siang gratis*";"*MBG*";"*makan gratis*";"*makan bergizi gratis*";"*makangratis*";"*makanan gratis*"})),"Relevan","Tidak Relevan")</f>
        <v>Relevan</v>
      </c>
    </row>
    <row r="393" spans="1:11" x14ac:dyDescent="0.35">
      <c r="A393" t="e">
        <f t="shared" si="6"/>
        <v>#REF!</v>
      </c>
      <c r="B393">
        <v>406</v>
      </c>
      <c r="C393" t="s">
        <v>3373</v>
      </c>
      <c r="D393" t="s">
        <v>705</v>
      </c>
      <c r="E393" t="s">
        <v>3374</v>
      </c>
      <c r="F393" t="s">
        <v>3131</v>
      </c>
      <c r="G393" t="s">
        <v>3374</v>
      </c>
      <c r="H393" t="s">
        <v>3374</v>
      </c>
      <c r="I393" t="s">
        <v>3375</v>
      </c>
      <c r="J393" t="str" cm="1">
        <f t="array" ref="J393">IF(SUM(COUNTIF(Text_Preprocessing291013[[#This Row],[full_text]],{"*makan siang gratis*";"*MBG*";"*makan gratis*";"*makan bergizi gratis*";"*makangratis*";"*makanan gratis*"})),"Relevan","Tidak Relevan")</f>
        <v>Relevan</v>
      </c>
    </row>
    <row r="394" spans="1:11" x14ac:dyDescent="0.35">
      <c r="A394" t="e">
        <f t="shared" si="6"/>
        <v>#REF!</v>
      </c>
      <c r="B394">
        <v>407</v>
      </c>
      <c r="C394" t="s">
        <v>3376</v>
      </c>
      <c r="D394" t="s">
        <v>703</v>
      </c>
      <c r="E394" t="s">
        <v>3377</v>
      </c>
      <c r="F394" t="s">
        <v>2041</v>
      </c>
      <c r="G394" t="s">
        <v>3378</v>
      </c>
      <c r="H394" t="s">
        <v>3378</v>
      </c>
      <c r="I394" t="s">
        <v>3379</v>
      </c>
      <c r="J394" t="str" cm="1">
        <f t="array" ref="J394">IF(SUM(COUNTIF(Text_Preprocessing291013[[#This Row],[full_text]],{"*makan siang gratis*";"*MBG*";"*makan gratis*";"*makan bergizi gratis*";"*makangratis*";"*makanan gratis*"})),"Relevan","Tidak Relevan")</f>
        <v>Relevan</v>
      </c>
    </row>
    <row r="395" spans="1:11" x14ac:dyDescent="0.35">
      <c r="A395" t="e">
        <f t="shared" si="6"/>
        <v>#REF!</v>
      </c>
      <c r="B395">
        <v>408</v>
      </c>
      <c r="C395" t="s">
        <v>3380</v>
      </c>
      <c r="D395" t="s">
        <v>157</v>
      </c>
      <c r="E395" t="s">
        <v>3381</v>
      </c>
      <c r="F395" t="s">
        <v>2149</v>
      </c>
      <c r="G395" t="s">
        <v>3382</v>
      </c>
      <c r="H395" t="s">
        <v>3382</v>
      </c>
      <c r="I395" t="s">
        <v>3383</v>
      </c>
      <c r="J395" t="str" cm="1">
        <f t="array" ref="J395">IF(SUM(COUNTIF(Text_Preprocessing291013[[#This Row],[full_text]],{"*makan siang gratis*";"*MBG*";"*makan gratis*";"*makan bergizi gratis*";"*makangratis*";"*makanan gratis*"})),"Relevan","Tidak Relevan")</f>
        <v>Relevan</v>
      </c>
    </row>
    <row r="396" spans="1:11" x14ac:dyDescent="0.35">
      <c r="A396" t="e">
        <f t="shared" si="6"/>
        <v>#REF!</v>
      </c>
      <c r="B396">
        <v>409</v>
      </c>
      <c r="C396" t="s">
        <v>3384</v>
      </c>
      <c r="D396" t="s">
        <v>711</v>
      </c>
      <c r="E396" t="s">
        <v>3385</v>
      </c>
      <c r="F396" t="s">
        <v>1735</v>
      </c>
      <c r="G396" t="s">
        <v>3386</v>
      </c>
      <c r="H396" t="s">
        <v>3386</v>
      </c>
      <c r="I396" t="s">
        <v>3387</v>
      </c>
      <c r="J396" t="str" cm="1">
        <f t="array" ref="J396">IF(SUM(COUNTIF(Text_Preprocessing291013[[#This Row],[full_text]],{"*makan siang gratis*";"*MBG*";"*makan gratis*";"*makan bergizi gratis*";"*makangratis*";"*makanan gratis*"})),"Relevan","Tidak Relevan")</f>
        <v>Relevan</v>
      </c>
    </row>
    <row r="397" spans="1:11" x14ac:dyDescent="0.35">
      <c r="A397" t="e">
        <f t="shared" si="6"/>
        <v>#REF!</v>
      </c>
      <c r="B397">
        <v>410</v>
      </c>
      <c r="C397" t="s">
        <v>3388</v>
      </c>
      <c r="D397" t="s">
        <v>713</v>
      </c>
      <c r="E397" t="s">
        <v>3389</v>
      </c>
      <c r="F397" t="s">
        <v>1730</v>
      </c>
      <c r="G397" t="s">
        <v>3390</v>
      </c>
      <c r="H397" t="s">
        <v>3390</v>
      </c>
      <c r="I397" t="s">
        <v>3391</v>
      </c>
      <c r="J397" t="str" cm="1">
        <f t="array" ref="J397">IF(SUM(COUNTIF(Text_Preprocessing291013[[#This Row],[full_text]],{"*makan siang gratis*";"*MBG*";"*makan gratis*";"*makan bergizi gratis*";"*makangratis*";"*makanan gratis*"})),"Relevan","Tidak Relevan")</f>
        <v>Relevan</v>
      </c>
    </row>
    <row r="398" spans="1:11" x14ac:dyDescent="0.35">
      <c r="A398" t="e">
        <f t="shared" si="6"/>
        <v>#REF!</v>
      </c>
      <c r="B398">
        <v>411</v>
      </c>
      <c r="C398" t="s">
        <v>3392</v>
      </c>
      <c r="D398" t="s">
        <v>715</v>
      </c>
      <c r="E398" t="s">
        <v>3393</v>
      </c>
      <c r="F398" t="s">
        <v>2210</v>
      </c>
      <c r="G398" t="s">
        <v>3394</v>
      </c>
      <c r="H398" t="s">
        <v>3395</v>
      </c>
      <c r="I398" t="s">
        <v>3396</v>
      </c>
      <c r="J398" t="str" cm="1">
        <f t="array" ref="J398">IF(SUM(COUNTIF(Text_Preprocessing291013[[#This Row],[full_text]],{"*makan siang gratis*";"*MBG*";"*makan gratis*";"*makan bergizi gratis*";"*makangratis*";"*makanan gratis*"})),"Relevan","Tidak Relevan")</f>
        <v>Tidak Relevan</v>
      </c>
      <c r="K398" t="s">
        <v>3622</v>
      </c>
    </row>
    <row r="399" spans="1:11" x14ac:dyDescent="0.35">
      <c r="A399" t="e">
        <f t="shared" si="6"/>
        <v>#REF!</v>
      </c>
      <c r="B399">
        <v>412</v>
      </c>
      <c r="C399" t="s">
        <v>3397</v>
      </c>
      <c r="D399" t="s">
        <v>76</v>
      </c>
      <c r="E399" t="s">
        <v>3398</v>
      </c>
      <c r="F399" t="s">
        <v>1853</v>
      </c>
      <c r="G399" t="s">
        <v>3399</v>
      </c>
      <c r="H399" t="s">
        <v>3399</v>
      </c>
      <c r="I399" t="s">
        <v>3400</v>
      </c>
      <c r="J399" t="str" cm="1">
        <f t="array" ref="J399">IF(SUM(COUNTIF(Text_Preprocessing291013[[#This Row],[full_text]],{"*makan siang gratis*";"*MBG*";"*makan gratis*";"*makan bergizi gratis*";"*makangratis*";"*makanan gratis*"})),"Relevan","Tidak Relevan")</f>
        <v>Relevan</v>
      </c>
    </row>
    <row r="400" spans="1:11" x14ac:dyDescent="0.35">
      <c r="A400" t="e">
        <f t="shared" si="6"/>
        <v>#REF!</v>
      </c>
      <c r="B400">
        <v>413</v>
      </c>
      <c r="C400" t="s">
        <v>3401</v>
      </c>
      <c r="D400" t="s">
        <v>718</v>
      </c>
      <c r="E400" t="s">
        <v>3402</v>
      </c>
      <c r="F400" t="s">
        <v>2748</v>
      </c>
      <c r="G400" t="s">
        <v>3403</v>
      </c>
      <c r="H400" t="s">
        <v>3403</v>
      </c>
      <c r="I400" t="s">
        <v>3404</v>
      </c>
      <c r="J400" t="str" cm="1">
        <f t="array" ref="J400">IF(SUM(COUNTIF(Text_Preprocessing291013[[#This Row],[full_text]],{"*makan siang gratis*";"*MBG*";"*makan gratis*";"*makan bergizi gratis*";"*makangratis*";"*makanan gratis*"})),"Relevan","Tidak Relevan")</f>
        <v>Relevan</v>
      </c>
    </row>
    <row r="401" spans="1:10" x14ac:dyDescent="0.35">
      <c r="A401" t="e">
        <f t="shared" si="6"/>
        <v>#REF!</v>
      </c>
      <c r="B401">
        <v>414</v>
      </c>
      <c r="C401" t="s">
        <v>3405</v>
      </c>
      <c r="D401" t="s">
        <v>105</v>
      </c>
      <c r="E401" t="s">
        <v>3406</v>
      </c>
      <c r="F401" t="s">
        <v>2599</v>
      </c>
      <c r="G401" t="s">
        <v>3407</v>
      </c>
      <c r="H401" t="s">
        <v>3407</v>
      </c>
      <c r="I401" t="s">
        <v>3408</v>
      </c>
      <c r="J401" t="str" cm="1">
        <f t="array" ref="J401">IF(SUM(COUNTIF(Text_Preprocessing291013[[#This Row],[full_text]],{"*makan siang gratis*";"*MBG*";"*makan gratis*";"*makan bergizi gratis*";"*makangratis*";"*makanan gratis*"})),"Relevan","Tidak Relevan")</f>
        <v>Relevan</v>
      </c>
    </row>
    <row r="402" spans="1:10" x14ac:dyDescent="0.35">
      <c r="A402" t="e">
        <f t="shared" si="6"/>
        <v>#REF!</v>
      </c>
      <c r="B402">
        <v>415</v>
      </c>
      <c r="C402" t="s">
        <v>3409</v>
      </c>
      <c r="D402" t="s">
        <v>721</v>
      </c>
      <c r="E402" t="s">
        <v>3410</v>
      </c>
      <c r="F402" t="s">
        <v>2143</v>
      </c>
      <c r="G402" t="s">
        <v>3411</v>
      </c>
      <c r="H402" t="s">
        <v>3411</v>
      </c>
      <c r="I402" t="s">
        <v>3412</v>
      </c>
      <c r="J402" t="str" cm="1">
        <f t="array" ref="J402">IF(SUM(COUNTIF(Text_Preprocessing291013[[#This Row],[full_text]],{"*makan siang gratis*";"*MBG*";"*makan gratis*";"*makan bergizi gratis*";"*makangratis*";"*makanan gratis*"})),"Relevan","Tidak Relevan")</f>
        <v>Relevan</v>
      </c>
    </row>
    <row r="403" spans="1:10" x14ac:dyDescent="0.35">
      <c r="A403" t="e">
        <f t="shared" si="6"/>
        <v>#REF!</v>
      </c>
      <c r="B403">
        <v>416</v>
      </c>
      <c r="C403" t="s">
        <v>3413</v>
      </c>
      <c r="D403" t="s">
        <v>653</v>
      </c>
      <c r="E403" t="s">
        <v>3414</v>
      </c>
      <c r="F403" t="s">
        <v>2640</v>
      </c>
      <c r="G403" t="s">
        <v>3415</v>
      </c>
      <c r="H403" t="s">
        <v>3701</v>
      </c>
      <c r="I403" t="s">
        <v>3702</v>
      </c>
      <c r="J403" t="str" cm="1">
        <f t="array" ref="J403">IF(SUM(COUNTIF(Text_Preprocessing291013[[#This Row],[full_text]],{"*makan siang gratis*";"*MBG*";"*makan gratis*";"*makan bergizi gratis*";"*makangratis*";"*makanan gratis*"})),"Relevan","Tidak Relevan")</f>
        <v>Relevan</v>
      </c>
    </row>
    <row r="404" spans="1:10" x14ac:dyDescent="0.35">
      <c r="A404" t="e">
        <f t="shared" si="6"/>
        <v>#REF!</v>
      </c>
      <c r="B404">
        <v>417</v>
      </c>
      <c r="C404" t="s">
        <v>3417</v>
      </c>
      <c r="D404" t="s">
        <v>510</v>
      </c>
      <c r="E404" t="s">
        <v>3418</v>
      </c>
      <c r="F404" t="s">
        <v>2640</v>
      </c>
      <c r="G404" t="s">
        <v>3419</v>
      </c>
      <c r="H404" t="s">
        <v>3419</v>
      </c>
      <c r="I404" t="s">
        <v>3420</v>
      </c>
      <c r="J404" t="str" cm="1">
        <f t="array" ref="J404">IF(SUM(COUNTIF(Text_Preprocessing291013[[#This Row],[full_text]],{"*makan siang gratis*";"*MBG*";"*makan gratis*";"*makan bergizi gratis*";"*makangratis*";"*makanan gratis*"})),"Relevan","Tidak Relevan")</f>
        <v>Relevan</v>
      </c>
    </row>
    <row r="405" spans="1:10" x14ac:dyDescent="0.35">
      <c r="A405" t="e">
        <f t="shared" si="6"/>
        <v>#REF!</v>
      </c>
      <c r="B405">
        <v>418</v>
      </c>
      <c r="C405" t="s">
        <v>3421</v>
      </c>
      <c r="D405" t="s">
        <v>172</v>
      </c>
      <c r="E405" t="s">
        <v>3422</v>
      </c>
      <c r="F405" t="s">
        <v>2109</v>
      </c>
      <c r="G405" t="s">
        <v>3423</v>
      </c>
      <c r="H405" t="s">
        <v>3423</v>
      </c>
      <c r="I405" t="s">
        <v>3424</v>
      </c>
      <c r="J405" t="str" cm="1">
        <f t="array" ref="J405">IF(SUM(COUNTIF(Text_Preprocessing291013[[#This Row],[full_text]],{"*makan siang gratis*";"*MBG*";"*makan gratis*";"*makan bergizi gratis*";"*makangratis*";"*makanan gratis*"})),"Relevan","Tidak Relevan")</f>
        <v>Relevan</v>
      </c>
    </row>
    <row r="406" spans="1:10" x14ac:dyDescent="0.35">
      <c r="A406" t="e">
        <f t="shared" si="6"/>
        <v>#REF!</v>
      </c>
      <c r="B406">
        <v>419</v>
      </c>
      <c r="C406" t="s">
        <v>3425</v>
      </c>
      <c r="D406" t="s">
        <v>726</v>
      </c>
      <c r="E406" t="s">
        <v>3426</v>
      </c>
      <c r="F406" t="s">
        <v>1844</v>
      </c>
      <c r="G406" t="s">
        <v>3427</v>
      </c>
      <c r="H406" t="s">
        <v>3428</v>
      </c>
      <c r="I406" t="s">
        <v>3429</v>
      </c>
      <c r="J406" t="str" cm="1">
        <f t="array" ref="J406">IF(SUM(COUNTIF(Text_Preprocessing291013[[#This Row],[full_text]],{"*makan siang gratis*";"*MBG*";"*makan gratis*";"*makan bergizi gratis*";"*makangratis*";"*makanan gratis*"})),"Relevan","Tidak Relevan")</f>
        <v>Relevan</v>
      </c>
    </row>
    <row r="407" spans="1:10" x14ac:dyDescent="0.35">
      <c r="A407" t="e">
        <f t="shared" si="6"/>
        <v>#REF!</v>
      </c>
      <c r="B407">
        <v>420</v>
      </c>
      <c r="C407" t="s">
        <v>3430</v>
      </c>
      <c r="D407" t="s">
        <v>565</v>
      </c>
      <c r="E407" t="s">
        <v>3431</v>
      </c>
      <c r="F407" t="s">
        <v>2082</v>
      </c>
      <c r="G407" t="s">
        <v>3432</v>
      </c>
      <c r="H407" t="s">
        <v>3432</v>
      </c>
      <c r="I407" t="s">
        <v>3433</v>
      </c>
      <c r="J407" t="str" cm="1">
        <f t="array" ref="J407">IF(SUM(COUNTIF(Text_Preprocessing291013[[#This Row],[full_text]],{"*makan siang gratis*";"*MBG*";"*makan gratis*";"*makan bergizi gratis*";"*makangratis*";"*makanan gratis*"})),"Relevan","Tidak Relevan")</f>
        <v>Relevan</v>
      </c>
    </row>
    <row r="408" spans="1:10" x14ac:dyDescent="0.35">
      <c r="A408" t="e">
        <f t="shared" si="6"/>
        <v>#REF!</v>
      </c>
      <c r="B408">
        <v>421</v>
      </c>
      <c r="C408" t="s">
        <v>3434</v>
      </c>
      <c r="D408" t="s">
        <v>442</v>
      </c>
      <c r="E408" t="s">
        <v>3435</v>
      </c>
      <c r="F408" t="s">
        <v>1629</v>
      </c>
      <c r="G408" t="s">
        <v>3436</v>
      </c>
      <c r="H408" t="s">
        <v>3436</v>
      </c>
      <c r="I408" t="s">
        <v>3437</v>
      </c>
      <c r="J408" t="str" cm="1">
        <f t="array" ref="J408">IF(SUM(COUNTIF(Text_Preprocessing291013[[#This Row],[full_text]],{"*makan siang gratis*";"*MBG*";"*makan gratis*";"*makan bergizi gratis*";"*makangratis*";"*makanan gratis*"})),"Relevan","Tidak Relevan")</f>
        <v>Relevan</v>
      </c>
    </row>
    <row r="409" spans="1:10" x14ac:dyDescent="0.35">
      <c r="A409" t="e">
        <f t="shared" si="6"/>
        <v>#REF!</v>
      </c>
      <c r="B409">
        <v>422</v>
      </c>
      <c r="C409" t="s">
        <v>3438</v>
      </c>
      <c r="D409" t="s">
        <v>730</v>
      </c>
      <c r="E409" t="s">
        <v>3439</v>
      </c>
      <c r="F409" t="s">
        <v>2253</v>
      </c>
      <c r="G409" t="s">
        <v>3440</v>
      </c>
      <c r="H409" t="s">
        <v>3441</v>
      </c>
      <c r="I409" t="s">
        <v>3442</v>
      </c>
      <c r="J409" t="str" cm="1">
        <f t="array" ref="J409">IF(SUM(COUNTIF(Text_Preprocessing291013[[#This Row],[full_text]],{"*makan siang gratis*";"*MBG*";"*makan gratis*";"*makan bergizi gratis*";"*makangratis*";"*makanan gratis*"})),"Relevan","Tidak Relevan")</f>
        <v>Relevan</v>
      </c>
    </row>
    <row r="410" spans="1:10" x14ac:dyDescent="0.35">
      <c r="A410" t="e">
        <f t="shared" si="6"/>
        <v>#REF!</v>
      </c>
      <c r="B410">
        <v>423</v>
      </c>
      <c r="C410" t="s">
        <v>3443</v>
      </c>
      <c r="D410" t="s">
        <v>732</v>
      </c>
      <c r="E410" t="s">
        <v>3444</v>
      </c>
      <c r="F410" t="s">
        <v>3445</v>
      </c>
      <c r="G410" t="s">
        <v>3446</v>
      </c>
      <c r="H410" t="s">
        <v>3446</v>
      </c>
      <c r="I410" t="s">
        <v>3447</v>
      </c>
      <c r="J410" t="str" cm="1">
        <f t="array" ref="J410">IF(SUM(COUNTIF(Text_Preprocessing291013[[#This Row],[full_text]],{"*makan siang gratis*";"*MBG*";"*makan gratis*";"*makan bergizi gratis*";"*makangratis*";"*makanan gratis*"})),"Relevan","Tidak Relevan")</f>
        <v>Relevan</v>
      </c>
    </row>
    <row r="411" spans="1:10" x14ac:dyDescent="0.35">
      <c r="A411" t="e">
        <f t="shared" si="6"/>
        <v>#REF!</v>
      </c>
      <c r="B411">
        <v>424</v>
      </c>
      <c r="C411" t="s">
        <v>3448</v>
      </c>
      <c r="D411" t="s">
        <v>734</v>
      </c>
      <c r="E411" t="s">
        <v>3449</v>
      </c>
      <c r="F411" t="s">
        <v>1799</v>
      </c>
      <c r="G411" t="s">
        <v>3450</v>
      </c>
      <c r="H411" t="s">
        <v>3450</v>
      </c>
      <c r="I411" t="s">
        <v>3451</v>
      </c>
      <c r="J411" t="str" cm="1">
        <f t="array" ref="J411">IF(SUM(COUNTIF(Text_Preprocessing291013[[#This Row],[full_text]],{"*makan siang gratis*";"*MBG*";"*makan gratis*";"*makan bergizi gratis*";"*makangratis*";"*makanan gratis*"})),"Relevan","Tidak Relevan")</f>
        <v>Relevan</v>
      </c>
    </row>
    <row r="412" spans="1:10" x14ac:dyDescent="0.35">
      <c r="A412" t="e">
        <f t="shared" si="6"/>
        <v>#REF!</v>
      </c>
      <c r="B412">
        <v>425</v>
      </c>
      <c r="C412" t="s">
        <v>3452</v>
      </c>
      <c r="D412" t="s">
        <v>703</v>
      </c>
      <c r="E412" t="s">
        <v>3453</v>
      </c>
      <c r="F412" t="s">
        <v>3454</v>
      </c>
      <c r="G412" t="s">
        <v>3455</v>
      </c>
      <c r="H412" t="s">
        <v>3455</v>
      </c>
      <c r="I412" t="s">
        <v>3456</v>
      </c>
      <c r="J412" t="str" cm="1">
        <f t="array" ref="J412">IF(SUM(COUNTIF(Text_Preprocessing291013[[#This Row],[full_text]],{"*makan siang gratis*";"*MBG*";"*makan gratis*";"*makan bergizi gratis*";"*makangratis*";"*makanan gratis*"})),"Relevan","Tidak Relevan")</f>
        <v>Relevan</v>
      </c>
    </row>
    <row r="413" spans="1:10" x14ac:dyDescent="0.35">
      <c r="A413" t="e">
        <f t="shared" si="6"/>
        <v>#REF!</v>
      </c>
      <c r="B413">
        <v>426</v>
      </c>
      <c r="C413" t="s">
        <v>3457</v>
      </c>
      <c r="D413" t="s">
        <v>737</v>
      </c>
      <c r="E413" t="s">
        <v>3458</v>
      </c>
      <c r="F413" t="s">
        <v>3459</v>
      </c>
      <c r="G413" t="s">
        <v>3460</v>
      </c>
      <c r="H413" t="s">
        <v>3460</v>
      </c>
      <c r="I413" t="s">
        <v>3461</v>
      </c>
      <c r="J413" t="str" cm="1">
        <f t="array" ref="J413">IF(SUM(COUNTIF(Text_Preprocessing291013[[#This Row],[full_text]],{"*makan siang gratis*";"*MBG*";"*makan gratis*";"*makan bergizi gratis*";"*makangratis*";"*makanan gratis*"})),"Relevan","Tidak Relevan")</f>
        <v>Relevan</v>
      </c>
    </row>
    <row r="414" spans="1:10" x14ac:dyDescent="0.35">
      <c r="A414" t="e">
        <f t="shared" si="6"/>
        <v>#REF!</v>
      </c>
      <c r="B414">
        <v>427</v>
      </c>
      <c r="C414" t="s">
        <v>3462</v>
      </c>
      <c r="D414" t="s">
        <v>739</v>
      </c>
      <c r="E414" t="s">
        <v>3463</v>
      </c>
      <c r="F414" t="s">
        <v>1607</v>
      </c>
      <c r="G414" t="s">
        <v>3464</v>
      </c>
      <c r="H414" t="s">
        <v>3464</v>
      </c>
      <c r="I414" t="s">
        <v>3465</v>
      </c>
      <c r="J414" t="str" cm="1">
        <f t="array" ref="J414">IF(SUM(COUNTIF(Text_Preprocessing291013[[#This Row],[full_text]],{"*makan siang gratis*";"*MBG*";"*makan gratis*";"*makan bergizi gratis*";"*makangratis*";"*makanan gratis*"})),"Relevan","Tidak Relevan")</f>
        <v>Relevan</v>
      </c>
    </row>
    <row r="415" spans="1:10" x14ac:dyDescent="0.35">
      <c r="A415" t="e">
        <f t="shared" si="6"/>
        <v>#REF!</v>
      </c>
      <c r="B415">
        <v>428</v>
      </c>
      <c r="C415" t="s">
        <v>3466</v>
      </c>
      <c r="D415" t="s">
        <v>739</v>
      </c>
      <c r="E415" t="s">
        <v>3467</v>
      </c>
      <c r="F415" t="s">
        <v>3468</v>
      </c>
      <c r="G415" t="s">
        <v>3469</v>
      </c>
      <c r="H415" t="s">
        <v>3469</v>
      </c>
      <c r="I415" t="s">
        <v>3470</v>
      </c>
      <c r="J415" t="str" cm="1">
        <f t="array" ref="J415">IF(SUM(COUNTIF(Text_Preprocessing291013[[#This Row],[full_text]],{"*makan siang gratis*";"*MBG*";"*makan gratis*";"*makan bergizi gratis*";"*makangratis*";"*makanan gratis*"})),"Relevan","Tidak Relevan")</f>
        <v>Relevan</v>
      </c>
    </row>
    <row r="416" spans="1:10" x14ac:dyDescent="0.35">
      <c r="A416" t="e">
        <f t="shared" si="6"/>
        <v>#REF!</v>
      </c>
      <c r="B416">
        <v>429</v>
      </c>
      <c r="C416" t="s">
        <v>3471</v>
      </c>
      <c r="D416" t="s">
        <v>742</v>
      </c>
      <c r="E416" t="s">
        <v>3472</v>
      </c>
      <c r="F416" t="s">
        <v>1686</v>
      </c>
      <c r="G416" t="s">
        <v>3473</v>
      </c>
      <c r="H416" t="s">
        <v>3473</v>
      </c>
      <c r="I416" t="s">
        <v>3474</v>
      </c>
      <c r="J416" t="str" cm="1">
        <f t="array" ref="J416">IF(SUM(COUNTIF(Text_Preprocessing291013[[#This Row],[full_text]],{"*makan siang gratis*";"*MBG*";"*makan gratis*";"*makan bergizi gratis*";"*makangratis*";"*makanan gratis*"})),"Relevan","Tidak Relevan")</f>
        <v>Relevan</v>
      </c>
    </row>
    <row r="417" spans="1:11" x14ac:dyDescent="0.35">
      <c r="A417" t="e">
        <f t="shared" si="6"/>
        <v>#REF!</v>
      </c>
      <c r="B417">
        <v>430</v>
      </c>
      <c r="C417" t="s">
        <v>3475</v>
      </c>
      <c r="D417" t="s">
        <v>379</v>
      </c>
      <c r="E417" t="s">
        <v>3476</v>
      </c>
      <c r="F417" t="s">
        <v>2159</v>
      </c>
      <c r="G417" t="s">
        <v>3477</v>
      </c>
      <c r="H417" t="s">
        <v>3703</v>
      </c>
      <c r="I417" t="s">
        <v>3704</v>
      </c>
      <c r="J417" t="str" cm="1">
        <f t="array" ref="J417">IF(SUM(COUNTIF(Text_Preprocessing291013[[#This Row],[full_text]],{"*makan siang gratis*";"*MBG*";"*makan gratis*";"*makan bergizi gratis*";"*makangratis*";"*makanan gratis*"})),"Relevan","Tidak Relevan")</f>
        <v>Relevan</v>
      </c>
    </row>
    <row r="418" spans="1:11" x14ac:dyDescent="0.35">
      <c r="A418" t="e">
        <f t="shared" si="6"/>
        <v>#REF!</v>
      </c>
      <c r="B418">
        <v>431</v>
      </c>
      <c r="C418" t="s">
        <v>3479</v>
      </c>
      <c r="D418" t="s">
        <v>746</v>
      </c>
      <c r="E418" t="s">
        <v>3480</v>
      </c>
      <c r="F418" t="s">
        <v>3481</v>
      </c>
      <c r="G418" t="s">
        <v>3482</v>
      </c>
      <c r="H418" t="s">
        <v>3482</v>
      </c>
      <c r="I418" t="s">
        <v>3483</v>
      </c>
      <c r="J418" t="str" cm="1">
        <f t="array" ref="J418">IF(SUM(COUNTIF(Text_Preprocessing291013[[#This Row],[full_text]],{"*makan siang gratis*";"*MBG*";"*makan gratis*";"*makan bergizi gratis*";"*makangratis*";"*makanan gratis*"})),"Relevan","Tidak Relevan")</f>
        <v>Relevan</v>
      </c>
    </row>
    <row r="419" spans="1:11" x14ac:dyDescent="0.35">
      <c r="A419" t="e">
        <f t="shared" si="6"/>
        <v>#REF!</v>
      </c>
      <c r="B419">
        <v>432</v>
      </c>
      <c r="C419" t="s">
        <v>3484</v>
      </c>
      <c r="D419" t="s">
        <v>748</v>
      </c>
      <c r="E419" t="s">
        <v>3485</v>
      </c>
      <c r="F419" t="s">
        <v>2069</v>
      </c>
      <c r="G419" t="s">
        <v>3486</v>
      </c>
      <c r="H419" t="s">
        <v>3487</v>
      </c>
      <c r="I419" t="s">
        <v>3488</v>
      </c>
      <c r="J419" t="str" cm="1">
        <f t="array" ref="J419">IF(SUM(COUNTIF(Text_Preprocessing291013[[#This Row],[full_text]],{"*makan siang gratis*";"*MBG*";"*makan gratis*";"*makan bergizi gratis*";"*makangratis*";"*makanan gratis*"})),"Relevan","Tidak Relevan")</f>
        <v>Relevan</v>
      </c>
    </row>
    <row r="420" spans="1:11" x14ac:dyDescent="0.35">
      <c r="A420" t="e">
        <f t="shared" si="6"/>
        <v>#REF!</v>
      </c>
      <c r="B420">
        <v>433</v>
      </c>
      <c r="C420" t="s">
        <v>3489</v>
      </c>
      <c r="D420" t="s">
        <v>750</v>
      </c>
      <c r="E420" t="s">
        <v>3490</v>
      </c>
      <c r="F420" t="s">
        <v>1990</v>
      </c>
      <c r="G420" t="s">
        <v>3491</v>
      </c>
      <c r="H420" t="s">
        <v>3491</v>
      </c>
      <c r="I420" t="s">
        <v>3492</v>
      </c>
      <c r="J420" t="str" cm="1">
        <f t="array" ref="J420">IF(SUM(COUNTIF(Text_Preprocessing291013[[#This Row],[full_text]],{"*makan siang gratis*";"*MBG*";"*makan gratis*";"*makan bergizi gratis*";"*makangratis*";"*makanan gratis*"})),"Relevan","Tidak Relevan")</f>
        <v>Relevan</v>
      </c>
    </row>
    <row r="421" spans="1:11" x14ac:dyDescent="0.35">
      <c r="A421" t="e">
        <f t="shared" si="6"/>
        <v>#REF!</v>
      </c>
      <c r="B421">
        <v>434</v>
      </c>
      <c r="C421" t="s">
        <v>3493</v>
      </c>
      <c r="D421" t="s">
        <v>752</v>
      </c>
      <c r="E421" t="s">
        <v>3494</v>
      </c>
      <c r="F421" t="s">
        <v>2229</v>
      </c>
      <c r="G421" t="s">
        <v>3495</v>
      </c>
      <c r="H421" t="s">
        <v>3495</v>
      </c>
      <c r="I421" t="s">
        <v>3496</v>
      </c>
      <c r="J421" t="str" cm="1">
        <f t="array" ref="J421">IF(SUM(COUNTIF(Text_Preprocessing291013[[#This Row],[full_text]],{"*makan siang gratis*";"*MBG*";"*makan gratis*";"*makan bergizi gratis*";"*makangratis*";"*makanan gratis*"})),"Relevan","Tidak Relevan")</f>
        <v>Tidak Relevan</v>
      </c>
      <c r="K421" t="s">
        <v>3622</v>
      </c>
    </row>
    <row r="422" spans="1:11" x14ac:dyDescent="0.35">
      <c r="A422" t="e">
        <f t="shared" si="6"/>
        <v>#REF!</v>
      </c>
      <c r="B422">
        <v>435</v>
      </c>
      <c r="C422" t="s">
        <v>3497</v>
      </c>
      <c r="D422" t="s">
        <v>754</v>
      </c>
      <c r="E422" t="s">
        <v>3498</v>
      </c>
      <c r="F422" t="s">
        <v>2609</v>
      </c>
      <c r="G422" t="s">
        <v>3499</v>
      </c>
      <c r="H422" t="s">
        <v>3500</v>
      </c>
      <c r="I422" t="s">
        <v>3501</v>
      </c>
      <c r="J422" t="str" cm="1">
        <f t="array" ref="J422">IF(SUM(COUNTIF(Text_Preprocessing291013[[#This Row],[full_text]],{"*makan siang gratis*";"*MBG*";"*makan gratis*";"*makan bergizi gratis*";"*makangratis*";"*makanan gratis*"})),"Relevan","Tidak Relevan")</f>
        <v>Relevan</v>
      </c>
    </row>
    <row r="423" spans="1:11" x14ac:dyDescent="0.35">
      <c r="A423" t="e">
        <f t="shared" si="6"/>
        <v>#REF!</v>
      </c>
      <c r="B423">
        <v>436</v>
      </c>
      <c r="C423" t="s">
        <v>3502</v>
      </c>
      <c r="D423" t="s">
        <v>754</v>
      </c>
      <c r="E423" t="s">
        <v>3503</v>
      </c>
      <c r="F423" t="s">
        <v>2299</v>
      </c>
      <c r="G423" t="s">
        <v>3504</v>
      </c>
      <c r="H423" t="s">
        <v>3505</v>
      </c>
      <c r="I423" t="s">
        <v>3506</v>
      </c>
      <c r="J423" t="str" cm="1">
        <f t="array" ref="J423">IF(SUM(COUNTIF(Text_Preprocessing291013[[#This Row],[full_text]],{"*makan siang gratis*";"*MBG*";"*makan gratis*";"*makan bergizi gratis*";"*makangratis*";"*makanan gratis*"})),"Relevan","Tidak Relevan")</f>
        <v>Tidak Relevan</v>
      </c>
      <c r="K423" t="s">
        <v>3622</v>
      </c>
    </row>
    <row r="424" spans="1:11" x14ac:dyDescent="0.35">
      <c r="A424" t="e">
        <f t="shared" si="6"/>
        <v>#REF!</v>
      </c>
      <c r="B424">
        <v>437</v>
      </c>
      <c r="C424" t="s">
        <v>3507</v>
      </c>
      <c r="D424" t="s">
        <v>757</v>
      </c>
      <c r="E424" t="s">
        <v>3508</v>
      </c>
      <c r="F424" t="s">
        <v>2782</v>
      </c>
      <c r="G424" t="s">
        <v>3509</v>
      </c>
      <c r="H424" t="s">
        <v>3510</v>
      </c>
      <c r="I424" t="s">
        <v>3511</v>
      </c>
      <c r="J424" t="str" cm="1">
        <f t="array" ref="J424">IF(SUM(COUNTIF(Text_Preprocessing291013[[#This Row],[full_text]],{"*makan siang gratis*";"*MBG*";"*makan gratis*";"*makan bergizi gratis*";"*makangratis*";"*makanan gratis*"})),"Relevan","Tidak Relevan")</f>
        <v>Relevan</v>
      </c>
    </row>
    <row r="425" spans="1:11" x14ac:dyDescent="0.35">
      <c r="A425" t="e">
        <f t="shared" si="6"/>
        <v>#REF!</v>
      </c>
      <c r="B425">
        <v>438</v>
      </c>
      <c r="C425" t="s">
        <v>3512</v>
      </c>
      <c r="D425" t="s">
        <v>442</v>
      </c>
      <c r="E425" t="s">
        <v>3513</v>
      </c>
      <c r="F425" t="s">
        <v>1652</v>
      </c>
      <c r="G425" t="s">
        <v>3514</v>
      </c>
      <c r="H425" t="s">
        <v>3514</v>
      </c>
      <c r="I425" t="s">
        <v>3515</v>
      </c>
      <c r="J425" t="str" cm="1">
        <f t="array" ref="J425">IF(SUM(COUNTIF(Text_Preprocessing291013[[#This Row],[full_text]],{"*makan siang gratis*";"*MBG*";"*makan gratis*";"*makan bergizi gratis*";"*makangratis*";"*makanan gratis*"})),"Relevan","Tidak Relevan")</f>
        <v>Relevan</v>
      </c>
    </row>
    <row r="426" spans="1:11" x14ac:dyDescent="0.35">
      <c r="A426" t="e">
        <f t="shared" si="6"/>
        <v>#REF!</v>
      </c>
      <c r="B426">
        <v>439</v>
      </c>
      <c r="C426" t="s">
        <v>3516</v>
      </c>
      <c r="D426" t="s">
        <v>760</v>
      </c>
      <c r="E426" t="s">
        <v>3517</v>
      </c>
      <c r="F426" t="s">
        <v>1624</v>
      </c>
      <c r="G426" t="s">
        <v>3518</v>
      </c>
      <c r="H426" t="s">
        <v>3519</v>
      </c>
      <c r="I426" t="s">
        <v>3520</v>
      </c>
      <c r="J426" t="str" cm="1">
        <f t="array" ref="J426">IF(SUM(COUNTIF(Text_Preprocessing291013[[#This Row],[full_text]],{"*makan siang gratis*";"*MBG*";"*makan gratis*";"*makan bergizi gratis*";"*makangratis*";"*makanan gratis*"})),"Relevan","Tidak Relevan")</f>
        <v>Relevan</v>
      </c>
    </row>
    <row r="427" spans="1:11" x14ac:dyDescent="0.35">
      <c r="A427" t="e">
        <f t="shared" si="6"/>
        <v>#REF!</v>
      </c>
      <c r="B427">
        <v>440</v>
      </c>
      <c r="C427" t="s">
        <v>3521</v>
      </c>
      <c r="D427" t="s">
        <v>762</v>
      </c>
      <c r="E427" t="s">
        <v>3522</v>
      </c>
      <c r="F427" t="s">
        <v>2272</v>
      </c>
      <c r="G427" t="s">
        <v>3523</v>
      </c>
      <c r="H427" t="s">
        <v>3523</v>
      </c>
      <c r="I427" t="s">
        <v>3524</v>
      </c>
      <c r="J427" t="str" cm="1">
        <f t="array" ref="J427">IF(SUM(COUNTIF(Text_Preprocessing291013[[#This Row],[full_text]],{"*makan siang gratis*";"*MBG*";"*makan gratis*";"*makan bergizi gratis*";"*makangratis*";"*makanan gratis*"})),"Relevan","Tidak Relevan")</f>
        <v>Relevan</v>
      </c>
    </row>
    <row r="428" spans="1:11" x14ac:dyDescent="0.35">
      <c r="A428" t="e">
        <f t="shared" si="6"/>
        <v>#REF!</v>
      </c>
      <c r="B428">
        <v>441</v>
      </c>
      <c r="C428" t="s">
        <v>3525</v>
      </c>
      <c r="D428" t="s">
        <v>764</v>
      </c>
      <c r="E428" t="s">
        <v>3526</v>
      </c>
      <c r="F428" t="s">
        <v>1707</v>
      </c>
      <c r="G428" t="s">
        <v>3527</v>
      </c>
      <c r="H428" t="s">
        <v>3527</v>
      </c>
      <c r="I428" t="s">
        <v>3528</v>
      </c>
      <c r="J428" t="str" cm="1">
        <f t="array" ref="J428">IF(SUM(COUNTIF(Text_Preprocessing291013[[#This Row],[full_text]],{"*makan siang gratis*";"*MBG*";"*makan gratis*";"*makan bergizi gratis*";"*makangratis*";"*makanan gratis*"})),"Relevan","Tidak Relevan")</f>
        <v>Relevan</v>
      </c>
    </row>
    <row r="429" spans="1:11" x14ac:dyDescent="0.35">
      <c r="A429" t="e">
        <f t="shared" si="6"/>
        <v>#REF!</v>
      </c>
      <c r="B429">
        <v>442</v>
      </c>
      <c r="C429" t="s">
        <v>3529</v>
      </c>
      <c r="D429" t="s">
        <v>766</v>
      </c>
      <c r="E429" t="s">
        <v>3530</v>
      </c>
      <c r="F429" t="s">
        <v>1758</v>
      </c>
      <c r="G429" t="s">
        <v>3531</v>
      </c>
      <c r="H429" t="s">
        <v>3531</v>
      </c>
      <c r="I429" t="s">
        <v>3532</v>
      </c>
      <c r="J429" t="str" cm="1">
        <f t="array" ref="J429">IF(SUM(COUNTIF(Text_Preprocessing291013[[#This Row],[full_text]],{"*makan siang gratis*";"*MBG*";"*makan gratis*";"*makan bergizi gratis*";"*makangratis*";"*makanan gratis*"})),"Relevan","Tidak Relevan")</f>
        <v>Relevan</v>
      </c>
    </row>
    <row r="430" spans="1:11" x14ac:dyDescent="0.35">
      <c r="A430" t="e">
        <f t="shared" si="6"/>
        <v>#REF!</v>
      </c>
      <c r="B430">
        <v>443</v>
      </c>
      <c r="C430" t="s">
        <v>3533</v>
      </c>
      <c r="D430" t="s">
        <v>561</v>
      </c>
      <c r="E430" t="s">
        <v>3534</v>
      </c>
      <c r="F430" t="s">
        <v>2335</v>
      </c>
      <c r="G430" t="s">
        <v>3535</v>
      </c>
      <c r="H430" t="s">
        <v>3535</v>
      </c>
      <c r="I430" t="s">
        <v>3536</v>
      </c>
      <c r="J430" t="str" cm="1">
        <f t="array" ref="J430">IF(SUM(COUNTIF(Text_Preprocessing291013[[#This Row],[full_text]],{"*makan siang gratis*";"*MBG*";"*makan gratis*";"*makan bergizi gratis*";"*makangratis*";"*makanan gratis*"})),"Relevan","Tidak Relevan")</f>
        <v>Relevan</v>
      </c>
    </row>
    <row r="431" spans="1:11" x14ac:dyDescent="0.35">
      <c r="A431" t="e">
        <f t="shared" si="6"/>
        <v>#REF!</v>
      </c>
      <c r="B431">
        <v>444</v>
      </c>
      <c r="C431" t="s">
        <v>3537</v>
      </c>
      <c r="D431" t="s">
        <v>76</v>
      </c>
      <c r="E431" t="s">
        <v>3538</v>
      </c>
      <c r="F431" t="s">
        <v>3539</v>
      </c>
      <c r="G431" t="s">
        <v>3540</v>
      </c>
      <c r="H431" t="s">
        <v>3540</v>
      </c>
      <c r="I431" t="s">
        <v>3541</v>
      </c>
      <c r="J431" t="str" cm="1">
        <f t="array" ref="J431">IF(SUM(COUNTIF(Text_Preprocessing291013[[#This Row],[full_text]],{"*makan siang gratis*";"*MBG*";"*makan gratis*";"*makan bergizi gratis*";"*makangratis*";"*makanan gratis*"})),"Relevan","Tidak Relevan")</f>
        <v>Relevan</v>
      </c>
    </row>
    <row r="432" spans="1:11" x14ac:dyDescent="0.35">
      <c r="A432" t="e">
        <f t="shared" si="6"/>
        <v>#REF!</v>
      </c>
      <c r="B432">
        <v>445</v>
      </c>
      <c r="C432" t="s">
        <v>3542</v>
      </c>
      <c r="D432" t="s">
        <v>772</v>
      </c>
      <c r="E432" t="s">
        <v>3543</v>
      </c>
      <c r="F432" t="s">
        <v>1888</v>
      </c>
      <c r="G432" t="s">
        <v>3544</v>
      </c>
      <c r="H432" t="s">
        <v>3544</v>
      </c>
      <c r="I432" t="s">
        <v>3545</v>
      </c>
      <c r="J432" t="str" cm="1">
        <f t="array" ref="J432">IF(SUM(COUNTIF(Text_Preprocessing291013[[#This Row],[full_text]],{"*makan siang gratis*";"*MBG*";"*makan gratis*";"*makan bergizi gratis*";"*makangratis*";"*makanan gratis*"})),"Relevan","Tidak Relevan")</f>
        <v>Relevan</v>
      </c>
    </row>
    <row r="433" spans="1:11" x14ac:dyDescent="0.35">
      <c r="A433" t="e">
        <f t="shared" si="6"/>
        <v>#REF!</v>
      </c>
      <c r="B433">
        <v>446</v>
      </c>
      <c r="C433" t="s">
        <v>3546</v>
      </c>
      <c r="D433" t="s">
        <v>772</v>
      </c>
      <c r="E433" t="s">
        <v>3547</v>
      </c>
      <c r="F433" t="s">
        <v>3548</v>
      </c>
      <c r="G433" t="s">
        <v>3549</v>
      </c>
      <c r="H433" t="s">
        <v>3549</v>
      </c>
      <c r="I433" t="s">
        <v>3550</v>
      </c>
      <c r="J433" t="str" cm="1">
        <f t="array" ref="J433">IF(SUM(COUNTIF(Text_Preprocessing291013[[#This Row],[full_text]],{"*makan siang gratis*";"*MBG*";"*makan gratis*";"*makan bergizi gratis*";"*makangratis*";"*makanan gratis*"})),"Relevan","Tidak Relevan")</f>
        <v>Relevan</v>
      </c>
    </row>
    <row r="434" spans="1:11" x14ac:dyDescent="0.35">
      <c r="A434" t="e">
        <f t="shared" si="6"/>
        <v>#REF!</v>
      </c>
      <c r="B434">
        <v>447</v>
      </c>
      <c r="C434" t="s">
        <v>3551</v>
      </c>
      <c r="D434" t="s">
        <v>772</v>
      </c>
      <c r="E434" t="s">
        <v>3552</v>
      </c>
      <c r="F434" t="s">
        <v>2234</v>
      </c>
      <c r="G434" t="s">
        <v>3553</v>
      </c>
      <c r="H434" t="s">
        <v>3553</v>
      </c>
      <c r="I434" t="s">
        <v>3554</v>
      </c>
      <c r="J434" t="str" cm="1">
        <f t="array" ref="J434">IF(SUM(COUNTIF(Text_Preprocessing291013[[#This Row],[full_text]],{"*makan siang gratis*";"*MBG*";"*makan gratis*";"*makan bergizi gratis*";"*makangratis*";"*makanan gratis*"})),"Relevan","Tidak Relevan")</f>
        <v>Relevan</v>
      </c>
    </row>
    <row r="435" spans="1:11" x14ac:dyDescent="0.35">
      <c r="A435" t="e">
        <f t="shared" si="6"/>
        <v>#REF!</v>
      </c>
      <c r="B435">
        <v>448</v>
      </c>
      <c r="C435" t="s">
        <v>3555</v>
      </c>
      <c r="D435" t="s">
        <v>772</v>
      </c>
      <c r="E435" t="s">
        <v>3556</v>
      </c>
      <c r="F435" t="s">
        <v>1844</v>
      </c>
      <c r="G435" t="s">
        <v>3557</v>
      </c>
      <c r="H435" t="s">
        <v>3557</v>
      </c>
      <c r="I435" t="s">
        <v>3558</v>
      </c>
      <c r="J435" t="str" cm="1">
        <f t="array" ref="J435">IF(SUM(COUNTIF(Text_Preprocessing291013[[#This Row],[full_text]],{"*makan siang gratis*";"*MBG*";"*makan gratis*";"*makan bergizi gratis*";"*makangratis*";"*makanan gratis*"})),"Relevan","Tidak Relevan")</f>
        <v>Relevan</v>
      </c>
    </row>
    <row r="436" spans="1:11" x14ac:dyDescent="0.35">
      <c r="A436" t="e">
        <f t="shared" si="6"/>
        <v>#REF!</v>
      </c>
      <c r="B436">
        <v>449</v>
      </c>
      <c r="C436" t="s">
        <v>3559</v>
      </c>
      <c r="D436" t="s">
        <v>772</v>
      </c>
      <c r="E436" t="s">
        <v>3560</v>
      </c>
      <c r="F436" t="s">
        <v>3561</v>
      </c>
      <c r="G436" t="s">
        <v>3562</v>
      </c>
      <c r="H436" t="s">
        <v>3562</v>
      </c>
      <c r="I436" t="s">
        <v>3563</v>
      </c>
      <c r="J436" t="str" cm="1">
        <f t="array" ref="J436">IF(SUM(COUNTIF(Text_Preprocessing291013[[#This Row],[full_text]],{"*makan siang gratis*";"*MBG*";"*makan gratis*";"*makan bergizi gratis*";"*makangratis*";"*makanan gratis*"})),"Relevan","Tidak Relevan")</f>
        <v>Relevan</v>
      </c>
    </row>
    <row r="437" spans="1:11" x14ac:dyDescent="0.35">
      <c r="A437" t="e">
        <f t="shared" si="6"/>
        <v>#REF!</v>
      </c>
      <c r="B437">
        <v>450</v>
      </c>
      <c r="C437" t="s">
        <v>3564</v>
      </c>
      <c r="D437" t="s">
        <v>594</v>
      </c>
      <c r="E437" t="s">
        <v>3565</v>
      </c>
      <c r="F437" t="s">
        <v>2977</v>
      </c>
      <c r="G437" t="s">
        <v>3566</v>
      </c>
      <c r="H437" t="s">
        <v>3566</v>
      </c>
      <c r="I437" t="s">
        <v>3567</v>
      </c>
      <c r="J437" t="str" cm="1">
        <f t="array" ref="J437">IF(SUM(COUNTIF(Text_Preprocessing291013[[#This Row],[full_text]],{"*makan siang gratis*";"*MBG*";"*makan gratis*";"*makan bergizi gratis*";"*makangratis*";"*makanan gratis*"})),"Relevan","Tidak Relevan")</f>
        <v>Relevan</v>
      </c>
    </row>
    <row r="438" spans="1:11" x14ac:dyDescent="0.35">
      <c r="A438" t="e">
        <f t="shared" si="6"/>
        <v>#REF!</v>
      </c>
      <c r="B438">
        <v>451</v>
      </c>
      <c r="C438" t="s">
        <v>3568</v>
      </c>
      <c r="D438" t="s">
        <v>781</v>
      </c>
      <c r="E438" t="s">
        <v>3569</v>
      </c>
      <c r="F438" t="s">
        <v>1618</v>
      </c>
      <c r="G438" t="s">
        <v>3570</v>
      </c>
      <c r="H438" t="s">
        <v>3705</v>
      </c>
      <c r="I438" t="s">
        <v>3706</v>
      </c>
      <c r="J438" t="str" cm="1">
        <f t="array" ref="J438">IF(SUM(COUNTIF(Text_Preprocessing291013[[#This Row],[full_text]],{"*makan siang gratis*";"*MBG*";"*makan gratis*";"*makan bergizi gratis*";"*makangratis*";"*makanan gratis*"})),"Relevan","Tidak Relevan")</f>
        <v>Tidak Relevan</v>
      </c>
      <c r="K438" t="s">
        <v>3622</v>
      </c>
    </row>
    <row r="439" spans="1:11" x14ac:dyDescent="0.35">
      <c r="A439" t="e">
        <f t="shared" si="6"/>
        <v>#REF!</v>
      </c>
      <c r="B439">
        <v>452</v>
      </c>
      <c r="C439" t="s">
        <v>3573</v>
      </c>
      <c r="D439" t="s">
        <v>783</v>
      </c>
      <c r="E439" t="s">
        <v>3574</v>
      </c>
      <c r="F439" t="s">
        <v>3575</v>
      </c>
      <c r="G439" t="s">
        <v>3576</v>
      </c>
      <c r="H439" t="s">
        <v>3707</v>
      </c>
      <c r="I439" t="s">
        <v>3708</v>
      </c>
      <c r="J439" t="str" cm="1">
        <f t="array" ref="J439">IF(SUM(COUNTIF(Text_Preprocessing291013[[#This Row],[full_text]],{"*makan siang gratis*";"*MBG*";"*makan gratis*";"*makan bergizi gratis*";"*makangratis*";"*makanan gratis*"})),"Relevan","Tidak Relevan")</f>
        <v>Relevan</v>
      </c>
    </row>
    <row r="440" spans="1:11" x14ac:dyDescent="0.35">
      <c r="A440" t="e">
        <f t="shared" si="6"/>
        <v>#REF!</v>
      </c>
      <c r="B440">
        <v>453</v>
      </c>
      <c r="C440" t="s">
        <v>3578</v>
      </c>
      <c r="D440" t="s">
        <v>785</v>
      </c>
      <c r="E440" t="s">
        <v>3579</v>
      </c>
      <c r="F440" t="s">
        <v>2229</v>
      </c>
      <c r="G440" t="s">
        <v>3580</v>
      </c>
      <c r="H440" t="s">
        <v>3580</v>
      </c>
      <c r="I440" t="s">
        <v>3581</v>
      </c>
      <c r="J440" t="str" cm="1">
        <f t="array" ref="J440">IF(SUM(COUNTIF(Text_Preprocessing291013[[#This Row],[full_text]],{"*makan siang gratis*";"*MBG*";"*makan gratis*";"*makan bergizi gratis*";"*makangratis*";"*makanan gratis*"})),"Relevan","Tidak Relevan")</f>
        <v>Relevan</v>
      </c>
    </row>
    <row r="441" spans="1:11" x14ac:dyDescent="0.35">
      <c r="A441" t="e">
        <f t="shared" si="6"/>
        <v>#REF!</v>
      </c>
      <c r="B441">
        <v>454</v>
      </c>
      <c r="C441" t="s">
        <v>3582</v>
      </c>
      <c r="D441" t="s">
        <v>785</v>
      </c>
      <c r="E441" t="s">
        <v>3583</v>
      </c>
      <c r="F441" t="s">
        <v>1929</v>
      </c>
      <c r="G441" t="s">
        <v>3584</v>
      </c>
      <c r="H441" t="s">
        <v>3584</v>
      </c>
      <c r="I441" t="s">
        <v>3585</v>
      </c>
      <c r="J441" t="str" cm="1">
        <f t="array" ref="J441">IF(SUM(COUNTIF(Text_Preprocessing291013[[#This Row],[full_text]],{"*makan siang gratis*";"*MBG*";"*makan gratis*";"*makan bergizi gratis*";"*makangratis*";"*makanan gratis*"})),"Relevan","Tidak Relevan")</f>
        <v>Relevan</v>
      </c>
    </row>
    <row r="442" spans="1:11" x14ac:dyDescent="0.35">
      <c r="A442" t="e">
        <f t="shared" si="6"/>
        <v>#REF!</v>
      </c>
      <c r="B442">
        <v>455</v>
      </c>
      <c r="C442" t="s">
        <v>3586</v>
      </c>
      <c r="D442" t="s">
        <v>788</v>
      </c>
      <c r="E442" t="s">
        <v>3587</v>
      </c>
      <c r="F442" t="s">
        <v>3588</v>
      </c>
      <c r="G442" t="s">
        <v>3589</v>
      </c>
      <c r="H442" t="s">
        <v>3709</v>
      </c>
      <c r="I442" t="s">
        <v>3709</v>
      </c>
      <c r="J442" t="str" cm="1">
        <f t="array" ref="J442">IF(SUM(COUNTIF(Text_Preprocessing291013[[#This Row],[full_text]],{"*makan siang gratis*";"*MBG*";"*makan gratis*";"*makan bergizi gratis*";"*makangratis*";"*makanan gratis*"})),"Relevan","Tidak Relevan")</f>
        <v>Relevan</v>
      </c>
    </row>
    <row r="443" spans="1:11" x14ac:dyDescent="0.35">
      <c r="A443" t="e">
        <f t="shared" si="6"/>
        <v>#REF!</v>
      </c>
      <c r="B443">
        <v>456</v>
      </c>
      <c r="C443" t="s">
        <v>3591</v>
      </c>
      <c r="D443" t="s">
        <v>790</v>
      </c>
      <c r="E443" t="s">
        <v>3592</v>
      </c>
      <c r="F443" t="s">
        <v>3593</v>
      </c>
      <c r="G443" t="s">
        <v>3594</v>
      </c>
      <c r="H443" t="s">
        <v>3595</v>
      </c>
      <c r="I443" t="s">
        <v>3596</v>
      </c>
      <c r="J443" t="str" cm="1">
        <f t="array" ref="J443">IF(SUM(COUNTIF(Text_Preprocessing291013[[#This Row],[full_text]],{"*makan siang gratis*";"*MBG*";"*makan gratis*";"*makan bergizi gratis*";"*makangratis*";"*makanan gratis*"})),"Relevan","Tidak Relevan")</f>
        <v>Relevan</v>
      </c>
    </row>
    <row r="444" spans="1:11" x14ac:dyDescent="0.35">
      <c r="A444" t="e">
        <f t="shared" si="6"/>
        <v>#REF!</v>
      </c>
      <c r="B444">
        <v>457</v>
      </c>
      <c r="C444" t="s">
        <v>3597</v>
      </c>
      <c r="D444" t="s">
        <v>792</v>
      </c>
      <c r="E444" t="s">
        <v>3598</v>
      </c>
      <c r="F444" t="s">
        <v>1929</v>
      </c>
      <c r="G444" t="s">
        <v>3599</v>
      </c>
      <c r="H444" t="s">
        <v>3599</v>
      </c>
      <c r="I444" t="s">
        <v>3600</v>
      </c>
      <c r="J444" t="str" cm="1">
        <f t="array" ref="J444">IF(SUM(COUNTIF(Text_Preprocessing291013[[#This Row],[full_text]],{"*makan siang gratis*";"*MBG*";"*makan gratis*";"*makan bergizi gratis*";"*makangratis*";"*makanan gratis*"})),"Relevan","Tidak Relevan")</f>
        <v>Relevan</v>
      </c>
    </row>
    <row r="445" spans="1:11" x14ac:dyDescent="0.35">
      <c r="A445" t="e">
        <f t="shared" si="6"/>
        <v>#REF!</v>
      </c>
      <c r="B445">
        <v>458</v>
      </c>
      <c r="C445" t="s">
        <v>3601</v>
      </c>
      <c r="D445" t="s">
        <v>794</v>
      </c>
      <c r="E445" t="s">
        <v>3602</v>
      </c>
      <c r="F445" t="s">
        <v>2186</v>
      </c>
      <c r="G445" t="s">
        <v>3603</v>
      </c>
      <c r="H445" t="s">
        <v>3603</v>
      </c>
      <c r="I445" t="s">
        <v>3604</v>
      </c>
      <c r="J445" t="str" cm="1">
        <f t="array" ref="J445">IF(SUM(COUNTIF(Text_Preprocessing291013[[#This Row],[full_text]],{"*makan siang gratis*";"*MBG*";"*makan gratis*";"*makan bergizi gratis*";"*makangratis*";"*makanan gratis*"})),"Relevan","Tidak Relevan")</f>
        <v>Relevan</v>
      </c>
    </row>
    <row r="446" spans="1:11" x14ac:dyDescent="0.35">
      <c r="A446" t="e">
        <f t="shared" si="6"/>
        <v>#REF!</v>
      </c>
      <c r="B446">
        <v>459</v>
      </c>
      <c r="C446" t="s">
        <v>3605</v>
      </c>
      <c r="D446" t="s">
        <v>796</v>
      </c>
      <c r="E446" t="s">
        <v>3606</v>
      </c>
      <c r="F446" t="s">
        <v>1741</v>
      </c>
      <c r="G446" t="s">
        <v>3607</v>
      </c>
      <c r="H446" t="s">
        <v>3710</v>
      </c>
      <c r="I446" t="s">
        <v>3711</v>
      </c>
      <c r="J446" t="str" cm="1">
        <f t="array" ref="J446">IF(SUM(COUNTIF(Text_Preprocessing291013[[#This Row],[full_text]],{"*makan siang gratis*";"*MBG*";"*makan gratis*";"*makan bergizi gratis*";"*makangratis*";"*makanan gratis*"})),"Relevan","Tidak Relevan")</f>
        <v>Relevan</v>
      </c>
    </row>
    <row r="447" spans="1:11" x14ac:dyDescent="0.35">
      <c r="A447" t="e">
        <f t="shared" si="6"/>
        <v>#REF!</v>
      </c>
      <c r="B447">
        <v>460</v>
      </c>
      <c r="C447" t="s">
        <v>3609</v>
      </c>
      <c r="D447" t="s">
        <v>798</v>
      </c>
      <c r="E447" t="s">
        <v>3610</v>
      </c>
      <c r="F447" t="s">
        <v>2604</v>
      </c>
      <c r="G447" t="s">
        <v>3611</v>
      </c>
      <c r="H447" t="s">
        <v>3611</v>
      </c>
      <c r="I447" t="s">
        <v>3612</v>
      </c>
      <c r="J447" t="str" cm="1">
        <f t="array" ref="J447">IF(SUM(COUNTIF(Text_Preprocessing291013[[#This Row],[full_text]],{"*makan siang gratis*";"*MBG*";"*makan gratis*";"*makan bergizi gratis*";"*makangratis*";"*makanan gratis*"})),"Relevan","Tidak Relevan")</f>
        <v>Relevan</v>
      </c>
    </row>
    <row r="448" spans="1:11" x14ac:dyDescent="0.35">
      <c r="A448" t="e">
        <f t="shared" si="6"/>
        <v>#REF!</v>
      </c>
      <c r="B448">
        <v>461</v>
      </c>
      <c r="C448" t="s">
        <v>3613</v>
      </c>
      <c r="D448" t="s">
        <v>798</v>
      </c>
      <c r="E448" t="s">
        <v>3614</v>
      </c>
      <c r="F448" t="s">
        <v>1735</v>
      </c>
      <c r="G448" t="s">
        <v>3615</v>
      </c>
      <c r="H448" t="s">
        <v>3615</v>
      </c>
      <c r="I448" t="s">
        <v>3616</v>
      </c>
      <c r="J448" t="str" cm="1">
        <f t="array" ref="J448">IF(SUM(COUNTIF(Text_Preprocessing291013[[#This Row],[full_text]],{"*makan siang gratis*";"*MBG*";"*makan gratis*";"*makan bergizi gratis*";"*makangratis*";"*makanan gratis*"})),"Relevan","Tidak Relevan")</f>
        <v>Relevan</v>
      </c>
    </row>
    <row r="449" spans="1:10" x14ac:dyDescent="0.35">
      <c r="A449" t="e">
        <f t="shared" ref="A449" si="7">SUM(A448+1)</f>
        <v>#REF!</v>
      </c>
      <c r="B449">
        <v>462</v>
      </c>
      <c r="C449" t="s">
        <v>3617</v>
      </c>
      <c r="D449" t="s">
        <v>801</v>
      </c>
      <c r="E449" t="s">
        <v>3618</v>
      </c>
      <c r="F449" t="s">
        <v>1785</v>
      </c>
      <c r="G449" t="s">
        <v>3619</v>
      </c>
      <c r="H449" t="s">
        <v>3619</v>
      </c>
      <c r="I449" t="s">
        <v>3620</v>
      </c>
      <c r="J449" t="str" cm="1">
        <f t="array" ref="J449">IF(SUM(COUNTIF(Text_Preprocessing291013[[#This Row],[full_text]],{"*makan siang gratis*";"*MBG*";"*makan gratis*";"*makan bergizi gratis*";"*makangratis*";"*makanan gratis*"})),"Relevan","Tidak Relevan")</f>
        <v>Relevan</v>
      </c>
    </row>
  </sheetData>
  <conditionalFormatting sqref="C2:C449">
    <cfRule type="duplicateValues" dxfId="5" priority="38"/>
  </conditionalFormatting>
  <conditionalFormatting sqref="I1:I1048576">
    <cfRule type="duplicateValues" dxfId="4" priority="1"/>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26EE-7C87-497A-A247-686020FE7909}">
  <dimension ref="A1:U452"/>
  <sheetViews>
    <sheetView topLeftCell="I1" zoomScale="95" workbookViewId="0">
      <selection activeCell="Q15" sqref="Q15"/>
    </sheetView>
  </sheetViews>
  <sheetFormatPr defaultRowHeight="14.5" x14ac:dyDescent="0.35"/>
  <cols>
    <col min="1" max="1" width="5.453125" bestFit="1" customWidth="1"/>
    <col min="2" max="2" width="80.7265625" bestFit="1" customWidth="1"/>
    <col min="3" max="3" width="17.1796875" bestFit="1" customWidth="1"/>
    <col min="4" max="4" width="25.1796875" bestFit="1" customWidth="1"/>
    <col min="5" max="5" width="80.7265625" bestFit="1" customWidth="1"/>
    <col min="6" max="6" width="38.90625" bestFit="1" customWidth="1"/>
    <col min="7" max="9" width="80.7265625" bestFit="1" customWidth="1"/>
    <col min="10" max="10" width="12.26953125" bestFit="1" customWidth="1"/>
    <col min="11" max="11" width="25.1796875" bestFit="1" customWidth="1"/>
    <col min="12" max="12" width="9.7265625" bestFit="1" customWidth="1"/>
    <col min="13" max="13" width="7.36328125" bestFit="1" customWidth="1"/>
    <col min="14" max="14" width="12.26953125" bestFit="1" customWidth="1"/>
    <col min="16" max="16" width="17.08984375" bestFit="1" customWidth="1"/>
    <col min="17" max="17" width="9.6328125" bestFit="1" customWidth="1"/>
    <col min="18" max="18" width="16.54296875" bestFit="1" customWidth="1"/>
    <col min="19" max="19" width="6.6328125" bestFit="1" customWidth="1"/>
    <col min="20" max="20" width="18.36328125" bestFit="1" customWidth="1"/>
    <col min="21" max="21" width="5" bestFit="1" customWidth="1"/>
  </cols>
  <sheetData>
    <row r="1" spans="1:21" x14ac:dyDescent="0.35">
      <c r="A1" t="s">
        <v>0</v>
      </c>
      <c r="B1" t="s">
        <v>1</v>
      </c>
      <c r="C1" t="s">
        <v>2</v>
      </c>
      <c r="D1" t="s">
        <v>3627</v>
      </c>
      <c r="E1" t="s">
        <v>1589</v>
      </c>
      <c r="F1" t="s">
        <v>1590</v>
      </c>
      <c r="G1" t="s">
        <v>1591</v>
      </c>
      <c r="H1" t="s">
        <v>1592</v>
      </c>
      <c r="I1" t="s">
        <v>1593</v>
      </c>
      <c r="J1" t="s">
        <v>1588</v>
      </c>
      <c r="K1" t="s">
        <v>3621</v>
      </c>
    </row>
    <row r="2" spans="1:21" x14ac:dyDescent="0.35">
      <c r="A2">
        <v>1</v>
      </c>
      <c r="B2" t="s">
        <v>1599</v>
      </c>
      <c r="C2" t="s">
        <v>6</v>
      </c>
      <c r="D2" t="s">
        <v>3628</v>
      </c>
      <c r="E2" t="s">
        <v>1600</v>
      </c>
      <c r="F2" t="s">
        <v>1601</v>
      </c>
      <c r="G2" t="s">
        <v>1602</v>
      </c>
      <c r="H2" t="s">
        <v>1603</v>
      </c>
      <c r="I2" t="s">
        <v>1604</v>
      </c>
      <c r="J2" s="5" t="str" cm="1">
        <f t="array" ref="J2">IF(SUM(COUNTIF(Text_Preprocessing__2245[[#This Row],[full_text]],{"*makan siang gratis*";"*MBG*";"*makan gratis*";"*makan bergizi gratis*";"*makangratis*";"*makanan gratis*"})),"Relevan","Tidak Relevan")</f>
        <v>Relevan</v>
      </c>
    </row>
    <row r="3" spans="1:21" x14ac:dyDescent="0.35">
      <c r="A3">
        <f>SUM(A2+1)</f>
        <v>2</v>
      </c>
      <c r="B3" t="s">
        <v>1605</v>
      </c>
      <c r="C3" t="s">
        <v>8</v>
      </c>
      <c r="D3" t="s">
        <v>3628</v>
      </c>
      <c r="E3" t="s">
        <v>1606</v>
      </c>
      <c r="F3" t="s">
        <v>1607</v>
      </c>
      <c r="G3" t="s">
        <v>1608</v>
      </c>
      <c r="H3" t="s">
        <v>1609</v>
      </c>
      <c r="I3" t="s">
        <v>1610</v>
      </c>
      <c r="J3" s="5" t="str" cm="1">
        <f t="array" ref="J3">IF(SUM(COUNTIF(Text_Preprocessing__2245[[#This Row],[full_text]],{"*makan siang gratis*";"*MBG*";"*makan gratis*";"*makan bergizi gratis*";"*makangratis*";"*makanan gratis*"})),"Relevan","Tidak Relevan")</f>
        <v>Relevan</v>
      </c>
    </row>
    <row r="4" spans="1:21" x14ac:dyDescent="0.35">
      <c r="A4">
        <f t="shared" ref="A4:A67" si="0">SUM(A3+1)</f>
        <v>3</v>
      </c>
      <c r="B4" t="s">
        <v>1611</v>
      </c>
      <c r="C4" t="s">
        <v>10</v>
      </c>
      <c r="D4" t="s">
        <v>3628</v>
      </c>
      <c r="E4" t="s">
        <v>1612</v>
      </c>
      <c r="F4" t="s">
        <v>1613</v>
      </c>
      <c r="G4" t="s">
        <v>1614</v>
      </c>
      <c r="H4" t="s">
        <v>1614</v>
      </c>
      <c r="I4" t="s">
        <v>1615</v>
      </c>
      <c r="J4" s="5" t="str" cm="1">
        <f t="array" ref="J4">IF(SUM(COUNTIF(Text_Preprocessing__2245[[#This Row],[full_text]],{"*makan siang gratis*";"*MBG*";"*makan gratis*";"*makan bergizi gratis*";"*makangratis*";"*makanan gratis*"})),"Relevan","Tidak Relevan")</f>
        <v>Relevan</v>
      </c>
    </row>
    <row r="5" spans="1:21" x14ac:dyDescent="0.35">
      <c r="A5">
        <f t="shared" si="0"/>
        <v>4</v>
      </c>
      <c r="B5" t="s">
        <v>1616</v>
      </c>
      <c r="C5" t="s">
        <v>12</v>
      </c>
      <c r="D5" t="s">
        <v>3628</v>
      </c>
      <c r="E5" t="s">
        <v>1617</v>
      </c>
      <c r="F5" t="s">
        <v>1618</v>
      </c>
      <c r="G5" t="s">
        <v>1619</v>
      </c>
      <c r="H5" t="s">
        <v>1620</v>
      </c>
      <c r="I5" t="s">
        <v>1621</v>
      </c>
      <c r="J5" s="5" t="str" cm="1">
        <f t="array" ref="J5">IF(SUM(COUNTIF(Text_Preprocessing__2245[[#This Row],[full_text]],{"*makan siang gratis*";"*MBG*";"*makan gratis*";"*makan bergizi gratis*";"*makangratis*";"*makanan gratis*"})),"Relevan","Tidak Relevan")</f>
        <v>Relevan</v>
      </c>
    </row>
    <row r="6" spans="1:21" x14ac:dyDescent="0.35">
      <c r="A6">
        <f t="shared" si="0"/>
        <v>5</v>
      </c>
      <c r="B6" t="s">
        <v>1622</v>
      </c>
      <c r="C6" t="s">
        <v>14</v>
      </c>
      <c r="D6" t="s">
        <v>3628</v>
      </c>
      <c r="E6" t="s">
        <v>1623</v>
      </c>
      <c r="F6" t="s">
        <v>1624</v>
      </c>
      <c r="G6" t="s">
        <v>1625</v>
      </c>
      <c r="H6" t="s">
        <v>1625</v>
      </c>
      <c r="I6" t="s">
        <v>1626</v>
      </c>
      <c r="J6" s="5" t="str" cm="1">
        <f t="array" ref="J6">IF(SUM(COUNTIF(Text_Preprocessing__2245[[#This Row],[full_text]],{"*makan siang gratis*";"*MBG*";"*makan gratis*";"*makan bergizi gratis*";"*makangratis*";"*makanan gratis*"})),"Relevan","Tidak Relevan")</f>
        <v>Relevan</v>
      </c>
      <c r="Q6" t="s">
        <v>3622</v>
      </c>
      <c r="R6" t="s">
        <v>3623</v>
      </c>
    </row>
    <row r="7" spans="1:21" x14ac:dyDescent="0.35">
      <c r="A7">
        <f t="shared" si="0"/>
        <v>6</v>
      </c>
      <c r="B7" t="s">
        <v>1627</v>
      </c>
      <c r="C7" t="s">
        <v>16</v>
      </c>
      <c r="D7" t="s">
        <v>3628</v>
      </c>
      <c r="E7" t="s">
        <v>1628</v>
      </c>
      <c r="F7" t="s">
        <v>1629</v>
      </c>
      <c r="G7" t="s">
        <v>1630</v>
      </c>
      <c r="H7" t="s">
        <v>1630</v>
      </c>
      <c r="I7" t="s">
        <v>1631</v>
      </c>
      <c r="J7" s="5" t="str" cm="1">
        <f t="array" ref="J7">IF(SUM(COUNTIF(Text_Preprocessing__2245[[#This Row],[full_text]],{"*makan siang gratis*";"*MBG*";"*makan gratis*";"*makan bergizi gratis*";"*makangratis*";"*makanan gratis*"})),"Relevan","Tidak Relevan")</f>
        <v>Relevan</v>
      </c>
      <c r="P7" t="s">
        <v>3631</v>
      </c>
      <c r="Q7">
        <f>COUNTIF($J$2:$J$452, "Relevan")</f>
        <v>421</v>
      </c>
      <c r="R7">
        <f>COUNTIF($J$2:$J$452, "Tidak Relevan")</f>
        <v>30</v>
      </c>
    </row>
    <row r="8" spans="1:21" x14ac:dyDescent="0.35">
      <c r="A8">
        <f t="shared" si="0"/>
        <v>7</v>
      </c>
      <c r="B8" t="s">
        <v>1632</v>
      </c>
      <c r="C8" t="s">
        <v>18</v>
      </c>
      <c r="D8" t="s">
        <v>3628</v>
      </c>
      <c r="E8" t="s">
        <v>1633</v>
      </c>
      <c r="F8" t="s">
        <v>1634</v>
      </c>
      <c r="G8" t="s">
        <v>1635</v>
      </c>
      <c r="H8" t="s">
        <v>1636</v>
      </c>
      <c r="I8" t="s">
        <v>1637</v>
      </c>
      <c r="J8" s="5" t="str" cm="1">
        <f t="array" ref="J8">IF(SUM(COUNTIF(Text_Preprocessing__2245[[#This Row],[full_text]],{"*makan siang gratis*";"*MBG*";"*makan gratis*";"*makan bergizi gratis*";"*makangratis*";"*makanan gratis*"})),"Relevan","Tidak Relevan")</f>
        <v>Tidak Relevan</v>
      </c>
      <c r="K8" t="s">
        <v>3622</v>
      </c>
      <c r="P8" t="s">
        <v>3625</v>
      </c>
      <c r="Q8">
        <f>COUNTIF($K$2:$K$452, "Relevan")</f>
        <v>30</v>
      </c>
      <c r="R8">
        <f>COUNTIF($K$2:$K$452, "Tidak Relevan")</f>
        <v>0</v>
      </c>
    </row>
    <row r="9" spans="1:21" x14ac:dyDescent="0.35">
      <c r="A9">
        <f t="shared" si="0"/>
        <v>8</v>
      </c>
      <c r="B9" t="s">
        <v>1638</v>
      </c>
      <c r="C9" t="s">
        <v>20</v>
      </c>
      <c r="D9" t="s">
        <v>3628</v>
      </c>
      <c r="E9" t="s">
        <v>1639</v>
      </c>
      <c r="F9" t="s">
        <v>1640</v>
      </c>
      <c r="G9" t="s">
        <v>1641</v>
      </c>
      <c r="H9" t="s">
        <v>1642</v>
      </c>
      <c r="I9" t="s">
        <v>1643</v>
      </c>
      <c r="J9" s="5" t="str" cm="1">
        <f t="array" ref="J9">IF(SUM(COUNTIF(Text_Preprocessing__2245[[#This Row],[full_text]],{"*makan siang gratis*";"*MBG*";"*makan gratis*";"*makan bergizi gratis*";"*makangratis*";"*makanan gratis*"})),"Relevan","Tidak Relevan")</f>
        <v>Tidak Relevan</v>
      </c>
      <c r="K9" t="s">
        <v>3622</v>
      </c>
      <c r="P9" t="s">
        <v>3626</v>
      </c>
      <c r="Q9">
        <f>SUM(Q7:Q8)</f>
        <v>451</v>
      </c>
      <c r="R9">
        <f>R8</f>
        <v>0</v>
      </c>
      <c r="S9">
        <f>SUM(Q9:R9)</f>
        <v>451</v>
      </c>
    </row>
    <row r="10" spans="1:21" x14ac:dyDescent="0.35">
      <c r="A10">
        <f t="shared" si="0"/>
        <v>9</v>
      </c>
      <c r="B10" t="s">
        <v>1644</v>
      </c>
      <c r="C10" t="s">
        <v>22</v>
      </c>
      <c r="D10" t="s">
        <v>3628</v>
      </c>
      <c r="E10" t="s">
        <v>1645</v>
      </c>
      <c r="F10" t="s">
        <v>1646</v>
      </c>
      <c r="G10" t="s">
        <v>1647</v>
      </c>
      <c r="H10" t="s">
        <v>1648</v>
      </c>
      <c r="I10" t="s">
        <v>1649</v>
      </c>
      <c r="J10" s="5" t="str" cm="1">
        <f t="array" ref="J10">IF(SUM(COUNTIF(Text_Preprocessing__2245[[#This Row],[full_text]],{"*makan siang gratis*";"*MBG*";"*makan gratis*";"*makan bergizi gratis*";"*makangratis*";"*makanan gratis*"})),"Relevan","Tidak Relevan")</f>
        <v>Relevan</v>
      </c>
    </row>
    <row r="11" spans="1:21" x14ac:dyDescent="0.35">
      <c r="A11">
        <f t="shared" si="0"/>
        <v>10</v>
      </c>
      <c r="B11" t="s">
        <v>1650</v>
      </c>
      <c r="C11" t="s">
        <v>24</v>
      </c>
      <c r="D11" t="s">
        <v>3628</v>
      </c>
      <c r="E11" t="s">
        <v>1651</v>
      </c>
      <c r="F11" t="s">
        <v>1652</v>
      </c>
      <c r="G11" t="s">
        <v>1653</v>
      </c>
      <c r="H11" t="s">
        <v>1653</v>
      </c>
      <c r="I11" t="s">
        <v>1654</v>
      </c>
      <c r="J11" s="5" t="str" cm="1">
        <f t="array" ref="J11">IF(SUM(COUNTIF(Text_Preprocessing__2245[[#This Row],[full_text]],{"*makan siang gratis*";"*MBG*";"*makan gratis*";"*makan bergizi gratis*";"*makangratis*";"*makanan gratis*"})),"Relevan","Tidak Relevan")</f>
        <v>Relevan</v>
      </c>
      <c r="P11" t="s">
        <v>3628</v>
      </c>
      <c r="Q11" t="s">
        <v>3630</v>
      </c>
      <c r="R11" t="s">
        <v>3629</v>
      </c>
      <c r="S11" t="s">
        <v>3632</v>
      </c>
      <c r="T11" t="s">
        <v>3634</v>
      </c>
      <c r="U11" t="s">
        <v>3633</v>
      </c>
    </row>
    <row r="12" spans="1:21" x14ac:dyDescent="0.35">
      <c r="A12">
        <f t="shared" si="0"/>
        <v>11</v>
      </c>
      <c r="B12" t="s">
        <v>1655</v>
      </c>
      <c r="C12" t="s">
        <v>26</v>
      </c>
      <c r="D12" t="s">
        <v>3628</v>
      </c>
      <c r="E12" t="s">
        <v>1656</v>
      </c>
      <c r="F12" t="s">
        <v>1657</v>
      </c>
      <c r="G12" t="s">
        <v>1658</v>
      </c>
      <c r="H12" t="s">
        <v>1659</v>
      </c>
      <c r="I12" t="s">
        <v>1660</v>
      </c>
      <c r="J12" s="5" t="str" cm="1">
        <f t="array" ref="J12">IF(SUM(COUNTIF(Text_Preprocessing__2245[[#This Row],[full_text]],{"*makan siang gratis*";"*MBG*";"*makan gratis*";"*makan bergizi gratis*";"*makangratis*";"*makanan gratis*"})),"Relevan","Tidak Relevan")</f>
        <v>Tidak Relevan</v>
      </c>
      <c r="K12" t="s">
        <v>3622</v>
      </c>
      <c r="P12">
        <f>COUNTIF($D$2:$D$452, "Individu")</f>
        <v>288</v>
      </c>
      <c r="Q12">
        <f>COUNTIF($D$2:$D$452, "Komunitas")</f>
        <v>2</v>
      </c>
      <c r="R12">
        <f>COUNTIF($D$2:$D$452, "Media Tidak Resmi")</f>
        <v>29</v>
      </c>
      <c r="S12">
        <f>COUNTIF($D$2:$D$452, "Official")</f>
        <v>32</v>
      </c>
      <c r="T12">
        <f>COUNTIF($D$2:$D$452, "Media Resmi Dewanpers")</f>
        <v>100</v>
      </c>
      <c r="U12">
        <f>SUM(P12:T12)</f>
        <v>451</v>
      </c>
    </row>
    <row r="13" spans="1:21" x14ac:dyDescent="0.35">
      <c r="A13">
        <f t="shared" si="0"/>
        <v>12</v>
      </c>
      <c r="B13" t="s">
        <v>1661</v>
      </c>
      <c r="C13" t="s">
        <v>28</v>
      </c>
      <c r="D13" t="s">
        <v>3628</v>
      </c>
      <c r="E13" t="s">
        <v>1662</v>
      </c>
      <c r="F13" t="s">
        <v>1663</v>
      </c>
      <c r="G13" t="s">
        <v>1664</v>
      </c>
      <c r="H13" t="s">
        <v>1665</v>
      </c>
      <c r="I13" t="s">
        <v>1666</v>
      </c>
      <c r="J13" s="5" t="str" cm="1">
        <f t="array" ref="J13">IF(SUM(COUNTIF(Text_Preprocessing__2245[[#This Row],[full_text]],{"*makan siang gratis*";"*MBG*";"*makan gratis*";"*makan bergizi gratis*";"*makangratis*";"*makanan gratis*"})),"Relevan","Tidak Relevan")</f>
        <v>Tidak Relevan</v>
      </c>
      <c r="K13" t="s">
        <v>3622</v>
      </c>
    </row>
    <row r="14" spans="1:21" x14ac:dyDescent="0.35">
      <c r="A14">
        <f t="shared" si="0"/>
        <v>13</v>
      </c>
      <c r="B14" t="s">
        <v>1667</v>
      </c>
      <c r="C14" t="s">
        <v>32</v>
      </c>
      <c r="D14" t="s">
        <v>3628</v>
      </c>
      <c r="E14" t="s">
        <v>1668</v>
      </c>
      <c r="F14" t="s">
        <v>1669</v>
      </c>
      <c r="G14" t="s">
        <v>1670</v>
      </c>
      <c r="H14" t="s">
        <v>1670</v>
      </c>
      <c r="I14" t="s">
        <v>1671</v>
      </c>
      <c r="J14" s="5" t="str" cm="1">
        <f t="array" ref="J14">IF(SUM(COUNTIF(Text_Preprocessing__2245[[#This Row],[full_text]],{"*makan siang gratis*";"*MBG*";"*makan gratis*";"*makan bergizi gratis*";"*makangratis*";"*makanan gratis*"})),"Relevan","Tidak Relevan")</f>
        <v>Relevan</v>
      </c>
    </row>
    <row r="15" spans="1:21" x14ac:dyDescent="0.35">
      <c r="A15">
        <f t="shared" si="0"/>
        <v>14</v>
      </c>
      <c r="B15" t="s">
        <v>1672</v>
      </c>
      <c r="C15" t="s">
        <v>34</v>
      </c>
      <c r="D15" t="s">
        <v>3628</v>
      </c>
      <c r="E15" t="s">
        <v>1673</v>
      </c>
      <c r="F15" t="s">
        <v>1674</v>
      </c>
      <c r="G15" t="s">
        <v>1675</v>
      </c>
      <c r="H15" t="s">
        <v>1676</v>
      </c>
      <c r="I15" t="s">
        <v>1677</v>
      </c>
      <c r="J15" s="5" t="str" cm="1">
        <f t="array" ref="J15">IF(SUM(COUNTIF(Text_Preprocessing__2245[[#This Row],[full_text]],{"*makan siang gratis*";"*MBG*";"*makan gratis*";"*makan bergizi gratis*";"*makangratis*";"*makanan gratis*"})),"Relevan","Tidak Relevan")</f>
        <v>Tidak Relevan</v>
      </c>
      <c r="K15" t="s">
        <v>3622</v>
      </c>
    </row>
    <row r="16" spans="1:21" x14ac:dyDescent="0.35">
      <c r="A16">
        <f t="shared" si="0"/>
        <v>15</v>
      </c>
      <c r="B16" t="s">
        <v>1678</v>
      </c>
      <c r="C16" t="s">
        <v>36</v>
      </c>
      <c r="D16" t="s">
        <v>3628</v>
      </c>
      <c r="E16" t="s">
        <v>1679</v>
      </c>
      <c r="F16" t="s">
        <v>1680</v>
      </c>
      <c r="G16" t="s">
        <v>1681</v>
      </c>
      <c r="H16" t="s">
        <v>1682</v>
      </c>
      <c r="I16" t="s">
        <v>1683</v>
      </c>
      <c r="J16" s="5" t="str" cm="1">
        <f t="array" ref="J16">IF(SUM(COUNTIF(Text_Preprocessing__2245[[#This Row],[full_text]],{"*makan siang gratis*";"*MBG*";"*makan gratis*";"*makan bergizi gratis*";"*makangratis*";"*makanan gratis*"})),"Relevan","Tidak Relevan")</f>
        <v>Relevan</v>
      </c>
    </row>
    <row r="17" spans="1:11" x14ac:dyDescent="0.35">
      <c r="A17">
        <f t="shared" si="0"/>
        <v>16</v>
      </c>
      <c r="B17" t="s">
        <v>1684</v>
      </c>
      <c r="C17" t="s">
        <v>38</v>
      </c>
      <c r="D17" t="s">
        <v>3628</v>
      </c>
      <c r="E17" t="s">
        <v>1685</v>
      </c>
      <c r="F17" t="s">
        <v>1686</v>
      </c>
      <c r="G17" t="s">
        <v>1687</v>
      </c>
      <c r="H17" t="s">
        <v>1688</v>
      </c>
      <c r="I17" t="s">
        <v>1689</v>
      </c>
      <c r="J17" s="5" t="str" cm="1">
        <f t="array" ref="J17">IF(SUM(COUNTIF(Text_Preprocessing__2245[[#This Row],[full_text]],{"*makan siang gratis*";"*MBG*";"*makan gratis*";"*makan bergizi gratis*";"*makangratis*";"*makanan gratis*"})),"Relevan","Tidak Relevan")</f>
        <v>Relevan</v>
      </c>
    </row>
    <row r="18" spans="1:11" x14ac:dyDescent="0.35">
      <c r="A18">
        <f t="shared" si="0"/>
        <v>17</v>
      </c>
      <c r="B18" t="s">
        <v>1690</v>
      </c>
      <c r="C18" t="s">
        <v>40</v>
      </c>
      <c r="D18" t="s">
        <v>3629</v>
      </c>
      <c r="E18" t="s">
        <v>1691</v>
      </c>
      <c r="F18" t="s">
        <v>1692</v>
      </c>
      <c r="G18" t="s">
        <v>1693</v>
      </c>
      <c r="H18" t="s">
        <v>1693</v>
      </c>
      <c r="I18" t="s">
        <v>1694</v>
      </c>
      <c r="J18" s="5" t="str" cm="1">
        <f t="array" ref="J18">IF(SUM(COUNTIF(Text_Preprocessing__2245[[#This Row],[full_text]],{"*makan siang gratis*";"*MBG*";"*makan gratis*";"*makan bergizi gratis*";"*makangratis*";"*makanan gratis*"})),"Relevan","Tidak Relevan")</f>
        <v>Tidak Relevan</v>
      </c>
      <c r="K18" t="s">
        <v>3622</v>
      </c>
    </row>
    <row r="19" spans="1:11" x14ac:dyDescent="0.35">
      <c r="A19">
        <f t="shared" si="0"/>
        <v>18</v>
      </c>
      <c r="B19" t="s">
        <v>1695</v>
      </c>
      <c r="C19" t="s">
        <v>42</v>
      </c>
      <c r="D19" t="s">
        <v>3628</v>
      </c>
      <c r="E19" t="s">
        <v>1696</v>
      </c>
      <c r="F19" t="s">
        <v>1697</v>
      </c>
      <c r="G19" t="s">
        <v>1698</v>
      </c>
      <c r="H19" t="s">
        <v>1698</v>
      </c>
      <c r="I19" t="s">
        <v>1699</v>
      </c>
      <c r="J19" s="5" t="str" cm="1">
        <f t="array" ref="J19">IF(SUM(COUNTIF(Text_Preprocessing__2245[[#This Row],[full_text]],{"*makan siang gratis*";"*MBG*";"*makan gratis*";"*makan bergizi gratis*";"*makangratis*";"*makanan gratis*"})),"Relevan","Tidak Relevan")</f>
        <v>Tidak Relevan</v>
      </c>
      <c r="K19" t="s">
        <v>3622</v>
      </c>
    </row>
    <row r="20" spans="1:11" x14ac:dyDescent="0.35">
      <c r="A20">
        <f t="shared" si="0"/>
        <v>19</v>
      </c>
      <c r="B20" t="s">
        <v>1700</v>
      </c>
      <c r="C20" t="s">
        <v>44</v>
      </c>
      <c r="D20" t="s">
        <v>3628</v>
      </c>
      <c r="E20" t="s">
        <v>1701</v>
      </c>
      <c r="F20" t="s">
        <v>1702</v>
      </c>
      <c r="G20" t="s">
        <v>1703</v>
      </c>
      <c r="H20" t="s">
        <v>1703</v>
      </c>
      <c r="I20" t="s">
        <v>1704</v>
      </c>
      <c r="J20" s="5" t="str" cm="1">
        <f t="array" ref="J20">IF(SUM(COUNTIF(Text_Preprocessing__2245[[#This Row],[full_text]],{"*makan siang gratis*";"*MBG*";"*makan gratis*";"*makan bergizi gratis*";"*makangratis*";"*makanan gratis*"})),"Relevan","Tidak Relevan")</f>
        <v>Tidak Relevan</v>
      </c>
      <c r="K20" t="s">
        <v>3622</v>
      </c>
    </row>
    <row r="21" spans="1:11" x14ac:dyDescent="0.35">
      <c r="A21">
        <f t="shared" si="0"/>
        <v>20</v>
      </c>
      <c r="B21" t="s">
        <v>1705</v>
      </c>
      <c r="C21" t="s">
        <v>20</v>
      </c>
      <c r="D21" t="s">
        <v>3628</v>
      </c>
      <c r="E21" t="s">
        <v>1706</v>
      </c>
      <c r="F21" t="s">
        <v>1707</v>
      </c>
      <c r="G21" t="s">
        <v>1708</v>
      </c>
      <c r="H21" t="s">
        <v>1709</v>
      </c>
      <c r="I21" t="s">
        <v>1710</v>
      </c>
      <c r="J21" s="5" t="str" cm="1">
        <f t="array" ref="J21">IF(SUM(COUNTIF(Text_Preprocessing__2245[[#This Row],[full_text]],{"*makan siang gratis*";"*MBG*";"*makan gratis*";"*makan bergizi gratis*";"*makangratis*";"*makanan gratis*"})),"Relevan","Tidak Relevan")</f>
        <v>Relevan</v>
      </c>
    </row>
    <row r="22" spans="1:11" x14ac:dyDescent="0.35">
      <c r="A22">
        <f t="shared" si="0"/>
        <v>21</v>
      </c>
      <c r="B22" t="s">
        <v>1711</v>
      </c>
      <c r="C22" t="s">
        <v>47</v>
      </c>
      <c r="D22" t="s">
        <v>3628</v>
      </c>
      <c r="E22" t="s">
        <v>1712</v>
      </c>
      <c r="F22" t="s">
        <v>1713</v>
      </c>
      <c r="G22" t="s">
        <v>1714</v>
      </c>
      <c r="H22" t="s">
        <v>1715</v>
      </c>
      <c r="I22" t="s">
        <v>1716</v>
      </c>
      <c r="J22" s="5" t="str" cm="1">
        <f t="array" ref="J22">IF(SUM(COUNTIF(Text_Preprocessing__2245[[#This Row],[full_text]],{"*makan siang gratis*";"*MBG*";"*makan gratis*";"*makan bergizi gratis*";"*makangratis*";"*makanan gratis*"})),"Relevan","Tidak Relevan")</f>
        <v>Tidak Relevan</v>
      </c>
      <c r="K22" t="s">
        <v>3622</v>
      </c>
    </row>
    <row r="23" spans="1:11" x14ac:dyDescent="0.35">
      <c r="A23">
        <f t="shared" si="0"/>
        <v>22</v>
      </c>
      <c r="B23" t="s">
        <v>1717</v>
      </c>
      <c r="C23" t="s">
        <v>49</v>
      </c>
      <c r="D23" t="s">
        <v>3628</v>
      </c>
      <c r="E23" t="s">
        <v>1718</v>
      </c>
      <c r="F23" t="s">
        <v>1719</v>
      </c>
      <c r="G23" t="s">
        <v>1720</v>
      </c>
      <c r="H23" t="s">
        <v>1720</v>
      </c>
      <c r="I23" t="s">
        <v>1721</v>
      </c>
      <c r="J23" s="5" t="str" cm="1">
        <f t="array" ref="J23">IF(SUM(COUNTIF(Text_Preprocessing__2245[[#This Row],[full_text]],{"*makan siang gratis*";"*MBG*";"*makan gratis*";"*makan bergizi gratis*";"*makangratis*";"*makanan gratis*"})),"Relevan","Tidak Relevan")</f>
        <v>Relevan</v>
      </c>
    </row>
    <row r="24" spans="1:11" x14ac:dyDescent="0.35">
      <c r="A24">
        <f t="shared" si="0"/>
        <v>23</v>
      </c>
      <c r="B24" t="s">
        <v>1722</v>
      </c>
      <c r="C24" t="s">
        <v>20</v>
      </c>
      <c r="D24" t="s">
        <v>3628</v>
      </c>
      <c r="E24" t="s">
        <v>1723</v>
      </c>
      <c r="F24" t="s">
        <v>1724</v>
      </c>
      <c r="G24" t="s">
        <v>1725</v>
      </c>
      <c r="H24" t="s">
        <v>1726</v>
      </c>
      <c r="I24" t="s">
        <v>1727</v>
      </c>
      <c r="J24" s="5" t="str" cm="1">
        <f t="array" ref="J24">IF(SUM(COUNTIF(Text_Preprocessing__2245[[#This Row],[full_text]],{"*makan siang gratis*";"*MBG*";"*makan gratis*";"*makan bergizi gratis*";"*makangratis*";"*makanan gratis*"})),"Relevan","Tidak Relevan")</f>
        <v>Tidak Relevan</v>
      </c>
      <c r="K24" t="s">
        <v>3622</v>
      </c>
    </row>
    <row r="25" spans="1:11" x14ac:dyDescent="0.35">
      <c r="A25">
        <f t="shared" si="0"/>
        <v>24</v>
      </c>
      <c r="B25" t="s">
        <v>1728</v>
      </c>
      <c r="C25" t="s">
        <v>52</v>
      </c>
      <c r="D25" t="s">
        <v>3628</v>
      </c>
      <c r="E25" t="s">
        <v>1729</v>
      </c>
      <c r="F25" t="s">
        <v>1730</v>
      </c>
      <c r="G25" t="s">
        <v>1731</v>
      </c>
      <c r="H25" t="s">
        <v>1731</v>
      </c>
      <c r="I25" t="s">
        <v>1732</v>
      </c>
      <c r="J25" s="5" t="str" cm="1">
        <f t="array" ref="J25">IF(SUM(COUNTIF(Text_Preprocessing__2245[[#This Row],[full_text]],{"*makan siang gratis*";"*MBG*";"*makan gratis*";"*makan bergizi gratis*";"*makangratis*";"*makanan gratis*"})),"Relevan","Tidak Relevan")</f>
        <v>Relevan</v>
      </c>
    </row>
    <row r="26" spans="1:11" x14ac:dyDescent="0.35">
      <c r="A26">
        <f t="shared" si="0"/>
        <v>25</v>
      </c>
      <c r="B26" t="s">
        <v>1733</v>
      </c>
      <c r="C26" t="s">
        <v>54</v>
      </c>
      <c r="D26" t="s">
        <v>3628</v>
      </c>
      <c r="E26" t="s">
        <v>1734</v>
      </c>
      <c r="F26" t="s">
        <v>1735</v>
      </c>
      <c r="G26" t="s">
        <v>1736</v>
      </c>
      <c r="H26" t="s">
        <v>1737</v>
      </c>
      <c r="I26" t="s">
        <v>1738</v>
      </c>
      <c r="J26" s="5" t="str" cm="1">
        <f t="array" ref="J26">IF(SUM(COUNTIF(Text_Preprocessing__2245[[#This Row],[full_text]],{"*makan siang gratis*";"*MBG*";"*makan gratis*";"*makan bergizi gratis*";"*makangratis*";"*makanan gratis*"})),"Relevan","Tidak Relevan")</f>
        <v>Relevan</v>
      </c>
    </row>
    <row r="27" spans="1:11" x14ac:dyDescent="0.35">
      <c r="A27">
        <f t="shared" si="0"/>
        <v>26</v>
      </c>
      <c r="B27" t="s">
        <v>1739</v>
      </c>
      <c r="C27" t="s">
        <v>56</v>
      </c>
      <c r="D27" t="s">
        <v>3628</v>
      </c>
      <c r="E27" t="s">
        <v>1740</v>
      </c>
      <c r="F27" t="s">
        <v>1741</v>
      </c>
      <c r="G27" t="s">
        <v>1742</v>
      </c>
      <c r="H27" t="s">
        <v>1743</v>
      </c>
      <c r="I27" t="s">
        <v>1744</v>
      </c>
      <c r="J27" s="5" t="str" cm="1">
        <f t="array" ref="J27">IF(SUM(COUNTIF(Text_Preprocessing__2245[[#This Row],[full_text]],{"*makan siang gratis*";"*MBG*";"*makan gratis*";"*makan bergizi gratis*";"*makangratis*";"*makanan gratis*"})),"Relevan","Tidak Relevan")</f>
        <v>Relevan</v>
      </c>
    </row>
    <row r="28" spans="1:11" x14ac:dyDescent="0.35">
      <c r="A28">
        <f t="shared" si="0"/>
        <v>27</v>
      </c>
      <c r="B28" t="s">
        <v>1745</v>
      </c>
      <c r="C28" t="s">
        <v>58</v>
      </c>
      <c r="D28" t="s">
        <v>3628</v>
      </c>
      <c r="E28" t="s">
        <v>1746</v>
      </c>
      <c r="F28" t="s">
        <v>1747</v>
      </c>
      <c r="G28" t="s">
        <v>1748</v>
      </c>
      <c r="H28" t="s">
        <v>1748</v>
      </c>
      <c r="I28" t="s">
        <v>1749</v>
      </c>
      <c r="J28" s="5" t="str" cm="1">
        <f t="array" ref="J28">IF(SUM(COUNTIF(Text_Preprocessing__2245[[#This Row],[full_text]],{"*makan siang gratis*";"*MBG*";"*makan gratis*";"*makan bergizi gratis*";"*makangratis*";"*makanan gratis*"})),"Relevan","Tidak Relevan")</f>
        <v>Relevan</v>
      </c>
    </row>
    <row r="29" spans="1:11" x14ac:dyDescent="0.35">
      <c r="A29">
        <f t="shared" si="0"/>
        <v>28</v>
      </c>
      <c r="B29" t="s">
        <v>1750</v>
      </c>
      <c r="C29" t="s">
        <v>60</v>
      </c>
      <c r="D29" t="s">
        <v>3628</v>
      </c>
      <c r="E29" t="s">
        <v>1751</v>
      </c>
      <c r="F29" t="s">
        <v>1752</v>
      </c>
      <c r="G29" t="s">
        <v>1753</v>
      </c>
      <c r="H29" t="s">
        <v>1754</v>
      </c>
      <c r="I29" t="s">
        <v>1755</v>
      </c>
      <c r="J29" s="5" t="str" cm="1">
        <f t="array" ref="J29">IF(SUM(COUNTIF(Text_Preprocessing__2245[[#This Row],[full_text]],{"*makan siang gratis*";"*MBG*";"*makan gratis*";"*makan bergizi gratis*";"*makangratis*";"*makanan gratis*"})),"Relevan","Tidak Relevan")</f>
        <v>Relevan</v>
      </c>
    </row>
    <row r="30" spans="1:11" x14ac:dyDescent="0.35">
      <c r="A30">
        <f t="shared" si="0"/>
        <v>29</v>
      </c>
      <c r="B30" t="s">
        <v>1756</v>
      </c>
      <c r="C30" t="s">
        <v>62</v>
      </c>
      <c r="D30" t="s">
        <v>3628</v>
      </c>
      <c r="E30" t="s">
        <v>1757</v>
      </c>
      <c r="F30" t="s">
        <v>1758</v>
      </c>
      <c r="G30" t="s">
        <v>1759</v>
      </c>
      <c r="H30" t="s">
        <v>1760</v>
      </c>
      <c r="I30" t="s">
        <v>1761</v>
      </c>
      <c r="J30" s="5" t="str" cm="1">
        <f t="array" ref="J30">IF(SUM(COUNTIF(Text_Preprocessing__2245[[#This Row],[full_text]],{"*makan siang gratis*";"*MBG*";"*makan gratis*";"*makan bergizi gratis*";"*makangratis*";"*makanan gratis*"})),"Relevan","Tidak Relevan")</f>
        <v>Relevan</v>
      </c>
    </row>
    <row r="31" spans="1:11" x14ac:dyDescent="0.35">
      <c r="A31">
        <f t="shared" si="0"/>
        <v>30</v>
      </c>
      <c r="B31" t="s">
        <v>1762</v>
      </c>
      <c r="C31" t="s">
        <v>64</v>
      </c>
      <c r="D31" t="s">
        <v>3628</v>
      </c>
      <c r="E31" t="s">
        <v>1763</v>
      </c>
      <c r="F31" t="s">
        <v>1764</v>
      </c>
      <c r="G31" t="s">
        <v>1765</v>
      </c>
      <c r="H31" t="s">
        <v>1766</v>
      </c>
      <c r="I31" t="s">
        <v>1767</v>
      </c>
      <c r="J31" s="5" t="str" cm="1">
        <f t="array" ref="J31">IF(SUM(COUNTIF(Text_Preprocessing__2245[[#This Row],[full_text]],{"*makan siang gratis*";"*MBG*";"*makan gratis*";"*makan bergizi gratis*";"*makangratis*";"*makanan gratis*"})),"Relevan","Tidak Relevan")</f>
        <v>Relevan</v>
      </c>
    </row>
    <row r="32" spans="1:11" x14ac:dyDescent="0.35">
      <c r="A32">
        <f t="shared" si="0"/>
        <v>31</v>
      </c>
      <c r="B32" t="s">
        <v>1768</v>
      </c>
      <c r="C32" t="s">
        <v>66</v>
      </c>
      <c r="D32" t="s">
        <v>3628</v>
      </c>
      <c r="E32" t="s">
        <v>1769</v>
      </c>
      <c r="F32" t="s">
        <v>1770</v>
      </c>
      <c r="G32" t="s">
        <v>1771</v>
      </c>
      <c r="H32" t="s">
        <v>1771</v>
      </c>
      <c r="I32" t="s">
        <v>1772</v>
      </c>
      <c r="J32" s="5" t="str" cm="1">
        <f t="array" ref="J32">IF(SUM(COUNTIF(Text_Preprocessing__2245[[#This Row],[full_text]],{"*makan siang gratis*";"*MBG*";"*makan gratis*";"*makan bergizi gratis*";"*makangratis*";"*makanan gratis*"})),"Relevan","Tidak Relevan")</f>
        <v>Relevan</v>
      </c>
    </row>
    <row r="33" spans="1:11" x14ac:dyDescent="0.35">
      <c r="A33">
        <f t="shared" si="0"/>
        <v>32</v>
      </c>
      <c r="B33" t="s">
        <v>1773</v>
      </c>
      <c r="C33" t="s">
        <v>68</v>
      </c>
      <c r="D33" t="s">
        <v>3628</v>
      </c>
      <c r="E33" t="s">
        <v>1774</v>
      </c>
      <c r="F33" t="s">
        <v>1775</v>
      </c>
      <c r="G33" t="s">
        <v>1776</v>
      </c>
      <c r="H33" t="s">
        <v>1776</v>
      </c>
      <c r="I33" t="s">
        <v>1777</v>
      </c>
      <c r="J33" s="5" t="str" cm="1">
        <f t="array" ref="J33">IF(SUM(COUNTIF(Text_Preprocessing__2245[[#This Row],[full_text]],{"*makan siang gratis*";"*MBG*";"*makan gratis*";"*makan bergizi gratis*";"*makangratis*";"*makanan gratis*"})),"Relevan","Tidak Relevan")</f>
        <v>Relevan</v>
      </c>
    </row>
    <row r="34" spans="1:11" x14ac:dyDescent="0.35">
      <c r="A34">
        <f t="shared" si="0"/>
        <v>33</v>
      </c>
      <c r="B34" t="s">
        <v>1778</v>
      </c>
      <c r="C34" t="s">
        <v>70</v>
      </c>
      <c r="D34" t="s">
        <v>3628</v>
      </c>
      <c r="E34" t="s">
        <v>1779</v>
      </c>
      <c r="F34" t="s">
        <v>1780</v>
      </c>
      <c r="G34" t="s">
        <v>1781</v>
      </c>
      <c r="H34" t="s">
        <v>1781</v>
      </c>
      <c r="I34" t="s">
        <v>1782</v>
      </c>
      <c r="J34" s="5" t="str" cm="1">
        <f t="array" ref="J34">IF(SUM(COUNTIF(Text_Preprocessing__2245[[#This Row],[full_text]],{"*makan siang gratis*";"*MBG*";"*makan gratis*";"*makan bergizi gratis*";"*makangratis*";"*makanan gratis*"})),"Relevan","Tidak Relevan")</f>
        <v>Tidak Relevan</v>
      </c>
      <c r="K34" t="s">
        <v>3622</v>
      </c>
    </row>
    <row r="35" spans="1:11" x14ac:dyDescent="0.35">
      <c r="A35">
        <f t="shared" si="0"/>
        <v>34</v>
      </c>
      <c r="B35" t="s">
        <v>1783</v>
      </c>
      <c r="C35" t="s">
        <v>72</v>
      </c>
      <c r="D35" t="s">
        <v>3628</v>
      </c>
      <c r="E35" t="s">
        <v>1784</v>
      </c>
      <c r="F35" t="s">
        <v>1785</v>
      </c>
      <c r="G35" t="s">
        <v>1786</v>
      </c>
      <c r="H35" t="s">
        <v>1786</v>
      </c>
      <c r="I35" t="s">
        <v>1787</v>
      </c>
      <c r="J35" s="5" t="str" cm="1">
        <f t="array" ref="J35">IF(SUM(COUNTIF(Text_Preprocessing__2245[[#This Row],[full_text]],{"*makan siang gratis*";"*MBG*";"*makan gratis*";"*makan bergizi gratis*";"*makangratis*";"*makanan gratis*"})),"Relevan","Tidak Relevan")</f>
        <v>Tidak Relevan</v>
      </c>
      <c r="K35" t="s">
        <v>3622</v>
      </c>
    </row>
    <row r="36" spans="1:11" x14ac:dyDescent="0.35">
      <c r="A36">
        <f t="shared" si="0"/>
        <v>35</v>
      </c>
      <c r="B36" t="s">
        <v>1788</v>
      </c>
      <c r="C36" t="s">
        <v>74</v>
      </c>
      <c r="D36" t="s">
        <v>3629</v>
      </c>
      <c r="E36" t="s">
        <v>1789</v>
      </c>
      <c r="F36" t="s">
        <v>1730</v>
      </c>
      <c r="G36" t="s">
        <v>1790</v>
      </c>
      <c r="H36" t="s">
        <v>1790</v>
      </c>
      <c r="I36" t="s">
        <v>1791</v>
      </c>
      <c r="J36" s="5" t="str" cm="1">
        <f t="array" ref="J36">IF(SUM(COUNTIF(Text_Preprocessing__2245[[#This Row],[full_text]],{"*makan siang gratis*";"*MBG*";"*makan gratis*";"*makan bergizi gratis*";"*makangratis*";"*makanan gratis*"})),"Relevan","Tidak Relevan")</f>
        <v>Relevan</v>
      </c>
    </row>
    <row r="37" spans="1:11" x14ac:dyDescent="0.35">
      <c r="A37">
        <f t="shared" si="0"/>
        <v>36</v>
      </c>
      <c r="B37" t="s">
        <v>1792</v>
      </c>
      <c r="C37" t="s">
        <v>76</v>
      </c>
      <c r="D37" t="s">
        <v>3634</v>
      </c>
      <c r="E37" t="s">
        <v>1793</v>
      </c>
      <c r="F37" t="s">
        <v>1794</v>
      </c>
      <c r="G37" t="s">
        <v>1795</v>
      </c>
      <c r="H37" t="s">
        <v>1795</v>
      </c>
      <c r="I37" t="s">
        <v>1796</v>
      </c>
      <c r="J37" s="5" t="str" cm="1">
        <f t="array" ref="J37">IF(SUM(COUNTIF(Text_Preprocessing__2245[[#This Row],[full_text]],{"*makan siang gratis*";"*MBG*";"*makan gratis*";"*makan bergizi gratis*";"*makangratis*";"*makanan gratis*"})),"Relevan","Tidak Relevan")</f>
        <v>Relevan</v>
      </c>
    </row>
    <row r="38" spans="1:11" x14ac:dyDescent="0.35">
      <c r="A38">
        <f t="shared" si="0"/>
        <v>37</v>
      </c>
      <c r="B38" t="s">
        <v>1797</v>
      </c>
      <c r="C38" t="s">
        <v>78</v>
      </c>
      <c r="D38" t="s">
        <v>3629</v>
      </c>
      <c r="E38" t="s">
        <v>1798</v>
      </c>
      <c r="F38" t="s">
        <v>1799</v>
      </c>
      <c r="G38" t="s">
        <v>1800</v>
      </c>
      <c r="H38" t="s">
        <v>1800</v>
      </c>
      <c r="I38" t="s">
        <v>1801</v>
      </c>
      <c r="J38" s="5" t="str" cm="1">
        <f t="array" ref="J38">IF(SUM(COUNTIF(Text_Preprocessing__2245[[#This Row],[full_text]],{"*makan siang gratis*";"*MBG*";"*makan gratis*";"*makan bergizi gratis*";"*makangratis*";"*makanan gratis*"})),"Relevan","Tidak Relevan")</f>
        <v>Relevan</v>
      </c>
    </row>
    <row r="39" spans="1:11" x14ac:dyDescent="0.35">
      <c r="A39">
        <f t="shared" si="0"/>
        <v>38</v>
      </c>
      <c r="B39" t="s">
        <v>1802</v>
      </c>
      <c r="C39" t="s">
        <v>80</v>
      </c>
      <c r="D39" t="s">
        <v>3630</v>
      </c>
      <c r="E39" t="s">
        <v>1803</v>
      </c>
      <c r="F39" t="s">
        <v>1804</v>
      </c>
      <c r="G39" t="s">
        <v>1805</v>
      </c>
      <c r="H39" t="s">
        <v>1805</v>
      </c>
      <c r="I39" t="s">
        <v>1806</v>
      </c>
      <c r="J39" s="5" t="str" cm="1">
        <f t="array" ref="J39">IF(SUM(COUNTIF(Text_Preprocessing__2245[[#This Row],[full_text]],{"*makan siang gratis*";"*MBG*";"*makan gratis*";"*makan bergizi gratis*";"*makangratis*";"*makanan gratis*"})),"Relevan","Tidak Relevan")</f>
        <v>Relevan</v>
      </c>
    </row>
    <row r="40" spans="1:11" x14ac:dyDescent="0.35">
      <c r="A40">
        <f t="shared" si="0"/>
        <v>39</v>
      </c>
      <c r="B40" t="s">
        <v>1807</v>
      </c>
      <c r="C40" t="s">
        <v>82</v>
      </c>
      <c r="D40" t="s">
        <v>3629</v>
      </c>
      <c r="E40" t="s">
        <v>1808</v>
      </c>
      <c r="F40" t="s">
        <v>1809</v>
      </c>
      <c r="G40" t="s">
        <v>1810</v>
      </c>
      <c r="H40" t="s">
        <v>1810</v>
      </c>
      <c r="I40" t="s">
        <v>1811</v>
      </c>
      <c r="J40" s="5" t="str" cm="1">
        <f t="array" ref="J40">IF(SUM(COUNTIF(Text_Preprocessing__2245[[#This Row],[full_text]],{"*makan siang gratis*";"*MBG*";"*makan gratis*";"*makan bergizi gratis*";"*makangratis*";"*makanan gratis*"})),"Relevan","Tidak Relevan")</f>
        <v>Relevan</v>
      </c>
    </row>
    <row r="41" spans="1:11" x14ac:dyDescent="0.35">
      <c r="A41">
        <f t="shared" si="0"/>
        <v>40</v>
      </c>
      <c r="B41" t="s">
        <v>1812</v>
      </c>
      <c r="C41" t="s">
        <v>84</v>
      </c>
      <c r="D41" t="s">
        <v>3634</v>
      </c>
      <c r="E41" t="s">
        <v>1813</v>
      </c>
      <c r="F41" t="s">
        <v>1692</v>
      </c>
      <c r="G41" t="s">
        <v>1814</v>
      </c>
      <c r="H41" t="s">
        <v>1814</v>
      </c>
      <c r="I41" t="s">
        <v>1815</v>
      </c>
      <c r="J41" s="5" t="str" cm="1">
        <f t="array" ref="J41">IF(SUM(COUNTIF(Text_Preprocessing__2245[[#This Row],[full_text]],{"*makan siang gratis*";"*MBG*";"*makan gratis*";"*makan bergizi gratis*";"*makangratis*";"*makanan gratis*"})),"Relevan","Tidak Relevan")</f>
        <v>Tidak Relevan</v>
      </c>
      <c r="K41" t="s">
        <v>3622</v>
      </c>
    </row>
    <row r="42" spans="1:11" x14ac:dyDescent="0.35">
      <c r="A42">
        <f t="shared" si="0"/>
        <v>41</v>
      </c>
      <c r="B42" t="s">
        <v>1816</v>
      </c>
      <c r="C42" t="s">
        <v>76</v>
      </c>
      <c r="D42" t="s">
        <v>3634</v>
      </c>
      <c r="E42" t="s">
        <v>1817</v>
      </c>
      <c r="F42" t="s">
        <v>1818</v>
      </c>
      <c r="G42" t="s">
        <v>1819</v>
      </c>
      <c r="H42" t="s">
        <v>1819</v>
      </c>
      <c r="I42" t="s">
        <v>1820</v>
      </c>
      <c r="J42" s="5" t="str" cm="1">
        <f t="array" ref="J42">IF(SUM(COUNTIF(Text_Preprocessing__2245[[#This Row],[full_text]],{"*makan siang gratis*";"*MBG*";"*makan gratis*";"*makan bergizi gratis*";"*makangratis*";"*makanan gratis*"})),"Relevan","Tidak Relevan")</f>
        <v>Relevan</v>
      </c>
    </row>
    <row r="43" spans="1:11" x14ac:dyDescent="0.35">
      <c r="A43">
        <f t="shared" si="0"/>
        <v>42</v>
      </c>
      <c r="B43" t="s">
        <v>1821</v>
      </c>
      <c r="C43" t="s">
        <v>87</v>
      </c>
      <c r="D43" t="s">
        <v>3629</v>
      </c>
      <c r="E43" t="s">
        <v>1822</v>
      </c>
      <c r="F43" t="s">
        <v>1823</v>
      </c>
      <c r="G43" t="s">
        <v>1824</v>
      </c>
      <c r="H43" t="s">
        <v>1825</v>
      </c>
      <c r="I43" t="s">
        <v>1826</v>
      </c>
      <c r="J43" s="5" t="str" cm="1">
        <f t="array" ref="J43">IF(SUM(COUNTIF(Text_Preprocessing__2245[[#This Row],[full_text]],{"*makan siang gratis*";"*MBG*";"*makan gratis*";"*makan bergizi gratis*";"*makangratis*";"*makanan gratis*"})),"Relevan","Tidak Relevan")</f>
        <v>Relevan</v>
      </c>
    </row>
    <row r="44" spans="1:11" x14ac:dyDescent="0.35">
      <c r="A44">
        <f t="shared" si="0"/>
        <v>43</v>
      </c>
      <c r="B44" t="s">
        <v>1827</v>
      </c>
      <c r="C44" t="s">
        <v>84</v>
      </c>
      <c r="D44" t="s">
        <v>3634</v>
      </c>
      <c r="E44" t="s">
        <v>1828</v>
      </c>
      <c r="F44" t="s">
        <v>1829</v>
      </c>
      <c r="G44" t="s">
        <v>1830</v>
      </c>
      <c r="H44" t="s">
        <v>1830</v>
      </c>
      <c r="I44" t="s">
        <v>1831</v>
      </c>
      <c r="J44" s="5" t="str" cm="1">
        <f t="array" ref="J44">IF(SUM(COUNTIF(Text_Preprocessing__2245[[#This Row],[full_text]],{"*makan siang gratis*";"*MBG*";"*makan gratis*";"*makan bergizi gratis*";"*makangratis*";"*makanan gratis*"})),"Relevan","Tidak Relevan")</f>
        <v>Relevan</v>
      </c>
    </row>
    <row r="45" spans="1:11" x14ac:dyDescent="0.35">
      <c r="A45">
        <f t="shared" si="0"/>
        <v>44</v>
      </c>
      <c r="B45" t="s">
        <v>1832</v>
      </c>
      <c r="C45" t="s">
        <v>76</v>
      </c>
      <c r="D45" t="s">
        <v>3634</v>
      </c>
      <c r="E45" t="s">
        <v>1833</v>
      </c>
      <c r="F45" t="s">
        <v>1834</v>
      </c>
      <c r="G45" t="s">
        <v>1835</v>
      </c>
      <c r="H45" t="s">
        <v>1835</v>
      </c>
      <c r="I45" t="s">
        <v>1836</v>
      </c>
      <c r="J45" s="5" t="str" cm="1">
        <f t="array" ref="J45">IF(SUM(COUNTIF(Text_Preprocessing__2245[[#This Row],[full_text]],{"*makan siang gratis*";"*MBG*";"*makan gratis*";"*makan bergizi gratis*";"*makangratis*";"*makanan gratis*"})),"Relevan","Tidak Relevan")</f>
        <v>Relevan</v>
      </c>
    </row>
    <row r="46" spans="1:11" x14ac:dyDescent="0.35">
      <c r="A46">
        <f t="shared" si="0"/>
        <v>45</v>
      </c>
      <c r="B46" t="s">
        <v>1837</v>
      </c>
      <c r="C46" t="s">
        <v>91</v>
      </c>
      <c r="D46" t="s">
        <v>3632</v>
      </c>
      <c r="E46" t="s">
        <v>1838</v>
      </c>
      <c r="F46" t="s">
        <v>1839</v>
      </c>
      <c r="G46" t="s">
        <v>1840</v>
      </c>
      <c r="H46" t="s">
        <v>1840</v>
      </c>
      <c r="I46" t="s">
        <v>1841</v>
      </c>
      <c r="J46" s="5" t="str" cm="1">
        <f t="array" ref="J46">IF(SUM(COUNTIF(Text_Preprocessing__2245[[#This Row],[full_text]],{"*makan siang gratis*";"*MBG*";"*makan gratis*";"*makan bergizi gratis*";"*makangratis*";"*makanan gratis*"})),"Relevan","Tidak Relevan")</f>
        <v>Relevan</v>
      </c>
    </row>
    <row r="47" spans="1:11" x14ac:dyDescent="0.35">
      <c r="A47">
        <f t="shared" si="0"/>
        <v>46</v>
      </c>
      <c r="B47" t="s">
        <v>1842</v>
      </c>
      <c r="C47" t="s">
        <v>93</v>
      </c>
      <c r="D47" t="s">
        <v>3634</v>
      </c>
      <c r="E47" t="s">
        <v>1843</v>
      </c>
      <c r="F47" t="s">
        <v>1844</v>
      </c>
      <c r="G47" t="s">
        <v>1845</v>
      </c>
      <c r="H47" t="s">
        <v>1845</v>
      </c>
      <c r="I47" t="s">
        <v>1846</v>
      </c>
      <c r="J47" s="5" t="str" cm="1">
        <f t="array" ref="J47">IF(SUM(COUNTIF(Text_Preprocessing__2245[[#This Row],[full_text]],{"*makan siang gratis*";"*MBG*";"*makan gratis*";"*makan bergizi gratis*";"*makangratis*";"*makanan gratis*"})),"Relevan","Tidak Relevan")</f>
        <v>Relevan</v>
      </c>
    </row>
    <row r="48" spans="1:11" x14ac:dyDescent="0.35">
      <c r="A48">
        <f t="shared" si="0"/>
        <v>47</v>
      </c>
      <c r="B48" t="s">
        <v>1847</v>
      </c>
      <c r="C48" t="s">
        <v>93</v>
      </c>
      <c r="D48" t="s">
        <v>3634</v>
      </c>
      <c r="E48" t="s">
        <v>1848</v>
      </c>
      <c r="F48" t="s">
        <v>1804</v>
      </c>
      <c r="G48" t="s">
        <v>1849</v>
      </c>
      <c r="H48" t="s">
        <v>1849</v>
      </c>
      <c r="I48" t="s">
        <v>1850</v>
      </c>
      <c r="J48" s="5" t="str" cm="1">
        <f t="array" ref="J48">IF(SUM(COUNTIF(Text_Preprocessing__2245[[#This Row],[full_text]],{"*makan siang gratis*";"*MBG*";"*makan gratis*";"*makan bergizi gratis*";"*makangratis*";"*makanan gratis*"})),"Relevan","Tidak Relevan")</f>
        <v>Relevan</v>
      </c>
    </row>
    <row r="49" spans="1:10" x14ac:dyDescent="0.35">
      <c r="A49">
        <f t="shared" si="0"/>
        <v>48</v>
      </c>
      <c r="B49" t="s">
        <v>1851</v>
      </c>
      <c r="C49" t="s">
        <v>76</v>
      </c>
      <c r="D49" t="s">
        <v>3634</v>
      </c>
      <c r="E49" t="s">
        <v>1852</v>
      </c>
      <c r="F49" t="s">
        <v>1853</v>
      </c>
      <c r="G49" t="s">
        <v>1854</v>
      </c>
      <c r="H49" t="s">
        <v>1854</v>
      </c>
      <c r="I49" t="s">
        <v>1855</v>
      </c>
      <c r="J49" s="5" t="str" cm="1">
        <f t="array" ref="J49">IF(SUM(COUNTIF(Text_Preprocessing__2245[[#This Row],[full_text]],{"*makan siang gratis*";"*MBG*";"*makan gratis*";"*makan bergizi gratis*";"*makangratis*";"*makanan gratis*"})),"Relevan","Tidak Relevan")</f>
        <v>Relevan</v>
      </c>
    </row>
    <row r="50" spans="1:10" x14ac:dyDescent="0.35">
      <c r="A50">
        <f t="shared" si="0"/>
        <v>49</v>
      </c>
      <c r="B50" t="s">
        <v>1856</v>
      </c>
      <c r="C50" t="s">
        <v>93</v>
      </c>
      <c r="D50" t="s">
        <v>3634</v>
      </c>
      <c r="E50" t="s">
        <v>1857</v>
      </c>
      <c r="F50" t="s">
        <v>1596</v>
      </c>
      <c r="G50" t="s">
        <v>1858</v>
      </c>
      <c r="H50" t="s">
        <v>1858</v>
      </c>
      <c r="I50" t="s">
        <v>1859</v>
      </c>
      <c r="J50" s="5" t="str" cm="1">
        <f t="array" ref="J50">IF(SUM(COUNTIF(Text_Preprocessing__2245[[#This Row],[full_text]],{"*makan siang gratis*";"*MBG*";"*makan gratis*";"*makan bergizi gratis*";"*makangratis*";"*makanan gratis*"})),"Relevan","Tidak Relevan")</f>
        <v>Relevan</v>
      </c>
    </row>
    <row r="51" spans="1:10" x14ac:dyDescent="0.35">
      <c r="A51">
        <f t="shared" si="0"/>
        <v>50</v>
      </c>
      <c r="B51" t="s">
        <v>1860</v>
      </c>
      <c r="C51" t="s">
        <v>98</v>
      </c>
      <c r="D51" t="s">
        <v>3629</v>
      </c>
      <c r="E51" t="s">
        <v>1861</v>
      </c>
      <c r="F51" t="s">
        <v>1692</v>
      </c>
      <c r="G51" t="s">
        <v>1862</v>
      </c>
      <c r="H51" t="s">
        <v>1862</v>
      </c>
      <c r="I51" t="s">
        <v>1863</v>
      </c>
      <c r="J51" s="5" t="str" cm="1">
        <f t="array" ref="J51">IF(SUM(COUNTIF(Text_Preprocessing__2245[[#This Row],[full_text]],{"*makan siang gratis*";"*MBG*";"*makan gratis*";"*makan bergizi gratis*";"*makangratis*";"*makanan gratis*"})),"Relevan","Tidak Relevan")</f>
        <v>Relevan</v>
      </c>
    </row>
    <row r="52" spans="1:10" x14ac:dyDescent="0.35">
      <c r="A52">
        <f t="shared" si="0"/>
        <v>51</v>
      </c>
      <c r="B52" t="s">
        <v>1864</v>
      </c>
      <c r="C52" t="s">
        <v>100</v>
      </c>
      <c r="D52" t="s">
        <v>3634</v>
      </c>
      <c r="E52" t="s">
        <v>1865</v>
      </c>
      <c r="F52" t="s">
        <v>1730</v>
      </c>
      <c r="G52" t="s">
        <v>1866</v>
      </c>
      <c r="H52" t="s">
        <v>1866</v>
      </c>
      <c r="I52" t="s">
        <v>1867</v>
      </c>
      <c r="J52" s="5" t="str" cm="1">
        <f t="array" ref="J52">IF(SUM(COUNTIF(Text_Preprocessing__2245[[#This Row],[full_text]],{"*makan siang gratis*";"*MBG*";"*makan gratis*";"*makan bergizi gratis*";"*makangratis*";"*makanan gratis*"})),"Relevan","Tidak Relevan")</f>
        <v>Relevan</v>
      </c>
    </row>
    <row r="53" spans="1:10" x14ac:dyDescent="0.35">
      <c r="A53">
        <f t="shared" si="0"/>
        <v>52</v>
      </c>
      <c r="B53" t="s">
        <v>1868</v>
      </c>
      <c r="C53" t="s">
        <v>102</v>
      </c>
      <c r="D53" t="s">
        <v>3634</v>
      </c>
      <c r="E53" t="s">
        <v>1869</v>
      </c>
      <c r="F53" t="s">
        <v>1596</v>
      </c>
      <c r="G53" t="s">
        <v>1870</v>
      </c>
      <c r="H53" t="s">
        <v>1871</v>
      </c>
      <c r="I53" t="s">
        <v>1872</v>
      </c>
      <c r="J53" s="5" t="str" cm="1">
        <f t="array" ref="J53">IF(SUM(COUNTIF(Text_Preprocessing__2245[[#This Row],[full_text]],{"*makan siang gratis*";"*MBG*";"*makan gratis*";"*makan bergizi gratis*";"*makangratis*";"*makanan gratis*"})),"Relevan","Tidak Relevan")</f>
        <v>Relevan</v>
      </c>
    </row>
    <row r="54" spans="1:10" x14ac:dyDescent="0.35">
      <c r="A54">
        <f t="shared" si="0"/>
        <v>53</v>
      </c>
      <c r="B54" t="s">
        <v>1873</v>
      </c>
      <c r="C54" t="s">
        <v>100</v>
      </c>
      <c r="D54" t="s">
        <v>3634</v>
      </c>
      <c r="E54" t="s">
        <v>1874</v>
      </c>
      <c r="F54" t="s">
        <v>1804</v>
      </c>
      <c r="G54" t="s">
        <v>1875</v>
      </c>
      <c r="H54" t="s">
        <v>1875</v>
      </c>
      <c r="I54" t="s">
        <v>1876</v>
      </c>
      <c r="J54" s="5" t="str" cm="1">
        <f t="array" ref="J54">IF(SUM(COUNTIF(Text_Preprocessing__2245[[#This Row],[full_text]],{"*makan siang gratis*";"*MBG*";"*makan gratis*";"*makan bergizi gratis*";"*makangratis*";"*makanan gratis*"})),"Relevan","Tidak Relevan")</f>
        <v>Relevan</v>
      </c>
    </row>
    <row r="55" spans="1:10" x14ac:dyDescent="0.35">
      <c r="A55">
        <f t="shared" si="0"/>
        <v>54</v>
      </c>
      <c r="B55" t="s">
        <v>1877</v>
      </c>
      <c r="C55" t="s">
        <v>105</v>
      </c>
      <c r="D55" t="s">
        <v>3634</v>
      </c>
      <c r="E55" t="s">
        <v>1878</v>
      </c>
      <c r="F55" t="s">
        <v>1879</v>
      </c>
      <c r="G55" t="s">
        <v>1880</v>
      </c>
      <c r="H55" t="s">
        <v>1880</v>
      </c>
      <c r="I55" t="s">
        <v>1881</v>
      </c>
      <c r="J55" s="5" t="str" cm="1">
        <f t="array" ref="J55">IF(SUM(COUNTIF(Text_Preprocessing__2245[[#This Row],[full_text]],{"*makan siang gratis*";"*MBG*";"*makan gratis*";"*makan bergizi gratis*";"*makangratis*";"*makanan gratis*"})),"Relevan","Tidak Relevan")</f>
        <v>Relevan</v>
      </c>
    </row>
    <row r="56" spans="1:10" x14ac:dyDescent="0.35">
      <c r="A56">
        <f t="shared" si="0"/>
        <v>55</v>
      </c>
      <c r="B56" t="s">
        <v>1882</v>
      </c>
      <c r="C56" t="s">
        <v>108</v>
      </c>
      <c r="D56" t="s">
        <v>3632</v>
      </c>
      <c r="E56" t="s">
        <v>1883</v>
      </c>
      <c r="F56" t="s">
        <v>1884</v>
      </c>
      <c r="G56" t="s">
        <v>1883</v>
      </c>
      <c r="H56" t="s">
        <v>1883</v>
      </c>
      <c r="I56" t="s">
        <v>1885</v>
      </c>
      <c r="J56" s="5" t="str" cm="1">
        <f t="array" ref="J56">IF(SUM(COUNTIF(Text_Preprocessing__2245[[#This Row],[full_text]],{"*makan siang gratis*";"*MBG*";"*makan gratis*";"*makan bergizi gratis*";"*makangratis*";"*makanan gratis*"})),"Relevan","Tidak Relevan")</f>
        <v>Relevan</v>
      </c>
    </row>
    <row r="57" spans="1:10" x14ac:dyDescent="0.35">
      <c r="A57">
        <f t="shared" si="0"/>
        <v>56</v>
      </c>
      <c r="B57" t="s">
        <v>1886</v>
      </c>
      <c r="C57" t="s">
        <v>110</v>
      </c>
      <c r="D57" t="s">
        <v>3629</v>
      </c>
      <c r="E57" t="s">
        <v>1887</v>
      </c>
      <c r="F57" t="s">
        <v>1888</v>
      </c>
      <c r="G57" t="s">
        <v>1887</v>
      </c>
      <c r="H57" t="s">
        <v>1889</v>
      </c>
      <c r="I57" t="s">
        <v>1890</v>
      </c>
      <c r="J57" s="5" t="str" cm="1">
        <f t="array" ref="J57">IF(SUM(COUNTIF(Text_Preprocessing__2245[[#This Row],[full_text]],{"*makan siang gratis*";"*MBG*";"*makan gratis*";"*makan bergizi gratis*";"*makangratis*";"*makanan gratis*"})),"Relevan","Tidak Relevan")</f>
        <v>Relevan</v>
      </c>
    </row>
    <row r="58" spans="1:10" x14ac:dyDescent="0.35">
      <c r="A58">
        <f t="shared" si="0"/>
        <v>57</v>
      </c>
      <c r="B58" t="s">
        <v>1891</v>
      </c>
      <c r="C58" t="s">
        <v>112</v>
      </c>
      <c r="D58" t="s">
        <v>3634</v>
      </c>
      <c r="E58" t="s">
        <v>1892</v>
      </c>
      <c r="F58" t="s">
        <v>1893</v>
      </c>
      <c r="G58" t="s">
        <v>1894</v>
      </c>
      <c r="H58" t="s">
        <v>1894</v>
      </c>
      <c r="I58" t="s">
        <v>1895</v>
      </c>
      <c r="J58" s="5" t="str" cm="1">
        <f t="array" ref="J58">IF(SUM(COUNTIF(Text_Preprocessing__2245[[#This Row],[full_text]],{"*makan siang gratis*";"*MBG*";"*makan gratis*";"*makan bergizi gratis*";"*makangratis*";"*makanan gratis*"})),"Relevan","Tidak Relevan")</f>
        <v>Relevan</v>
      </c>
    </row>
    <row r="59" spans="1:10" x14ac:dyDescent="0.35">
      <c r="A59">
        <f t="shared" si="0"/>
        <v>58</v>
      </c>
      <c r="B59" t="s">
        <v>1896</v>
      </c>
      <c r="C59" t="s">
        <v>114</v>
      </c>
      <c r="D59" t="s">
        <v>3629</v>
      </c>
      <c r="E59" t="s">
        <v>1897</v>
      </c>
      <c r="F59" t="s">
        <v>1596</v>
      </c>
      <c r="G59" t="s">
        <v>1897</v>
      </c>
      <c r="H59" t="s">
        <v>1897</v>
      </c>
      <c r="I59" t="s">
        <v>1898</v>
      </c>
      <c r="J59" s="5" t="str" cm="1">
        <f t="array" ref="J59">IF(SUM(COUNTIF(Text_Preprocessing__2245[[#This Row],[full_text]],{"*makan siang gratis*";"*MBG*";"*makan gratis*";"*makan bergizi gratis*";"*makangratis*";"*makanan gratis*"})),"Relevan","Tidak Relevan")</f>
        <v>Relevan</v>
      </c>
    </row>
    <row r="60" spans="1:10" x14ac:dyDescent="0.35">
      <c r="A60">
        <f t="shared" si="0"/>
        <v>59</v>
      </c>
      <c r="B60" t="s">
        <v>1899</v>
      </c>
      <c r="C60" t="s">
        <v>116</v>
      </c>
      <c r="D60" t="s">
        <v>3632</v>
      </c>
      <c r="E60" t="s">
        <v>1900</v>
      </c>
      <c r="F60" t="s">
        <v>1829</v>
      </c>
      <c r="G60" t="s">
        <v>1901</v>
      </c>
      <c r="H60" t="s">
        <v>1902</v>
      </c>
      <c r="I60" t="s">
        <v>1903</v>
      </c>
      <c r="J60" s="5" t="str" cm="1">
        <f t="array" ref="J60">IF(SUM(COUNTIF(Text_Preprocessing__2245[[#This Row],[full_text]],{"*makan siang gratis*";"*MBG*";"*makan gratis*";"*makan bergizi gratis*";"*makangratis*";"*makanan gratis*"})),"Relevan","Tidak Relevan")</f>
        <v>Relevan</v>
      </c>
    </row>
    <row r="61" spans="1:10" x14ac:dyDescent="0.35">
      <c r="A61">
        <f t="shared" si="0"/>
        <v>60</v>
      </c>
      <c r="B61" t="s">
        <v>1904</v>
      </c>
      <c r="C61" t="s">
        <v>119</v>
      </c>
      <c r="D61" t="s">
        <v>3634</v>
      </c>
      <c r="E61" t="s">
        <v>1905</v>
      </c>
      <c r="F61" t="s">
        <v>1906</v>
      </c>
      <c r="G61" t="s">
        <v>1907</v>
      </c>
      <c r="H61" t="s">
        <v>1907</v>
      </c>
      <c r="I61" t="s">
        <v>1908</v>
      </c>
      <c r="J61" s="5" t="str" cm="1">
        <f t="array" ref="J61">IF(SUM(COUNTIF(Text_Preprocessing__2245[[#This Row],[full_text]],{"*makan siang gratis*";"*MBG*";"*makan gratis*";"*makan bergizi gratis*";"*makangratis*";"*makanan gratis*"})),"Relevan","Tidak Relevan")</f>
        <v>Relevan</v>
      </c>
    </row>
    <row r="62" spans="1:10" x14ac:dyDescent="0.35">
      <c r="A62">
        <f t="shared" si="0"/>
        <v>61</v>
      </c>
      <c r="B62" t="s">
        <v>1909</v>
      </c>
      <c r="C62" t="s">
        <v>121</v>
      </c>
      <c r="D62" t="s">
        <v>3634</v>
      </c>
      <c r="E62" t="s">
        <v>1910</v>
      </c>
      <c r="F62" t="s">
        <v>1652</v>
      </c>
      <c r="G62" t="s">
        <v>1911</v>
      </c>
      <c r="H62" t="s">
        <v>1911</v>
      </c>
      <c r="I62" t="s">
        <v>1912</v>
      </c>
      <c r="J62" s="5" t="str" cm="1">
        <f t="array" ref="J62">IF(SUM(COUNTIF(Text_Preprocessing__2245[[#This Row],[full_text]],{"*makan siang gratis*";"*MBG*";"*makan gratis*";"*makan bergizi gratis*";"*makangratis*";"*makanan gratis*"})),"Relevan","Tidak Relevan")</f>
        <v>Relevan</v>
      </c>
    </row>
    <row r="63" spans="1:10" x14ac:dyDescent="0.35">
      <c r="A63">
        <f t="shared" si="0"/>
        <v>62</v>
      </c>
      <c r="B63" t="s">
        <v>1913</v>
      </c>
      <c r="C63" t="s">
        <v>123</v>
      </c>
      <c r="D63" t="s">
        <v>3632</v>
      </c>
      <c r="E63" t="s">
        <v>1914</v>
      </c>
      <c r="F63" t="s">
        <v>1915</v>
      </c>
      <c r="G63" t="s">
        <v>1916</v>
      </c>
      <c r="H63" t="s">
        <v>1916</v>
      </c>
      <c r="I63" t="s">
        <v>1917</v>
      </c>
      <c r="J63" s="5" t="str" cm="1">
        <f t="array" ref="J63">IF(SUM(COUNTIF(Text_Preprocessing__2245[[#This Row],[full_text]],{"*makan siang gratis*";"*MBG*";"*makan gratis*";"*makan bergizi gratis*";"*makangratis*";"*makanan gratis*"})),"Relevan","Tidak Relevan")</f>
        <v>Relevan</v>
      </c>
    </row>
    <row r="64" spans="1:10" x14ac:dyDescent="0.35">
      <c r="A64">
        <f t="shared" si="0"/>
        <v>63</v>
      </c>
      <c r="B64" t="s">
        <v>1918</v>
      </c>
      <c r="C64" t="s">
        <v>125</v>
      </c>
      <c r="D64" t="s">
        <v>3628</v>
      </c>
      <c r="E64" t="s">
        <v>1919</v>
      </c>
      <c r="F64" t="s">
        <v>1920</v>
      </c>
      <c r="G64" t="s">
        <v>1921</v>
      </c>
      <c r="H64" t="s">
        <v>1921</v>
      </c>
      <c r="I64" t="s">
        <v>1922</v>
      </c>
      <c r="J64" s="5" t="str" cm="1">
        <f t="array" ref="J64">IF(SUM(COUNTIF(Text_Preprocessing__2245[[#This Row],[full_text]],{"*makan siang gratis*";"*MBG*";"*makan gratis*";"*makan bergizi gratis*";"*makangratis*";"*makanan gratis*"})),"Relevan","Tidak Relevan")</f>
        <v>Relevan</v>
      </c>
    </row>
    <row r="65" spans="1:10" x14ac:dyDescent="0.35">
      <c r="A65">
        <f t="shared" si="0"/>
        <v>64</v>
      </c>
      <c r="B65" t="s">
        <v>1923</v>
      </c>
      <c r="C65" t="s">
        <v>127</v>
      </c>
      <c r="D65" t="s">
        <v>3629</v>
      </c>
      <c r="E65" t="s">
        <v>1924</v>
      </c>
      <c r="F65" t="s">
        <v>1624</v>
      </c>
      <c r="G65" t="s">
        <v>1925</v>
      </c>
      <c r="H65" t="s">
        <v>1925</v>
      </c>
      <c r="I65" t="s">
        <v>1926</v>
      </c>
      <c r="J65" s="5" t="str" cm="1">
        <f t="array" ref="J65">IF(SUM(COUNTIF(Text_Preprocessing__2245[[#This Row],[full_text]],{"*makan siang gratis*";"*MBG*";"*makan gratis*";"*makan bergizi gratis*";"*makangratis*";"*makanan gratis*"})),"Relevan","Tidak Relevan")</f>
        <v>Relevan</v>
      </c>
    </row>
    <row r="66" spans="1:10" x14ac:dyDescent="0.35">
      <c r="A66">
        <f t="shared" si="0"/>
        <v>65</v>
      </c>
      <c r="B66" t="s">
        <v>1927</v>
      </c>
      <c r="C66" t="s">
        <v>129</v>
      </c>
      <c r="D66" t="s">
        <v>3634</v>
      </c>
      <c r="E66" t="s">
        <v>1928</v>
      </c>
      <c r="F66" t="s">
        <v>1929</v>
      </c>
      <c r="G66" t="s">
        <v>1930</v>
      </c>
      <c r="H66" t="s">
        <v>1931</v>
      </c>
      <c r="I66" t="s">
        <v>1932</v>
      </c>
      <c r="J66" s="5" t="str" cm="1">
        <f t="array" ref="J66">IF(SUM(COUNTIF(Text_Preprocessing__2245[[#This Row],[full_text]],{"*makan siang gratis*";"*MBG*";"*makan gratis*";"*makan bergizi gratis*";"*makangratis*";"*makanan gratis*"})),"Relevan","Tidak Relevan")</f>
        <v>Relevan</v>
      </c>
    </row>
    <row r="67" spans="1:10" x14ac:dyDescent="0.35">
      <c r="A67">
        <f t="shared" si="0"/>
        <v>66</v>
      </c>
      <c r="B67" t="s">
        <v>1933</v>
      </c>
      <c r="C67" t="s">
        <v>93</v>
      </c>
      <c r="D67" t="s">
        <v>3634</v>
      </c>
      <c r="E67" t="s">
        <v>1934</v>
      </c>
      <c r="F67" t="s">
        <v>1596</v>
      </c>
      <c r="G67" t="s">
        <v>1935</v>
      </c>
      <c r="H67" t="s">
        <v>1935</v>
      </c>
      <c r="I67" t="s">
        <v>1936</v>
      </c>
      <c r="J67" s="5" t="str" cm="1">
        <f t="array" ref="J67">IF(SUM(COUNTIF(Text_Preprocessing__2245[[#This Row],[full_text]],{"*makan siang gratis*";"*MBG*";"*makan gratis*";"*makan bergizi gratis*";"*makangratis*";"*makanan gratis*"})),"Relevan","Tidak Relevan")</f>
        <v>Relevan</v>
      </c>
    </row>
    <row r="68" spans="1:10" x14ac:dyDescent="0.35">
      <c r="A68">
        <f t="shared" ref="A68:A131" si="1">SUM(A67+1)</f>
        <v>67</v>
      </c>
      <c r="B68" t="s">
        <v>1937</v>
      </c>
      <c r="C68" t="s">
        <v>133</v>
      </c>
      <c r="D68" t="s">
        <v>3634</v>
      </c>
      <c r="E68" t="s">
        <v>1938</v>
      </c>
      <c r="F68" t="s">
        <v>1596</v>
      </c>
      <c r="G68" t="s">
        <v>1938</v>
      </c>
      <c r="H68" t="s">
        <v>1938</v>
      </c>
      <c r="I68" t="s">
        <v>1939</v>
      </c>
      <c r="J68" s="5" t="str" cm="1">
        <f t="array" ref="J68">IF(SUM(COUNTIF(Text_Preprocessing__2245[[#This Row],[full_text]],{"*makan siang gratis*";"*MBG*";"*makan gratis*";"*makan bergizi gratis*";"*makangratis*";"*makanan gratis*"})),"Relevan","Tidak Relevan")</f>
        <v>Relevan</v>
      </c>
    </row>
    <row r="69" spans="1:10" x14ac:dyDescent="0.35">
      <c r="A69">
        <f t="shared" si="1"/>
        <v>68</v>
      </c>
      <c r="B69" t="s">
        <v>1940</v>
      </c>
      <c r="C69" t="s">
        <v>135</v>
      </c>
      <c r="D69" t="s">
        <v>3629</v>
      </c>
      <c r="E69" t="s">
        <v>1941</v>
      </c>
      <c r="F69" t="s">
        <v>1692</v>
      </c>
      <c r="G69" t="s">
        <v>1942</v>
      </c>
      <c r="H69" t="s">
        <v>1942</v>
      </c>
      <c r="I69" t="s">
        <v>1943</v>
      </c>
      <c r="J69" s="5" t="str" cm="1">
        <f t="array" ref="J69">IF(SUM(COUNTIF(Text_Preprocessing__2245[[#This Row],[full_text]],{"*makan siang gratis*";"*MBG*";"*makan gratis*";"*makan bergizi gratis*";"*makangratis*";"*makanan gratis*"})),"Relevan","Tidak Relevan")</f>
        <v>Relevan</v>
      </c>
    </row>
    <row r="70" spans="1:10" x14ac:dyDescent="0.35">
      <c r="A70">
        <f t="shared" si="1"/>
        <v>69</v>
      </c>
      <c r="B70" t="s">
        <v>1944</v>
      </c>
      <c r="C70" t="s">
        <v>137</v>
      </c>
      <c r="D70" t="s">
        <v>3634</v>
      </c>
      <c r="E70" t="s">
        <v>1945</v>
      </c>
      <c r="F70" t="s">
        <v>1946</v>
      </c>
      <c r="G70" t="s">
        <v>1947</v>
      </c>
      <c r="H70" t="s">
        <v>1947</v>
      </c>
      <c r="I70" t="s">
        <v>1948</v>
      </c>
      <c r="J70" s="5" t="str" cm="1">
        <f t="array" ref="J70">IF(SUM(COUNTIF(Text_Preprocessing__2245[[#This Row],[full_text]],{"*makan siang gratis*";"*MBG*";"*makan gratis*";"*makan bergizi gratis*";"*makangratis*";"*makanan gratis*"})),"Relevan","Tidak Relevan")</f>
        <v>Relevan</v>
      </c>
    </row>
    <row r="71" spans="1:10" x14ac:dyDescent="0.35">
      <c r="A71">
        <f t="shared" si="1"/>
        <v>70</v>
      </c>
      <c r="B71" t="s">
        <v>1949</v>
      </c>
      <c r="C71" t="s">
        <v>139</v>
      </c>
      <c r="D71" t="s">
        <v>3632</v>
      </c>
      <c r="E71" t="s">
        <v>1950</v>
      </c>
      <c r="F71" t="s">
        <v>1951</v>
      </c>
      <c r="G71" t="s">
        <v>1952</v>
      </c>
      <c r="H71" t="s">
        <v>1952</v>
      </c>
      <c r="I71" t="s">
        <v>1953</v>
      </c>
      <c r="J71" s="5" t="str" cm="1">
        <f t="array" ref="J71">IF(SUM(COUNTIF(Text_Preprocessing__2245[[#This Row],[full_text]],{"*makan siang gratis*";"*MBG*";"*makan gratis*";"*makan bergizi gratis*";"*makangratis*";"*makanan gratis*"})),"Relevan","Tidak Relevan")</f>
        <v>Relevan</v>
      </c>
    </row>
    <row r="72" spans="1:10" x14ac:dyDescent="0.35">
      <c r="A72">
        <f t="shared" si="1"/>
        <v>71</v>
      </c>
      <c r="B72" t="s">
        <v>1954</v>
      </c>
      <c r="C72" t="s">
        <v>141</v>
      </c>
      <c r="D72" t="s">
        <v>3634</v>
      </c>
      <c r="E72" t="s">
        <v>1955</v>
      </c>
      <c r="F72" t="s">
        <v>1730</v>
      </c>
      <c r="G72" t="s">
        <v>1956</v>
      </c>
      <c r="H72" t="s">
        <v>1956</v>
      </c>
      <c r="I72" t="s">
        <v>1957</v>
      </c>
      <c r="J72" s="5" t="str" cm="1">
        <f t="array" ref="J72">IF(SUM(COUNTIF(Text_Preprocessing__2245[[#This Row],[full_text]],{"*makan siang gratis*";"*MBG*";"*makan gratis*";"*makan bergizi gratis*";"*makangratis*";"*makanan gratis*"})),"Relevan","Tidak Relevan")</f>
        <v>Relevan</v>
      </c>
    </row>
    <row r="73" spans="1:10" x14ac:dyDescent="0.35">
      <c r="A73">
        <f t="shared" si="1"/>
        <v>72</v>
      </c>
      <c r="B73" t="s">
        <v>1958</v>
      </c>
      <c r="C73" t="s">
        <v>143</v>
      </c>
      <c r="D73" t="s">
        <v>3634</v>
      </c>
      <c r="E73" t="s">
        <v>1959</v>
      </c>
      <c r="F73" t="s">
        <v>1893</v>
      </c>
      <c r="G73" t="s">
        <v>1960</v>
      </c>
      <c r="H73" t="s">
        <v>1960</v>
      </c>
      <c r="I73" t="s">
        <v>1961</v>
      </c>
      <c r="J73" s="5" t="str" cm="1">
        <f t="array" ref="J73">IF(SUM(COUNTIF(Text_Preprocessing__2245[[#This Row],[full_text]],{"*makan siang gratis*";"*MBG*";"*makan gratis*";"*makan bergizi gratis*";"*makangratis*";"*makanan gratis*"})),"Relevan","Tidak Relevan")</f>
        <v>Relevan</v>
      </c>
    </row>
    <row r="74" spans="1:10" x14ac:dyDescent="0.35">
      <c r="A74">
        <f t="shared" si="1"/>
        <v>73</v>
      </c>
      <c r="B74" t="s">
        <v>1962</v>
      </c>
      <c r="C74" t="s">
        <v>143</v>
      </c>
      <c r="D74" t="s">
        <v>3634</v>
      </c>
      <c r="E74" t="s">
        <v>1963</v>
      </c>
      <c r="F74" t="s">
        <v>1964</v>
      </c>
      <c r="G74" t="s">
        <v>1965</v>
      </c>
      <c r="H74" t="s">
        <v>1965</v>
      </c>
      <c r="I74" t="s">
        <v>1966</v>
      </c>
      <c r="J74" s="5" t="str" cm="1">
        <f t="array" ref="J74">IF(SUM(COUNTIF(Text_Preprocessing__2245[[#This Row],[full_text]],{"*makan siang gratis*";"*MBG*";"*makan gratis*";"*makan bergizi gratis*";"*makangratis*";"*makanan gratis*"})),"Relevan","Tidak Relevan")</f>
        <v>Relevan</v>
      </c>
    </row>
    <row r="75" spans="1:10" x14ac:dyDescent="0.35">
      <c r="A75">
        <f t="shared" si="1"/>
        <v>74</v>
      </c>
      <c r="B75" t="s">
        <v>1967</v>
      </c>
      <c r="C75" t="s">
        <v>143</v>
      </c>
      <c r="D75" t="s">
        <v>3634</v>
      </c>
      <c r="E75" t="s">
        <v>1968</v>
      </c>
      <c r="F75" t="s">
        <v>1893</v>
      </c>
      <c r="G75" t="s">
        <v>1969</v>
      </c>
      <c r="H75" t="s">
        <v>1969</v>
      </c>
      <c r="I75" t="s">
        <v>1970</v>
      </c>
      <c r="J75" s="5" t="str" cm="1">
        <f t="array" ref="J75">IF(SUM(COUNTIF(Text_Preprocessing__2245[[#This Row],[full_text]],{"*makan siang gratis*";"*MBG*";"*makan gratis*";"*makan bergizi gratis*";"*makangratis*";"*makanan gratis*"})),"Relevan","Tidak Relevan")</f>
        <v>Relevan</v>
      </c>
    </row>
    <row r="76" spans="1:10" x14ac:dyDescent="0.35">
      <c r="A76">
        <f t="shared" si="1"/>
        <v>75</v>
      </c>
      <c r="B76" t="s">
        <v>1971</v>
      </c>
      <c r="C76" t="s">
        <v>149</v>
      </c>
      <c r="D76" t="s">
        <v>3632</v>
      </c>
      <c r="E76" t="s">
        <v>1972</v>
      </c>
      <c r="F76" t="s">
        <v>1973</v>
      </c>
      <c r="G76" t="s">
        <v>1974</v>
      </c>
      <c r="H76" t="s">
        <v>1974</v>
      </c>
      <c r="I76" t="s">
        <v>1975</v>
      </c>
      <c r="J76" s="5" t="str" cm="1">
        <f t="array" ref="J76">IF(SUM(COUNTIF(Text_Preprocessing__2245[[#This Row],[full_text]],{"*makan siang gratis*";"*MBG*";"*makan gratis*";"*makan bergizi gratis*";"*makangratis*";"*makanan gratis*"})),"Relevan","Tidak Relevan")</f>
        <v>Relevan</v>
      </c>
    </row>
    <row r="77" spans="1:10" x14ac:dyDescent="0.35">
      <c r="A77">
        <f t="shared" si="1"/>
        <v>76</v>
      </c>
      <c r="B77" t="s">
        <v>1976</v>
      </c>
      <c r="C77" t="s">
        <v>143</v>
      </c>
      <c r="D77" t="s">
        <v>3634</v>
      </c>
      <c r="E77" t="s">
        <v>1977</v>
      </c>
      <c r="F77" t="s">
        <v>1724</v>
      </c>
      <c r="G77" t="s">
        <v>1978</v>
      </c>
      <c r="H77" t="s">
        <v>1978</v>
      </c>
      <c r="I77" t="s">
        <v>1979</v>
      </c>
      <c r="J77" s="5" t="str" cm="1">
        <f t="array" ref="J77">IF(SUM(COUNTIF(Text_Preprocessing__2245[[#This Row],[full_text]],{"*makan siang gratis*";"*MBG*";"*makan gratis*";"*makan bergizi gratis*";"*makangratis*";"*makanan gratis*"})),"Relevan","Tidak Relevan")</f>
        <v>Relevan</v>
      </c>
    </row>
    <row r="78" spans="1:10" x14ac:dyDescent="0.35">
      <c r="A78">
        <f t="shared" si="1"/>
        <v>77</v>
      </c>
      <c r="B78" t="s">
        <v>1980</v>
      </c>
      <c r="C78" t="s">
        <v>143</v>
      </c>
      <c r="D78" t="s">
        <v>3634</v>
      </c>
      <c r="E78" t="s">
        <v>1981</v>
      </c>
      <c r="F78" t="s">
        <v>1692</v>
      </c>
      <c r="G78" t="s">
        <v>1982</v>
      </c>
      <c r="H78" t="s">
        <v>1982</v>
      </c>
      <c r="I78" t="s">
        <v>1983</v>
      </c>
      <c r="J78" s="5" t="str" cm="1">
        <f t="array" ref="J78">IF(SUM(COUNTIF(Text_Preprocessing__2245[[#This Row],[full_text]],{"*makan siang gratis*";"*MBG*";"*makan gratis*";"*makan bergizi gratis*";"*makangratis*";"*makanan gratis*"})),"Relevan","Tidak Relevan")</f>
        <v>Relevan</v>
      </c>
    </row>
    <row r="79" spans="1:10" x14ac:dyDescent="0.35">
      <c r="A79">
        <f t="shared" si="1"/>
        <v>78</v>
      </c>
      <c r="B79" t="s">
        <v>1984</v>
      </c>
      <c r="C79" t="s">
        <v>153</v>
      </c>
      <c r="D79" t="s">
        <v>3634</v>
      </c>
      <c r="E79" t="s">
        <v>1985</v>
      </c>
      <c r="F79" t="s">
        <v>1804</v>
      </c>
      <c r="G79" t="s">
        <v>1986</v>
      </c>
      <c r="H79" t="s">
        <v>1986</v>
      </c>
      <c r="I79" t="s">
        <v>1987</v>
      </c>
      <c r="J79" s="5" t="str" cm="1">
        <f t="array" ref="J79">IF(SUM(COUNTIF(Text_Preprocessing__2245[[#This Row],[full_text]],{"*makan siang gratis*";"*MBG*";"*makan gratis*";"*makan bergizi gratis*";"*makangratis*";"*makanan gratis*"})),"Relevan","Tidak Relevan")</f>
        <v>Relevan</v>
      </c>
    </row>
    <row r="80" spans="1:10" x14ac:dyDescent="0.35">
      <c r="A80">
        <f t="shared" si="1"/>
        <v>79</v>
      </c>
      <c r="B80" t="s">
        <v>1988</v>
      </c>
      <c r="C80" t="s">
        <v>157</v>
      </c>
      <c r="D80" t="s">
        <v>3629</v>
      </c>
      <c r="E80" t="s">
        <v>1989</v>
      </c>
      <c r="F80" t="s">
        <v>1990</v>
      </c>
      <c r="G80" t="s">
        <v>1991</v>
      </c>
      <c r="H80" t="s">
        <v>1991</v>
      </c>
      <c r="I80" t="s">
        <v>1992</v>
      </c>
      <c r="J80" s="5" t="str" cm="1">
        <f t="array" ref="J80">IF(SUM(COUNTIF(Text_Preprocessing__2245[[#This Row],[full_text]],{"*makan siang gratis*";"*MBG*";"*makan gratis*";"*makan bergizi gratis*";"*makangratis*";"*makanan gratis*"})),"Relevan","Tidak Relevan")</f>
        <v>Relevan</v>
      </c>
    </row>
    <row r="81" spans="1:11" x14ac:dyDescent="0.35">
      <c r="A81">
        <f t="shared" si="1"/>
        <v>80</v>
      </c>
      <c r="B81" t="s">
        <v>1993</v>
      </c>
      <c r="C81" t="s">
        <v>159</v>
      </c>
      <c r="D81" t="s">
        <v>3634</v>
      </c>
      <c r="E81" t="s">
        <v>1994</v>
      </c>
      <c r="F81" t="s">
        <v>1735</v>
      </c>
      <c r="G81" t="s">
        <v>1995</v>
      </c>
      <c r="H81" t="s">
        <v>1995</v>
      </c>
      <c r="I81" t="s">
        <v>1996</v>
      </c>
      <c r="J81" s="5" t="str" cm="1">
        <f t="array" ref="J81">IF(SUM(COUNTIF(Text_Preprocessing__2245[[#This Row],[full_text]],{"*makan siang gratis*";"*MBG*";"*makan gratis*";"*makan bergizi gratis*";"*makangratis*";"*makanan gratis*"})),"Relevan","Tidak Relevan")</f>
        <v>Relevan</v>
      </c>
    </row>
    <row r="82" spans="1:11" x14ac:dyDescent="0.35">
      <c r="A82">
        <f t="shared" si="1"/>
        <v>81</v>
      </c>
      <c r="B82" t="s">
        <v>1997</v>
      </c>
      <c r="C82" t="s">
        <v>161</v>
      </c>
      <c r="D82" t="s">
        <v>3632</v>
      </c>
      <c r="E82" t="s">
        <v>1998</v>
      </c>
      <c r="F82" t="s">
        <v>1999</v>
      </c>
      <c r="G82" t="s">
        <v>2000</v>
      </c>
      <c r="H82" t="s">
        <v>2000</v>
      </c>
      <c r="I82" t="s">
        <v>2001</v>
      </c>
      <c r="J82" s="5" t="str" cm="1">
        <f t="array" ref="J82">IF(SUM(COUNTIF(Text_Preprocessing__2245[[#This Row],[full_text]],{"*makan siang gratis*";"*MBG*";"*makan gratis*";"*makan bergizi gratis*";"*makangratis*";"*makanan gratis*"})),"Relevan","Tidak Relevan")</f>
        <v>Relevan</v>
      </c>
    </row>
    <row r="83" spans="1:11" x14ac:dyDescent="0.35">
      <c r="A83">
        <f t="shared" si="1"/>
        <v>82</v>
      </c>
      <c r="B83" t="s">
        <v>2002</v>
      </c>
      <c r="C83" t="s">
        <v>102</v>
      </c>
      <c r="D83" t="s">
        <v>3634</v>
      </c>
      <c r="E83" t="s">
        <v>2003</v>
      </c>
      <c r="F83" t="s">
        <v>1613</v>
      </c>
      <c r="G83" t="s">
        <v>2004</v>
      </c>
      <c r="H83" t="s">
        <v>2004</v>
      </c>
      <c r="I83" t="s">
        <v>2005</v>
      </c>
      <c r="J83" s="5" t="str" cm="1">
        <f t="array" ref="J83">IF(SUM(COUNTIF(Text_Preprocessing__2245[[#This Row],[full_text]],{"*makan siang gratis*";"*MBG*";"*makan gratis*";"*makan bergizi gratis*";"*makangratis*";"*makanan gratis*"})),"Relevan","Tidak Relevan")</f>
        <v>Relevan</v>
      </c>
    </row>
    <row r="84" spans="1:11" x14ac:dyDescent="0.35">
      <c r="A84">
        <f t="shared" si="1"/>
        <v>83</v>
      </c>
      <c r="B84" t="s">
        <v>2006</v>
      </c>
      <c r="C84" t="s">
        <v>125</v>
      </c>
      <c r="D84" t="s">
        <v>3628</v>
      </c>
      <c r="E84" t="s">
        <v>2007</v>
      </c>
      <c r="F84" t="s">
        <v>2008</v>
      </c>
      <c r="G84" t="s">
        <v>2009</v>
      </c>
      <c r="H84" t="s">
        <v>2009</v>
      </c>
      <c r="I84" t="s">
        <v>2010</v>
      </c>
      <c r="J84" s="5" t="str" cm="1">
        <f t="array" ref="J84">IF(SUM(COUNTIF(Text_Preprocessing__2245[[#This Row],[full_text]],{"*makan siang gratis*";"*MBG*";"*makan gratis*";"*makan bergizi gratis*";"*makangratis*";"*makanan gratis*"})),"Relevan","Tidak Relevan")</f>
        <v>Relevan</v>
      </c>
    </row>
    <row r="85" spans="1:11" x14ac:dyDescent="0.35">
      <c r="A85">
        <f t="shared" si="1"/>
        <v>84</v>
      </c>
      <c r="B85" t="s">
        <v>2011</v>
      </c>
      <c r="C85" t="s">
        <v>137</v>
      </c>
      <c r="D85" t="s">
        <v>3634</v>
      </c>
      <c r="E85" t="s">
        <v>2012</v>
      </c>
      <c r="F85" t="s">
        <v>1613</v>
      </c>
      <c r="G85" t="s">
        <v>2013</v>
      </c>
      <c r="H85" t="s">
        <v>2014</v>
      </c>
      <c r="I85" t="s">
        <v>2015</v>
      </c>
      <c r="J85" s="5" t="str" cm="1">
        <f t="array" ref="J85">IF(SUM(COUNTIF(Text_Preprocessing__2245[[#This Row],[full_text]],{"*makan siang gratis*";"*MBG*";"*makan gratis*";"*makan bergizi gratis*";"*makangratis*";"*makanan gratis*"})),"Relevan","Tidak Relevan")</f>
        <v>Tidak Relevan</v>
      </c>
      <c r="K85" t="s">
        <v>3622</v>
      </c>
    </row>
    <row r="86" spans="1:11" x14ac:dyDescent="0.35">
      <c r="A86">
        <f t="shared" si="1"/>
        <v>85</v>
      </c>
      <c r="B86" t="s">
        <v>2016</v>
      </c>
      <c r="C86" t="s">
        <v>166</v>
      </c>
      <c r="D86" t="s">
        <v>3634</v>
      </c>
      <c r="E86" t="s">
        <v>2017</v>
      </c>
      <c r="F86" t="s">
        <v>1844</v>
      </c>
      <c r="G86" t="s">
        <v>2018</v>
      </c>
      <c r="H86" t="s">
        <v>2018</v>
      </c>
      <c r="I86" t="s">
        <v>2019</v>
      </c>
      <c r="J86" s="5" t="str" cm="1">
        <f t="array" ref="J86">IF(SUM(COUNTIF(Text_Preprocessing__2245[[#This Row],[full_text]],{"*makan siang gratis*";"*MBG*";"*makan gratis*";"*makan bergizi gratis*";"*makangratis*";"*makanan gratis*"})),"Relevan","Tidak Relevan")</f>
        <v>Relevan</v>
      </c>
    </row>
    <row r="87" spans="1:11" x14ac:dyDescent="0.35">
      <c r="A87">
        <f t="shared" si="1"/>
        <v>86</v>
      </c>
      <c r="B87" t="s">
        <v>2020</v>
      </c>
      <c r="C87" t="s">
        <v>168</v>
      </c>
      <c r="D87" t="s">
        <v>3628</v>
      </c>
      <c r="E87" t="s">
        <v>2021</v>
      </c>
      <c r="F87" t="s">
        <v>2022</v>
      </c>
      <c r="G87" t="s">
        <v>2023</v>
      </c>
      <c r="H87" t="s">
        <v>2024</v>
      </c>
      <c r="I87" t="s">
        <v>2025</v>
      </c>
      <c r="J87" s="5" t="str" cm="1">
        <f t="array" ref="J87">IF(SUM(COUNTIF(Text_Preprocessing__2245[[#This Row],[full_text]],{"*makan siang gratis*";"*MBG*";"*makan gratis*";"*makan bergizi gratis*";"*makangratis*";"*makanan gratis*"})),"Relevan","Tidak Relevan")</f>
        <v>Relevan</v>
      </c>
    </row>
    <row r="88" spans="1:11" x14ac:dyDescent="0.35">
      <c r="A88">
        <f t="shared" si="1"/>
        <v>87</v>
      </c>
      <c r="B88" t="s">
        <v>2026</v>
      </c>
      <c r="C88" t="s">
        <v>170</v>
      </c>
      <c r="D88" t="s">
        <v>3629</v>
      </c>
      <c r="E88" t="s">
        <v>2027</v>
      </c>
      <c r="F88" t="s">
        <v>1596</v>
      </c>
      <c r="G88" t="s">
        <v>2028</v>
      </c>
      <c r="H88" t="s">
        <v>2028</v>
      </c>
      <c r="I88" t="s">
        <v>2029</v>
      </c>
      <c r="J88" s="5" t="str" cm="1">
        <f t="array" ref="J88">IF(SUM(COUNTIF(Text_Preprocessing__2245[[#This Row],[full_text]],{"*makan siang gratis*";"*MBG*";"*makan gratis*";"*makan bergizi gratis*";"*makangratis*";"*makanan gratis*"})),"Relevan","Tidak Relevan")</f>
        <v>Relevan</v>
      </c>
    </row>
    <row r="89" spans="1:11" x14ac:dyDescent="0.35">
      <c r="A89">
        <f t="shared" si="1"/>
        <v>88</v>
      </c>
      <c r="B89" t="s">
        <v>2030</v>
      </c>
      <c r="C89" t="s">
        <v>172</v>
      </c>
      <c r="D89" t="s">
        <v>3634</v>
      </c>
      <c r="E89" t="s">
        <v>2031</v>
      </c>
      <c r="F89" t="s">
        <v>1652</v>
      </c>
      <c r="G89" t="s">
        <v>2032</v>
      </c>
      <c r="H89" t="s">
        <v>2032</v>
      </c>
      <c r="I89" t="s">
        <v>2033</v>
      </c>
      <c r="J89" s="5" t="str" cm="1">
        <f t="array" ref="J89">IF(SUM(COUNTIF(Text_Preprocessing__2245[[#This Row],[full_text]],{"*makan siang gratis*";"*MBG*";"*makan gratis*";"*makan bergizi gratis*";"*makangratis*";"*makanan gratis*"})),"Relevan","Tidak Relevan")</f>
        <v>Tidak Relevan</v>
      </c>
      <c r="K89" t="s">
        <v>3622</v>
      </c>
    </row>
    <row r="90" spans="1:11" x14ac:dyDescent="0.35">
      <c r="A90">
        <f t="shared" si="1"/>
        <v>89</v>
      </c>
      <c r="B90" t="s">
        <v>2034</v>
      </c>
      <c r="C90" t="s">
        <v>174</v>
      </c>
      <c r="D90" t="s">
        <v>3634</v>
      </c>
      <c r="E90" t="s">
        <v>2035</v>
      </c>
      <c r="F90" t="s">
        <v>2036</v>
      </c>
      <c r="G90" t="s">
        <v>2037</v>
      </c>
      <c r="H90" t="s">
        <v>2037</v>
      </c>
      <c r="I90" t="s">
        <v>2038</v>
      </c>
      <c r="J90" s="5" t="str" cm="1">
        <f t="array" ref="J90">IF(SUM(COUNTIF(Text_Preprocessing__2245[[#This Row],[full_text]],{"*makan siang gratis*";"*MBG*";"*makan gratis*";"*makan bergizi gratis*";"*makangratis*";"*makanan gratis*"})),"Relevan","Tidak Relevan")</f>
        <v>Relevan</v>
      </c>
    </row>
    <row r="91" spans="1:11" x14ac:dyDescent="0.35">
      <c r="A91">
        <f t="shared" si="1"/>
        <v>90</v>
      </c>
      <c r="B91" t="s">
        <v>2039</v>
      </c>
      <c r="C91" t="s">
        <v>176</v>
      </c>
      <c r="D91" t="s">
        <v>3634</v>
      </c>
      <c r="E91" t="s">
        <v>2040</v>
      </c>
      <c r="F91" t="s">
        <v>2041</v>
      </c>
      <c r="G91" t="s">
        <v>2042</v>
      </c>
      <c r="H91" t="s">
        <v>2043</v>
      </c>
      <c r="I91" t="s">
        <v>2044</v>
      </c>
      <c r="J91" s="5" t="str" cm="1">
        <f t="array" ref="J91">IF(SUM(COUNTIF(Text_Preprocessing__2245[[#This Row],[full_text]],{"*makan siang gratis*";"*MBG*";"*makan gratis*";"*makan bergizi gratis*";"*makangratis*";"*makanan gratis*"})),"Relevan","Tidak Relevan")</f>
        <v>Relevan</v>
      </c>
    </row>
    <row r="92" spans="1:11" x14ac:dyDescent="0.35">
      <c r="A92">
        <f t="shared" si="1"/>
        <v>91</v>
      </c>
      <c r="B92" t="s">
        <v>2045</v>
      </c>
      <c r="C92" t="s">
        <v>143</v>
      </c>
      <c r="D92" t="s">
        <v>3634</v>
      </c>
      <c r="E92" t="s">
        <v>2046</v>
      </c>
      <c r="F92" t="s">
        <v>1929</v>
      </c>
      <c r="G92" t="s">
        <v>2047</v>
      </c>
      <c r="H92" t="s">
        <v>2048</v>
      </c>
      <c r="I92" t="s">
        <v>2049</v>
      </c>
      <c r="J92" s="5" t="str" cm="1">
        <f t="array" ref="J92">IF(SUM(COUNTIF(Text_Preprocessing__2245[[#This Row],[full_text]],{"*makan siang gratis*";"*MBG*";"*makan gratis*";"*makan bergizi gratis*";"*makangratis*";"*makanan gratis*"})),"Relevan","Tidak Relevan")</f>
        <v>Relevan</v>
      </c>
    </row>
    <row r="93" spans="1:11" x14ac:dyDescent="0.35">
      <c r="A93">
        <f t="shared" si="1"/>
        <v>92</v>
      </c>
      <c r="B93" t="s">
        <v>2050</v>
      </c>
      <c r="C93" t="s">
        <v>137</v>
      </c>
      <c r="D93" t="s">
        <v>3634</v>
      </c>
      <c r="E93" t="s">
        <v>2051</v>
      </c>
      <c r="F93" t="s">
        <v>2052</v>
      </c>
      <c r="G93" t="s">
        <v>2053</v>
      </c>
      <c r="H93" t="s">
        <v>2053</v>
      </c>
      <c r="I93" t="s">
        <v>2054</v>
      </c>
      <c r="J93" s="5" t="str" cm="1">
        <f t="array" ref="J93">IF(SUM(COUNTIF(Text_Preprocessing__2245[[#This Row],[full_text]],{"*makan siang gratis*";"*MBG*";"*makan gratis*";"*makan bergizi gratis*";"*makangratis*";"*makanan gratis*"})),"Relevan","Tidak Relevan")</f>
        <v>Relevan</v>
      </c>
    </row>
    <row r="94" spans="1:11" x14ac:dyDescent="0.35">
      <c r="A94">
        <f t="shared" si="1"/>
        <v>93</v>
      </c>
      <c r="B94" t="s">
        <v>2055</v>
      </c>
      <c r="C94" t="s">
        <v>180</v>
      </c>
      <c r="D94" t="s">
        <v>3628</v>
      </c>
      <c r="E94" t="s">
        <v>2056</v>
      </c>
      <c r="F94" t="s">
        <v>2008</v>
      </c>
      <c r="G94" t="s">
        <v>2057</v>
      </c>
      <c r="H94" t="s">
        <v>2057</v>
      </c>
      <c r="I94" t="s">
        <v>2058</v>
      </c>
      <c r="J94" s="5" t="str" cm="1">
        <f t="array" ref="J94">IF(SUM(COUNTIF(Text_Preprocessing__2245[[#This Row],[full_text]],{"*makan siang gratis*";"*MBG*";"*makan gratis*";"*makan bergizi gratis*";"*makangratis*";"*makanan gratis*"})),"Relevan","Tidak Relevan")</f>
        <v>Relevan</v>
      </c>
    </row>
    <row r="95" spans="1:11" x14ac:dyDescent="0.35">
      <c r="A95">
        <f t="shared" si="1"/>
        <v>94</v>
      </c>
      <c r="B95" t="s">
        <v>2059</v>
      </c>
      <c r="C95" t="s">
        <v>182</v>
      </c>
      <c r="D95" t="s">
        <v>3629</v>
      </c>
      <c r="E95" t="s">
        <v>2060</v>
      </c>
      <c r="F95" t="s">
        <v>1692</v>
      </c>
      <c r="G95" t="s">
        <v>2061</v>
      </c>
      <c r="H95" t="s">
        <v>2061</v>
      </c>
      <c r="I95" t="s">
        <v>2062</v>
      </c>
      <c r="J95" s="5" t="str" cm="1">
        <f t="array" ref="J95">IF(SUM(COUNTIF(Text_Preprocessing__2245[[#This Row],[full_text]],{"*makan siang gratis*";"*MBG*";"*makan gratis*";"*makan bergizi gratis*";"*makangratis*";"*makanan gratis*"})),"Relevan","Tidak Relevan")</f>
        <v>Relevan</v>
      </c>
    </row>
    <row r="96" spans="1:11" x14ac:dyDescent="0.35">
      <c r="A96">
        <f t="shared" si="1"/>
        <v>95</v>
      </c>
      <c r="B96" t="s">
        <v>2063</v>
      </c>
      <c r="C96" t="s">
        <v>172</v>
      </c>
      <c r="D96" t="s">
        <v>3634</v>
      </c>
      <c r="E96" t="s">
        <v>2064</v>
      </c>
      <c r="F96" t="s">
        <v>1674</v>
      </c>
      <c r="G96" t="s">
        <v>2065</v>
      </c>
      <c r="H96" t="s">
        <v>2065</v>
      </c>
      <c r="I96" t="s">
        <v>2066</v>
      </c>
      <c r="J96" s="5" t="str" cm="1">
        <f t="array" ref="J96">IF(SUM(COUNTIF(Text_Preprocessing__2245[[#This Row],[full_text]],{"*makan siang gratis*";"*MBG*";"*makan gratis*";"*makan bergizi gratis*";"*makangratis*";"*makanan gratis*"})),"Relevan","Tidak Relevan")</f>
        <v>Relevan</v>
      </c>
    </row>
    <row r="97" spans="1:10" x14ac:dyDescent="0.35">
      <c r="A97">
        <f t="shared" si="1"/>
        <v>96</v>
      </c>
      <c r="B97" t="s">
        <v>2067</v>
      </c>
      <c r="C97" t="s">
        <v>185</v>
      </c>
      <c r="D97" t="s">
        <v>3628</v>
      </c>
      <c r="E97" t="s">
        <v>2068</v>
      </c>
      <c r="F97" t="s">
        <v>2069</v>
      </c>
      <c r="G97" t="s">
        <v>2070</v>
      </c>
      <c r="H97" t="s">
        <v>2070</v>
      </c>
      <c r="I97" t="s">
        <v>2071</v>
      </c>
      <c r="J97" s="5" t="str" cm="1">
        <f t="array" ref="J97">IF(SUM(COUNTIF(Text_Preprocessing__2245[[#This Row],[full_text]],{"*makan siang gratis*";"*MBG*";"*makan gratis*";"*makan bergizi gratis*";"*makangratis*";"*makanan gratis*"})),"Relevan","Tidak Relevan")</f>
        <v>Relevan</v>
      </c>
    </row>
    <row r="98" spans="1:10" x14ac:dyDescent="0.35">
      <c r="A98">
        <f t="shared" si="1"/>
        <v>97</v>
      </c>
      <c r="B98" t="s">
        <v>2072</v>
      </c>
      <c r="C98" t="s">
        <v>76</v>
      </c>
      <c r="D98" t="s">
        <v>3634</v>
      </c>
      <c r="E98" t="s">
        <v>2073</v>
      </c>
      <c r="F98" t="s">
        <v>2074</v>
      </c>
      <c r="G98" t="s">
        <v>2075</v>
      </c>
      <c r="H98" t="s">
        <v>2075</v>
      </c>
      <c r="I98" t="s">
        <v>2076</v>
      </c>
      <c r="J98" s="5" t="str" cm="1">
        <f t="array" ref="J98">IF(SUM(COUNTIF(Text_Preprocessing__2245[[#This Row],[full_text]],{"*makan siang gratis*";"*MBG*";"*makan gratis*";"*makan bergizi gratis*";"*makangratis*";"*makanan gratis*"})),"Relevan","Tidak Relevan")</f>
        <v>Relevan</v>
      </c>
    </row>
    <row r="99" spans="1:10" x14ac:dyDescent="0.35">
      <c r="A99">
        <f t="shared" si="1"/>
        <v>98</v>
      </c>
      <c r="B99" t="s">
        <v>2077</v>
      </c>
      <c r="C99" t="s">
        <v>182</v>
      </c>
      <c r="D99" t="s">
        <v>3629</v>
      </c>
      <c r="E99" t="s">
        <v>2078</v>
      </c>
      <c r="F99" t="s">
        <v>1809</v>
      </c>
      <c r="G99" t="s">
        <v>2078</v>
      </c>
      <c r="H99" t="s">
        <v>2078</v>
      </c>
      <c r="I99" t="s">
        <v>2079</v>
      </c>
      <c r="J99" s="5" t="str" cm="1">
        <f t="array" ref="J99">IF(SUM(COUNTIF(Text_Preprocessing__2245[[#This Row],[full_text]],{"*makan siang gratis*";"*MBG*";"*makan gratis*";"*makan bergizi gratis*";"*makangratis*";"*makanan gratis*"})),"Relevan","Tidak Relevan")</f>
        <v>Relevan</v>
      </c>
    </row>
    <row r="100" spans="1:10" x14ac:dyDescent="0.35">
      <c r="A100">
        <f t="shared" si="1"/>
        <v>99</v>
      </c>
      <c r="B100" t="s">
        <v>2080</v>
      </c>
      <c r="C100" t="s">
        <v>189</v>
      </c>
      <c r="D100" t="s">
        <v>3632</v>
      </c>
      <c r="E100" t="s">
        <v>2081</v>
      </c>
      <c r="F100" t="s">
        <v>2082</v>
      </c>
      <c r="G100" t="s">
        <v>2083</v>
      </c>
      <c r="H100" t="s">
        <v>2084</v>
      </c>
      <c r="I100" t="s">
        <v>2085</v>
      </c>
      <c r="J100" s="5" t="str" cm="1">
        <f t="array" ref="J100">IF(SUM(COUNTIF(Text_Preprocessing__2245[[#This Row],[full_text]],{"*makan siang gratis*";"*MBG*";"*makan gratis*";"*makan bergizi gratis*";"*makangratis*";"*makanan gratis*"})),"Relevan","Tidak Relevan")</f>
        <v>Relevan</v>
      </c>
    </row>
    <row r="101" spans="1:10" x14ac:dyDescent="0.35">
      <c r="A101">
        <f t="shared" si="1"/>
        <v>100</v>
      </c>
      <c r="B101" t="s">
        <v>2086</v>
      </c>
      <c r="C101" t="s">
        <v>93</v>
      </c>
      <c r="D101" t="s">
        <v>3634</v>
      </c>
      <c r="E101" t="s">
        <v>2087</v>
      </c>
      <c r="F101" t="s">
        <v>1596</v>
      </c>
      <c r="G101" t="s">
        <v>2088</v>
      </c>
      <c r="H101" t="s">
        <v>2088</v>
      </c>
      <c r="I101" t="s">
        <v>2089</v>
      </c>
      <c r="J101" s="5" t="str" cm="1">
        <f t="array" ref="J101">IF(SUM(COUNTIF(Text_Preprocessing__2245[[#This Row],[full_text]],{"*makan siang gratis*";"*MBG*";"*makan gratis*";"*makan bergizi gratis*";"*makangratis*";"*makanan gratis*"})),"Relevan","Tidak Relevan")</f>
        <v>Relevan</v>
      </c>
    </row>
    <row r="102" spans="1:10" x14ac:dyDescent="0.35">
      <c r="A102">
        <f t="shared" si="1"/>
        <v>101</v>
      </c>
      <c r="B102" t="s">
        <v>2090</v>
      </c>
      <c r="C102" t="s">
        <v>192</v>
      </c>
      <c r="D102" t="s">
        <v>3629</v>
      </c>
      <c r="E102" t="s">
        <v>2091</v>
      </c>
      <c r="F102" t="s">
        <v>2092</v>
      </c>
      <c r="G102" t="s">
        <v>2093</v>
      </c>
      <c r="H102" t="s">
        <v>2093</v>
      </c>
      <c r="I102" t="s">
        <v>2094</v>
      </c>
      <c r="J102" s="5" t="str" cm="1">
        <f t="array" ref="J102">IF(SUM(COUNTIF(Text_Preprocessing__2245[[#This Row],[full_text]],{"*makan siang gratis*";"*MBG*";"*makan gratis*";"*makan bergizi gratis*";"*makangratis*";"*makanan gratis*"})),"Relevan","Tidak Relevan")</f>
        <v>Relevan</v>
      </c>
    </row>
    <row r="103" spans="1:10" x14ac:dyDescent="0.35">
      <c r="A103">
        <f t="shared" si="1"/>
        <v>102</v>
      </c>
      <c r="B103" t="s">
        <v>2095</v>
      </c>
      <c r="C103" t="s">
        <v>93</v>
      </c>
      <c r="D103" t="s">
        <v>3634</v>
      </c>
      <c r="E103" t="s">
        <v>2096</v>
      </c>
      <c r="F103" t="s">
        <v>1730</v>
      </c>
      <c r="G103" t="s">
        <v>2097</v>
      </c>
      <c r="H103" t="s">
        <v>2097</v>
      </c>
      <c r="I103" t="s">
        <v>2098</v>
      </c>
      <c r="J103" s="5" t="str" cm="1">
        <f t="array" ref="J103">IF(SUM(COUNTIF(Text_Preprocessing__2245[[#This Row],[full_text]],{"*makan siang gratis*";"*MBG*";"*makan gratis*";"*makan bergizi gratis*";"*makangratis*";"*makanan gratis*"})),"Relevan","Tidak Relevan")</f>
        <v>Relevan</v>
      </c>
    </row>
    <row r="104" spans="1:10" x14ac:dyDescent="0.35">
      <c r="A104">
        <f t="shared" si="1"/>
        <v>103</v>
      </c>
      <c r="B104" t="s">
        <v>2099</v>
      </c>
      <c r="C104" t="s">
        <v>174</v>
      </c>
      <c r="D104" t="s">
        <v>3634</v>
      </c>
      <c r="E104" t="s">
        <v>2100</v>
      </c>
      <c r="F104" t="s">
        <v>1629</v>
      </c>
      <c r="G104" t="s">
        <v>2101</v>
      </c>
      <c r="H104" t="s">
        <v>2101</v>
      </c>
      <c r="I104" t="s">
        <v>2102</v>
      </c>
      <c r="J104" s="5" t="str" cm="1">
        <f t="array" ref="J104">IF(SUM(COUNTIF(Text_Preprocessing__2245[[#This Row],[full_text]],{"*makan siang gratis*";"*MBG*";"*makan gratis*";"*makan bergizi gratis*";"*makangratis*";"*makanan gratis*"})),"Relevan","Tidak Relevan")</f>
        <v>Relevan</v>
      </c>
    </row>
    <row r="105" spans="1:10" x14ac:dyDescent="0.35">
      <c r="A105">
        <f t="shared" si="1"/>
        <v>104</v>
      </c>
      <c r="B105" t="s">
        <v>2103</v>
      </c>
      <c r="C105" t="s">
        <v>196</v>
      </c>
      <c r="D105" t="s">
        <v>3628</v>
      </c>
      <c r="E105" t="s">
        <v>2104</v>
      </c>
      <c r="F105" t="s">
        <v>1735</v>
      </c>
      <c r="G105" t="s">
        <v>2105</v>
      </c>
      <c r="H105" t="s">
        <v>2105</v>
      </c>
      <c r="I105" t="s">
        <v>2106</v>
      </c>
      <c r="J105" s="5" t="str" cm="1">
        <f t="array" ref="J105">IF(SUM(COUNTIF(Text_Preprocessing__2245[[#This Row],[full_text]],{"*makan siang gratis*";"*MBG*";"*makan gratis*";"*makan bergizi gratis*";"*makangratis*";"*makanan gratis*"})),"Relevan","Tidak Relevan")</f>
        <v>Relevan</v>
      </c>
    </row>
    <row r="106" spans="1:10" x14ac:dyDescent="0.35">
      <c r="A106">
        <f t="shared" si="1"/>
        <v>105</v>
      </c>
      <c r="B106" t="s">
        <v>2107</v>
      </c>
      <c r="C106" t="s">
        <v>137</v>
      </c>
      <c r="D106" t="s">
        <v>3634</v>
      </c>
      <c r="E106" t="s">
        <v>2108</v>
      </c>
      <c r="F106" t="s">
        <v>2109</v>
      </c>
      <c r="G106" t="s">
        <v>2110</v>
      </c>
      <c r="H106" t="s">
        <v>2110</v>
      </c>
      <c r="I106" t="s">
        <v>2111</v>
      </c>
      <c r="J106" s="5" t="str" cm="1">
        <f t="array" ref="J106">IF(SUM(COUNTIF(Text_Preprocessing__2245[[#This Row],[full_text]],{"*makan siang gratis*";"*MBG*";"*makan gratis*";"*makan bergizi gratis*";"*makangratis*";"*makanan gratis*"})),"Relevan","Tidak Relevan")</f>
        <v>Relevan</v>
      </c>
    </row>
    <row r="107" spans="1:10" x14ac:dyDescent="0.35">
      <c r="A107">
        <f t="shared" si="1"/>
        <v>106</v>
      </c>
      <c r="B107" t="s">
        <v>2112</v>
      </c>
      <c r="C107" t="s">
        <v>137</v>
      </c>
      <c r="D107" t="s">
        <v>3634</v>
      </c>
      <c r="E107" t="s">
        <v>2113</v>
      </c>
      <c r="F107" t="s">
        <v>2114</v>
      </c>
      <c r="G107" t="s">
        <v>2115</v>
      </c>
      <c r="H107" t="s">
        <v>2115</v>
      </c>
      <c r="I107" t="s">
        <v>2116</v>
      </c>
      <c r="J107" s="5" t="str" cm="1">
        <f t="array" ref="J107">IF(SUM(COUNTIF(Text_Preprocessing__2245[[#This Row],[full_text]],{"*makan siang gratis*";"*MBG*";"*makan gratis*";"*makan bergizi gratis*";"*makangratis*";"*makanan gratis*"})),"Relevan","Tidak Relevan")</f>
        <v>Relevan</v>
      </c>
    </row>
    <row r="108" spans="1:10" x14ac:dyDescent="0.35">
      <c r="A108">
        <f t="shared" si="1"/>
        <v>107</v>
      </c>
      <c r="B108" t="s">
        <v>2117</v>
      </c>
      <c r="C108" t="s">
        <v>200</v>
      </c>
      <c r="D108" t="s">
        <v>3632</v>
      </c>
      <c r="E108" t="s">
        <v>2118</v>
      </c>
      <c r="F108" t="s">
        <v>1724</v>
      </c>
      <c r="G108" t="s">
        <v>2119</v>
      </c>
      <c r="H108" t="s">
        <v>2119</v>
      </c>
      <c r="I108" t="s">
        <v>2120</v>
      </c>
      <c r="J108" s="5" t="str" cm="1">
        <f t="array" ref="J108">IF(SUM(COUNTIF(Text_Preprocessing__2245[[#This Row],[full_text]],{"*makan siang gratis*";"*MBG*";"*makan gratis*";"*makan bergizi gratis*";"*makangratis*";"*makanan gratis*"})),"Relevan","Tidak Relevan")</f>
        <v>Relevan</v>
      </c>
    </row>
    <row r="109" spans="1:10" x14ac:dyDescent="0.35">
      <c r="A109">
        <f t="shared" si="1"/>
        <v>108</v>
      </c>
      <c r="B109" t="s">
        <v>2121</v>
      </c>
      <c r="C109" t="s">
        <v>202</v>
      </c>
      <c r="D109" t="s">
        <v>3629</v>
      </c>
      <c r="E109" t="s">
        <v>2122</v>
      </c>
      <c r="F109" t="s">
        <v>1596</v>
      </c>
      <c r="G109" t="s">
        <v>2123</v>
      </c>
      <c r="H109" t="s">
        <v>2123</v>
      </c>
      <c r="I109" t="s">
        <v>2124</v>
      </c>
      <c r="J109" s="5" t="str" cm="1">
        <f t="array" ref="J109">IF(SUM(COUNTIF(Text_Preprocessing__2245[[#This Row],[full_text]],{"*makan siang gratis*";"*MBG*";"*makan gratis*";"*makan bergizi gratis*";"*makangratis*";"*makanan gratis*"})),"Relevan","Tidak Relevan")</f>
        <v>Relevan</v>
      </c>
    </row>
    <row r="110" spans="1:10" x14ac:dyDescent="0.35">
      <c r="A110">
        <f t="shared" si="1"/>
        <v>109</v>
      </c>
      <c r="B110" t="s">
        <v>2125</v>
      </c>
      <c r="C110" t="s">
        <v>202</v>
      </c>
      <c r="D110" t="s">
        <v>3629</v>
      </c>
      <c r="E110" t="s">
        <v>2126</v>
      </c>
      <c r="F110" t="s">
        <v>1888</v>
      </c>
      <c r="G110" t="s">
        <v>2126</v>
      </c>
      <c r="H110" t="s">
        <v>2126</v>
      </c>
      <c r="I110" t="s">
        <v>2127</v>
      </c>
      <c r="J110" s="5" t="str" cm="1">
        <f t="array" ref="J110">IF(SUM(COUNTIF(Text_Preprocessing__2245[[#This Row],[full_text]],{"*makan siang gratis*";"*MBG*";"*makan gratis*";"*makan bergizi gratis*";"*makangratis*";"*makanan gratis*"})),"Relevan","Tidak Relevan")</f>
        <v>Relevan</v>
      </c>
    </row>
    <row r="111" spans="1:10" x14ac:dyDescent="0.35">
      <c r="A111">
        <f t="shared" si="1"/>
        <v>110</v>
      </c>
      <c r="B111" t="s">
        <v>2128</v>
      </c>
      <c r="C111" t="s">
        <v>205</v>
      </c>
      <c r="D111" t="s">
        <v>3629</v>
      </c>
      <c r="E111" t="s">
        <v>2129</v>
      </c>
      <c r="F111" t="s">
        <v>1730</v>
      </c>
      <c r="G111" t="s">
        <v>2130</v>
      </c>
      <c r="H111" t="s">
        <v>2130</v>
      </c>
      <c r="I111" t="s">
        <v>2131</v>
      </c>
      <c r="J111" s="5" t="str" cm="1">
        <f t="array" ref="J111">IF(SUM(COUNTIF(Text_Preprocessing__2245[[#This Row],[full_text]],{"*makan siang gratis*";"*MBG*";"*makan gratis*";"*makan bergizi gratis*";"*makangratis*";"*makanan gratis*"})),"Relevan","Tidak Relevan")</f>
        <v>Relevan</v>
      </c>
    </row>
    <row r="112" spans="1:10" x14ac:dyDescent="0.35">
      <c r="A112">
        <f t="shared" si="1"/>
        <v>111</v>
      </c>
      <c r="B112" t="s">
        <v>2132</v>
      </c>
      <c r="C112" t="s">
        <v>207</v>
      </c>
      <c r="D112" t="s">
        <v>3634</v>
      </c>
      <c r="E112" t="s">
        <v>2133</v>
      </c>
      <c r="F112" t="s">
        <v>2134</v>
      </c>
      <c r="G112" t="s">
        <v>2135</v>
      </c>
      <c r="H112" t="s">
        <v>2135</v>
      </c>
      <c r="I112" t="s">
        <v>2136</v>
      </c>
      <c r="J112" s="5" t="str" cm="1">
        <f t="array" ref="J112">IF(SUM(COUNTIF(Text_Preprocessing__2245[[#This Row],[full_text]],{"*makan siang gratis*";"*MBG*";"*makan gratis*";"*makan bergizi gratis*";"*makangratis*";"*makanan gratis*"})),"Relevan","Tidak Relevan")</f>
        <v>Relevan</v>
      </c>
    </row>
    <row r="113" spans="1:10" x14ac:dyDescent="0.35">
      <c r="A113">
        <f t="shared" si="1"/>
        <v>112</v>
      </c>
      <c r="B113" t="s">
        <v>2137</v>
      </c>
      <c r="C113" t="s">
        <v>209</v>
      </c>
      <c r="D113" t="s">
        <v>3634</v>
      </c>
      <c r="E113" t="s">
        <v>2138</v>
      </c>
      <c r="F113" t="s">
        <v>1844</v>
      </c>
      <c r="G113" t="s">
        <v>2139</v>
      </c>
      <c r="H113" t="s">
        <v>2139</v>
      </c>
      <c r="I113" t="s">
        <v>2140</v>
      </c>
      <c r="J113" s="5" t="str" cm="1">
        <f t="array" ref="J113">IF(SUM(COUNTIF(Text_Preprocessing__2245[[#This Row],[full_text]],{"*makan siang gratis*";"*MBG*";"*makan gratis*";"*makan bergizi gratis*";"*makangratis*";"*makanan gratis*"})),"Relevan","Tidak Relevan")</f>
        <v>Relevan</v>
      </c>
    </row>
    <row r="114" spans="1:10" x14ac:dyDescent="0.35">
      <c r="A114">
        <f t="shared" si="1"/>
        <v>113</v>
      </c>
      <c r="B114" t="s">
        <v>2141</v>
      </c>
      <c r="C114" t="s">
        <v>211</v>
      </c>
      <c r="D114" t="s">
        <v>3628</v>
      </c>
      <c r="E114" t="s">
        <v>2142</v>
      </c>
      <c r="F114" t="s">
        <v>2143</v>
      </c>
      <c r="G114" t="s">
        <v>2144</v>
      </c>
      <c r="H114" t="s">
        <v>2145</v>
      </c>
      <c r="I114" t="s">
        <v>2146</v>
      </c>
      <c r="J114" s="5" t="str" cm="1">
        <f t="array" ref="J114">IF(SUM(COUNTIF(Text_Preprocessing__2245[[#This Row],[full_text]],{"*makan siang gratis*";"*MBG*";"*makan gratis*";"*makan bergizi gratis*";"*makangratis*";"*makanan gratis*"})),"Relevan","Tidak Relevan")</f>
        <v>Relevan</v>
      </c>
    </row>
    <row r="115" spans="1:10" x14ac:dyDescent="0.35">
      <c r="A115">
        <f t="shared" si="1"/>
        <v>114</v>
      </c>
      <c r="B115" t="s">
        <v>2147</v>
      </c>
      <c r="C115" t="s">
        <v>213</v>
      </c>
      <c r="D115" t="s">
        <v>3628</v>
      </c>
      <c r="E115" t="s">
        <v>2148</v>
      </c>
      <c r="F115" t="s">
        <v>2149</v>
      </c>
      <c r="G115" t="s">
        <v>2150</v>
      </c>
      <c r="H115" t="s">
        <v>2150</v>
      </c>
      <c r="I115" t="s">
        <v>2151</v>
      </c>
      <c r="J115" s="5" t="str" cm="1">
        <f t="array" ref="J115">IF(SUM(COUNTIF(Text_Preprocessing__2245[[#This Row],[full_text]],{"*makan siang gratis*";"*MBG*";"*makan gratis*";"*makan bergizi gratis*";"*makangratis*";"*makanan gratis*"})),"Relevan","Tidak Relevan")</f>
        <v>Relevan</v>
      </c>
    </row>
    <row r="116" spans="1:10" x14ac:dyDescent="0.35">
      <c r="A116">
        <f t="shared" si="1"/>
        <v>115</v>
      </c>
      <c r="B116" t="s">
        <v>2152</v>
      </c>
      <c r="C116" t="s">
        <v>215</v>
      </c>
      <c r="D116" t="s">
        <v>3628</v>
      </c>
      <c r="E116" t="s">
        <v>2153</v>
      </c>
      <c r="F116" t="s">
        <v>2154</v>
      </c>
      <c r="G116" t="s">
        <v>2155</v>
      </c>
      <c r="H116" t="s">
        <v>2155</v>
      </c>
      <c r="I116" t="s">
        <v>2156</v>
      </c>
      <c r="J116" s="5" t="str" cm="1">
        <f t="array" ref="J116">IF(SUM(COUNTIF(Text_Preprocessing__2245[[#This Row],[full_text]],{"*makan siang gratis*";"*MBG*";"*makan gratis*";"*makan bergizi gratis*";"*makangratis*";"*makanan gratis*"})),"Relevan","Tidak Relevan")</f>
        <v>Relevan</v>
      </c>
    </row>
    <row r="117" spans="1:10" x14ac:dyDescent="0.35">
      <c r="A117">
        <f t="shared" si="1"/>
        <v>116</v>
      </c>
      <c r="B117" t="s">
        <v>2157</v>
      </c>
      <c r="C117" t="s">
        <v>217</v>
      </c>
      <c r="D117" t="s">
        <v>3634</v>
      </c>
      <c r="E117" t="s">
        <v>2158</v>
      </c>
      <c r="F117" t="s">
        <v>2159</v>
      </c>
      <c r="G117" t="s">
        <v>2160</v>
      </c>
      <c r="H117" t="s">
        <v>2160</v>
      </c>
      <c r="I117" t="s">
        <v>2161</v>
      </c>
      <c r="J117" s="5" t="str" cm="1">
        <f t="array" ref="J117">IF(SUM(COUNTIF(Text_Preprocessing__2245[[#This Row],[full_text]],{"*makan siang gratis*";"*MBG*";"*makan gratis*";"*makan bergizi gratis*";"*makangratis*";"*makanan gratis*"})),"Relevan","Tidak Relevan")</f>
        <v>Relevan</v>
      </c>
    </row>
    <row r="118" spans="1:10" x14ac:dyDescent="0.35">
      <c r="A118">
        <f t="shared" si="1"/>
        <v>117</v>
      </c>
      <c r="B118" t="s">
        <v>2162</v>
      </c>
      <c r="C118" t="s">
        <v>219</v>
      </c>
      <c r="D118" t="s">
        <v>3628</v>
      </c>
      <c r="E118" t="s">
        <v>2163</v>
      </c>
      <c r="F118" t="s">
        <v>2164</v>
      </c>
      <c r="G118" t="s">
        <v>2165</v>
      </c>
      <c r="H118" t="s">
        <v>2165</v>
      </c>
      <c r="I118" t="s">
        <v>2166</v>
      </c>
      <c r="J118" s="5" t="str" cm="1">
        <f t="array" ref="J118">IF(SUM(COUNTIF(Text_Preprocessing__2245[[#This Row],[full_text]],{"*makan siang gratis*";"*MBG*";"*makan gratis*";"*makan bergizi gratis*";"*makangratis*";"*makanan gratis*"})),"Relevan","Tidak Relevan")</f>
        <v>Relevan</v>
      </c>
    </row>
    <row r="119" spans="1:10" x14ac:dyDescent="0.35">
      <c r="A119">
        <f t="shared" si="1"/>
        <v>118</v>
      </c>
      <c r="B119" t="s">
        <v>2167</v>
      </c>
      <c r="C119" t="s">
        <v>221</v>
      </c>
      <c r="D119" t="s">
        <v>3634</v>
      </c>
      <c r="E119" t="s">
        <v>2168</v>
      </c>
      <c r="F119" t="s">
        <v>1804</v>
      </c>
      <c r="G119" t="s">
        <v>2169</v>
      </c>
      <c r="H119" t="s">
        <v>2169</v>
      </c>
      <c r="I119" t="s">
        <v>2170</v>
      </c>
      <c r="J119" s="5" t="str" cm="1">
        <f t="array" ref="J119">IF(SUM(COUNTIF(Text_Preprocessing__2245[[#This Row],[full_text]],{"*makan siang gratis*";"*MBG*";"*makan gratis*";"*makan bergizi gratis*";"*makangratis*";"*makanan gratis*"})),"Relevan","Tidak Relevan")</f>
        <v>Relevan</v>
      </c>
    </row>
    <row r="120" spans="1:10" x14ac:dyDescent="0.35">
      <c r="A120">
        <f t="shared" si="1"/>
        <v>119</v>
      </c>
      <c r="B120" t="s">
        <v>2171</v>
      </c>
      <c r="C120" t="s">
        <v>223</v>
      </c>
      <c r="D120" t="s">
        <v>3628</v>
      </c>
      <c r="E120" t="s">
        <v>2172</v>
      </c>
      <c r="F120" t="s">
        <v>2109</v>
      </c>
      <c r="G120" t="s">
        <v>2173</v>
      </c>
      <c r="H120" t="s">
        <v>2173</v>
      </c>
      <c r="I120" t="s">
        <v>2174</v>
      </c>
      <c r="J120" s="5" t="str" cm="1">
        <f t="array" ref="J120">IF(SUM(COUNTIF(Text_Preprocessing__2245[[#This Row],[full_text]],{"*makan siang gratis*";"*MBG*";"*makan gratis*";"*makan bergizi gratis*";"*makangratis*";"*makanan gratis*"})),"Relevan","Tidak Relevan")</f>
        <v>Relevan</v>
      </c>
    </row>
    <row r="121" spans="1:10" x14ac:dyDescent="0.35">
      <c r="A121">
        <f t="shared" si="1"/>
        <v>120</v>
      </c>
      <c r="B121" t="s">
        <v>2175</v>
      </c>
      <c r="C121" t="s">
        <v>225</v>
      </c>
      <c r="D121" t="s">
        <v>3628</v>
      </c>
      <c r="E121" t="s">
        <v>2176</v>
      </c>
      <c r="F121" t="s">
        <v>2177</v>
      </c>
      <c r="G121" t="s">
        <v>2178</v>
      </c>
      <c r="H121" t="s">
        <v>2178</v>
      </c>
      <c r="I121" t="s">
        <v>2179</v>
      </c>
      <c r="J121" s="5" t="str" cm="1">
        <f t="array" ref="J121">IF(SUM(COUNTIF(Text_Preprocessing__2245[[#This Row],[full_text]],{"*makan siang gratis*";"*MBG*";"*makan gratis*";"*makan bergizi gratis*";"*makangratis*";"*makanan gratis*"})),"Relevan","Tidak Relevan")</f>
        <v>Relevan</v>
      </c>
    </row>
    <row r="122" spans="1:10" x14ac:dyDescent="0.35">
      <c r="A122">
        <f t="shared" si="1"/>
        <v>121</v>
      </c>
      <c r="B122" t="s">
        <v>2180</v>
      </c>
      <c r="C122" t="s">
        <v>227</v>
      </c>
      <c r="D122" t="s">
        <v>3628</v>
      </c>
      <c r="E122" t="s">
        <v>2181</v>
      </c>
      <c r="F122" t="s">
        <v>1804</v>
      </c>
      <c r="G122" t="s">
        <v>2182</v>
      </c>
      <c r="H122" t="s">
        <v>2182</v>
      </c>
      <c r="I122" t="s">
        <v>2183</v>
      </c>
      <c r="J122" s="5" t="str" cm="1">
        <f t="array" ref="J122">IF(SUM(COUNTIF(Text_Preprocessing__2245[[#This Row],[full_text]],{"*makan siang gratis*";"*MBG*";"*makan gratis*";"*makan bergizi gratis*";"*makangratis*";"*makanan gratis*"})),"Relevan","Tidak Relevan")</f>
        <v>Relevan</v>
      </c>
    </row>
    <row r="123" spans="1:10" x14ac:dyDescent="0.35">
      <c r="A123">
        <f t="shared" si="1"/>
        <v>122</v>
      </c>
      <c r="B123" t="s">
        <v>2184</v>
      </c>
      <c r="C123" t="s">
        <v>229</v>
      </c>
      <c r="D123" t="s">
        <v>3628</v>
      </c>
      <c r="E123" t="s">
        <v>2185</v>
      </c>
      <c r="F123" t="s">
        <v>2186</v>
      </c>
      <c r="G123" t="s">
        <v>2187</v>
      </c>
      <c r="H123" t="s">
        <v>2187</v>
      </c>
      <c r="I123" t="s">
        <v>2188</v>
      </c>
      <c r="J123" s="5" t="str" cm="1">
        <f t="array" ref="J123">IF(SUM(COUNTIF(Text_Preprocessing__2245[[#This Row],[full_text]],{"*makan siang gratis*";"*MBG*";"*makan gratis*";"*makan bergizi gratis*";"*makangratis*";"*makanan gratis*"})),"Relevan","Tidak Relevan")</f>
        <v>Relevan</v>
      </c>
    </row>
    <row r="124" spans="1:10" x14ac:dyDescent="0.35">
      <c r="A124">
        <f t="shared" si="1"/>
        <v>123</v>
      </c>
      <c r="B124" t="s">
        <v>2189</v>
      </c>
      <c r="C124" t="s">
        <v>231</v>
      </c>
      <c r="D124" t="s">
        <v>3632</v>
      </c>
      <c r="E124" t="s">
        <v>2190</v>
      </c>
      <c r="F124" t="s">
        <v>2191</v>
      </c>
      <c r="G124" t="s">
        <v>2192</v>
      </c>
      <c r="H124" t="s">
        <v>2192</v>
      </c>
      <c r="I124" t="s">
        <v>2193</v>
      </c>
      <c r="J124" s="5" t="str" cm="1">
        <f t="array" ref="J124">IF(SUM(COUNTIF(Text_Preprocessing__2245[[#This Row],[full_text]],{"*makan siang gratis*";"*MBG*";"*makan gratis*";"*makan bergizi gratis*";"*makangratis*";"*makanan gratis*"})),"Relevan","Tidak Relevan")</f>
        <v>Relevan</v>
      </c>
    </row>
    <row r="125" spans="1:10" x14ac:dyDescent="0.35">
      <c r="A125">
        <f t="shared" si="1"/>
        <v>124</v>
      </c>
      <c r="B125" t="s">
        <v>2194</v>
      </c>
      <c r="C125" t="s">
        <v>233</v>
      </c>
      <c r="D125" t="s">
        <v>3628</v>
      </c>
      <c r="E125" t="s">
        <v>2195</v>
      </c>
      <c r="F125" t="s">
        <v>2196</v>
      </c>
      <c r="G125" t="s">
        <v>2197</v>
      </c>
      <c r="H125" t="s">
        <v>2197</v>
      </c>
      <c r="I125" t="s">
        <v>2198</v>
      </c>
      <c r="J125" s="5" t="str" cm="1">
        <f t="array" ref="J125">IF(SUM(COUNTIF(Text_Preprocessing__2245[[#This Row],[full_text]],{"*makan siang gratis*";"*MBG*";"*makan gratis*";"*makan bergizi gratis*";"*makangratis*";"*makanan gratis*"})),"Relevan","Tidak Relevan")</f>
        <v>Relevan</v>
      </c>
    </row>
    <row r="126" spans="1:10" x14ac:dyDescent="0.35">
      <c r="A126">
        <f t="shared" si="1"/>
        <v>125</v>
      </c>
      <c r="B126" t="s">
        <v>2199</v>
      </c>
      <c r="C126" t="s">
        <v>235</v>
      </c>
      <c r="D126" t="s">
        <v>3628</v>
      </c>
      <c r="E126" t="s">
        <v>2200</v>
      </c>
      <c r="F126" t="s">
        <v>1692</v>
      </c>
      <c r="G126" t="s">
        <v>2201</v>
      </c>
      <c r="H126" t="s">
        <v>2201</v>
      </c>
      <c r="I126" t="s">
        <v>2202</v>
      </c>
      <c r="J126" s="5" t="str" cm="1">
        <f t="array" ref="J126">IF(SUM(COUNTIF(Text_Preprocessing__2245[[#This Row],[full_text]],{"*makan siang gratis*";"*MBG*";"*makan gratis*";"*makan bergizi gratis*";"*makangratis*";"*makanan gratis*"})),"Relevan","Tidak Relevan")</f>
        <v>Relevan</v>
      </c>
    </row>
    <row r="127" spans="1:10" x14ac:dyDescent="0.35">
      <c r="A127">
        <f t="shared" si="1"/>
        <v>126</v>
      </c>
      <c r="B127" t="s">
        <v>2203</v>
      </c>
      <c r="C127" t="s">
        <v>237</v>
      </c>
      <c r="D127" t="s">
        <v>3632</v>
      </c>
      <c r="E127" t="s">
        <v>2204</v>
      </c>
      <c r="F127" t="s">
        <v>2205</v>
      </c>
      <c r="G127" t="s">
        <v>2206</v>
      </c>
      <c r="H127" t="s">
        <v>2206</v>
      </c>
      <c r="I127" t="s">
        <v>2207</v>
      </c>
      <c r="J127" s="5" t="str" cm="1">
        <f t="array" ref="J127">IF(SUM(COUNTIF(Text_Preprocessing__2245[[#This Row],[full_text]],{"*makan siang gratis*";"*MBG*";"*makan gratis*";"*makan bergizi gratis*";"*makangratis*";"*makanan gratis*"})),"Relevan","Tidak Relevan")</f>
        <v>Relevan</v>
      </c>
    </row>
    <row r="128" spans="1:10" x14ac:dyDescent="0.35">
      <c r="A128">
        <f t="shared" si="1"/>
        <v>127</v>
      </c>
      <c r="B128" t="s">
        <v>2208</v>
      </c>
      <c r="C128" t="s">
        <v>4</v>
      </c>
      <c r="D128" t="s">
        <v>3628</v>
      </c>
      <c r="E128" t="s">
        <v>2209</v>
      </c>
      <c r="F128" t="s">
        <v>2210</v>
      </c>
      <c r="G128" t="s">
        <v>2211</v>
      </c>
      <c r="H128" t="s">
        <v>2211</v>
      </c>
      <c r="I128" t="s">
        <v>2212</v>
      </c>
      <c r="J128" s="5" t="str" cm="1">
        <f t="array" ref="J128">IF(SUM(COUNTIF(Text_Preprocessing__2245[[#This Row],[full_text]],{"*makan siang gratis*";"*MBG*";"*makan gratis*";"*makan bergizi gratis*";"*makangratis*";"*makanan gratis*"})),"Relevan","Tidak Relevan")</f>
        <v>Relevan</v>
      </c>
    </row>
    <row r="129" spans="1:10" x14ac:dyDescent="0.35">
      <c r="A129">
        <f t="shared" si="1"/>
        <v>128</v>
      </c>
      <c r="B129" t="s">
        <v>2213</v>
      </c>
      <c r="C129" t="s">
        <v>242</v>
      </c>
      <c r="D129" t="s">
        <v>3628</v>
      </c>
      <c r="E129" t="s">
        <v>2214</v>
      </c>
      <c r="F129" t="s">
        <v>2215</v>
      </c>
      <c r="G129" t="s">
        <v>2216</v>
      </c>
      <c r="H129" t="s">
        <v>2216</v>
      </c>
      <c r="I129" t="s">
        <v>2217</v>
      </c>
      <c r="J129" s="5" t="str" cm="1">
        <f t="array" ref="J129">IF(SUM(COUNTIF(Text_Preprocessing__2245[[#This Row],[full_text]],{"*makan siang gratis*";"*MBG*";"*makan gratis*";"*makan bergizi gratis*";"*makangratis*";"*makanan gratis*"})),"Relevan","Tidak Relevan")</f>
        <v>Relevan</v>
      </c>
    </row>
    <row r="130" spans="1:10" x14ac:dyDescent="0.35">
      <c r="A130">
        <f t="shared" si="1"/>
        <v>129</v>
      </c>
      <c r="B130" t="s">
        <v>2218</v>
      </c>
      <c r="C130" t="s">
        <v>244</v>
      </c>
      <c r="D130" t="s">
        <v>3628</v>
      </c>
      <c r="E130" t="s">
        <v>2219</v>
      </c>
      <c r="F130" t="s">
        <v>1624</v>
      </c>
      <c r="G130" t="s">
        <v>2220</v>
      </c>
      <c r="H130" t="s">
        <v>2220</v>
      </c>
      <c r="I130" t="s">
        <v>2221</v>
      </c>
      <c r="J130" s="5" t="str" cm="1">
        <f t="array" ref="J130">IF(SUM(COUNTIF(Text_Preprocessing__2245[[#This Row],[full_text]],{"*makan siang gratis*";"*MBG*";"*makan gratis*";"*makan bergizi gratis*";"*makangratis*";"*makanan gratis*"})),"Relevan","Tidak Relevan")</f>
        <v>Relevan</v>
      </c>
    </row>
    <row r="131" spans="1:10" x14ac:dyDescent="0.35">
      <c r="A131">
        <f t="shared" si="1"/>
        <v>130</v>
      </c>
      <c r="B131" t="s">
        <v>2222</v>
      </c>
      <c r="C131" t="s">
        <v>246</v>
      </c>
      <c r="D131" t="s">
        <v>3628</v>
      </c>
      <c r="E131" t="s">
        <v>2223</v>
      </c>
      <c r="F131" t="s">
        <v>2154</v>
      </c>
      <c r="G131" t="s">
        <v>2224</v>
      </c>
      <c r="H131" t="s">
        <v>2225</v>
      </c>
      <c r="I131" t="s">
        <v>2226</v>
      </c>
      <c r="J131" s="5" t="str" cm="1">
        <f t="array" ref="J131">IF(SUM(COUNTIF(Text_Preprocessing__2245[[#This Row],[full_text]],{"*makan siang gratis*";"*MBG*";"*makan gratis*";"*makan bergizi gratis*";"*makangratis*";"*makanan gratis*"})),"Relevan","Tidak Relevan")</f>
        <v>Relevan</v>
      </c>
    </row>
    <row r="132" spans="1:10" x14ac:dyDescent="0.35">
      <c r="A132">
        <f t="shared" ref="A132:A195" si="2">SUM(A131+1)</f>
        <v>131</v>
      </c>
      <c r="B132" t="s">
        <v>2227</v>
      </c>
      <c r="C132" t="s">
        <v>137</v>
      </c>
      <c r="D132" t="s">
        <v>3634</v>
      </c>
      <c r="E132" t="s">
        <v>2228</v>
      </c>
      <c r="F132" t="s">
        <v>2229</v>
      </c>
      <c r="G132" t="s">
        <v>2230</v>
      </c>
      <c r="H132" t="s">
        <v>2230</v>
      </c>
      <c r="I132" t="s">
        <v>2231</v>
      </c>
      <c r="J132" s="5" t="str" cm="1">
        <f t="array" ref="J132">IF(SUM(COUNTIF(Text_Preprocessing__2245[[#This Row],[full_text]],{"*makan siang gratis*";"*MBG*";"*makan gratis*";"*makan bergizi gratis*";"*makangratis*";"*makanan gratis*"})),"Relevan","Tidak Relevan")</f>
        <v>Relevan</v>
      </c>
    </row>
    <row r="133" spans="1:10" x14ac:dyDescent="0.35">
      <c r="A133">
        <f t="shared" si="2"/>
        <v>132</v>
      </c>
      <c r="B133" t="s">
        <v>2232</v>
      </c>
      <c r="C133" t="s">
        <v>249</v>
      </c>
      <c r="D133" t="s">
        <v>3628</v>
      </c>
      <c r="E133" t="s">
        <v>2233</v>
      </c>
      <c r="F133" t="s">
        <v>2234</v>
      </c>
      <c r="G133" t="s">
        <v>2235</v>
      </c>
      <c r="H133" t="s">
        <v>2235</v>
      </c>
      <c r="I133" t="s">
        <v>2236</v>
      </c>
      <c r="J133" s="5" t="str" cm="1">
        <f t="array" ref="J133">IF(SUM(COUNTIF(Text_Preprocessing__2245[[#This Row],[full_text]],{"*makan siang gratis*";"*MBG*";"*makan gratis*";"*makan bergizi gratis*";"*makangratis*";"*makanan gratis*"})),"Relevan","Tidak Relevan")</f>
        <v>Relevan</v>
      </c>
    </row>
    <row r="134" spans="1:10" x14ac:dyDescent="0.35">
      <c r="A134">
        <f t="shared" si="2"/>
        <v>133</v>
      </c>
      <c r="B134" t="s">
        <v>2237</v>
      </c>
      <c r="C134" t="s">
        <v>251</v>
      </c>
      <c r="D134" t="s">
        <v>3628</v>
      </c>
      <c r="E134" t="s">
        <v>2238</v>
      </c>
      <c r="F134" t="s">
        <v>2082</v>
      </c>
      <c r="G134" t="s">
        <v>2239</v>
      </c>
      <c r="H134" t="s">
        <v>2240</v>
      </c>
      <c r="I134" t="s">
        <v>2241</v>
      </c>
      <c r="J134" s="5" t="str" cm="1">
        <f t="array" ref="J134">IF(SUM(COUNTIF(Text_Preprocessing__2245[[#This Row],[full_text]],{"*makan siang gratis*";"*MBG*";"*makan gratis*";"*makan bergizi gratis*";"*makangratis*";"*makanan gratis*"})),"Relevan","Tidak Relevan")</f>
        <v>Relevan</v>
      </c>
    </row>
    <row r="135" spans="1:10" x14ac:dyDescent="0.35">
      <c r="A135">
        <f t="shared" si="2"/>
        <v>134</v>
      </c>
      <c r="B135" t="s">
        <v>2242</v>
      </c>
      <c r="C135" t="s">
        <v>253</v>
      </c>
      <c r="D135" t="s">
        <v>3628</v>
      </c>
      <c r="E135" t="s">
        <v>2243</v>
      </c>
      <c r="F135" t="s">
        <v>2229</v>
      </c>
      <c r="G135" t="s">
        <v>2244</v>
      </c>
      <c r="H135" t="s">
        <v>2244</v>
      </c>
      <c r="I135" t="s">
        <v>2245</v>
      </c>
      <c r="J135" s="5" t="str" cm="1">
        <f t="array" ref="J135">IF(SUM(COUNTIF(Text_Preprocessing__2245[[#This Row],[full_text]],{"*makan siang gratis*";"*MBG*";"*makan gratis*";"*makan bergizi gratis*";"*makangratis*";"*makanan gratis*"})),"Relevan","Tidak Relevan")</f>
        <v>Relevan</v>
      </c>
    </row>
    <row r="136" spans="1:10" x14ac:dyDescent="0.35">
      <c r="A136">
        <f t="shared" si="2"/>
        <v>135</v>
      </c>
      <c r="B136" t="s">
        <v>2246</v>
      </c>
      <c r="C136" t="s">
        <v>255</v>
      </c>
      <c r="D136" t="s">
        <v>3628</v>
      </c>
      <c r="E136" t="s">
        <v>2247</v>
      </c>
      <c r="F136" t="s">
        <v>2248</v>
      </c>
      <c r="G136" t="s">
        <v>2249</v>
      </c>
      <c r="H136" t="s">
        <v>2249</v>
      </c>
      <c r="I136" t="s">
        <v>2250</v>
      </c>
      <c r="J136" s="5" t="str" cm="1">
        <f t="array" ref="J136">IF(SUM(COUNTIF(Text_Preprocessing__2245[[#This Row],[full_text]],{"*makan siang gratis*";"*MBG*";"*makan gratis*";"*makan bergizi gratis*";"*makangratis*";"*makanan gratis*"})),"Relevan","Tidak Relevan")</f>
        <v>Relevan</v>
      </c>
    </row>
    <row r="137" spans="1:10" x14ac:dyDescent="0.35">
      <c r="A137">
        <f t="shared" si="2"/>
        <v>136</v>
      </c>
      <c r="B137" t="s">
        <v>2251</v>
      </c>
      <c r="C137" t="s">
        <v>213</v>
      </c>
      <c r="D137" t="s">
        <v>3628</v>
      </c>
      <c r="E137" t="s">
        <v>2252</v>
      </c>
      <c r="F137" t="s">
        <v>2253</v>
      </c>
      <c r="G137" t="s">
        <v>2254</v>
      </c>
      <c r="H137" t="s">
        <v>2254</v>
      </c>
      <c r="I137" t="s">
        <v>2255</v>
      </c>
      <c r="J137" s="5" t="str" cm="1">
        <f t="array" ref="J137">IF(SUM(COUNTIF(Text_Preprocessing__2245[[#This Row],[full_text]],{"*makan siang gratis*";"*MBG*";"*makan gratis*";"*makan bergizi gratis*";"*makangratis*";"*makanan gratis*"})),"Relevan","Tidak Relevan")</f>
        <v>Relevan</v>
      </c>
    </row>
    <row r="138" spans="1:10" x14ac:dyDescent="0.35">
      <c r="A138">
        <f t="shared" si="2"/>
        <v>137</v>
      </c>
      <c r="B138" t="s">
        <v>2256</v>
      </c>
      <c r="C138" t="s">
        <v>213</v>
      </c>
      <c r="D138" t="s">
        <v>3628</v>
      </c>
      <c r="E138" t="s">
        <v>2257</v>
      </c>
      <c r="F138" t="s">
        <v>2258</v>
      </c>
      <c r="G138" t="s">
        <v>2259</v>
      </c>
      <c r="H138" t="s">
        <v>2259</v>
      </c>
      <c r="I138" t="s">
        <v>2260</v>
      </c>
      <c r="J138" s="5" t="str" cm="1">
        <f t="array" ref="J138">IF(SUM(COUNTIF(Text_Preprocessing__2245[[#This Row],[full_text]],{"*makan siang gratis*";"*MBG*";"*makan gratis*";"*makan bergizi gratis*";"*makangratis*";"*makanan gratis*"})),"Relevan","Tidak Relevan")</f>
        <v>Relevan</v>
      </c>
    </row>
    <row r="139" spans="1:10" x14ac:dyDescent="0.35">
      <c r="A139">
        <f t="shared" si="2"/>
        <v>138</v>
      </c>
      <c r="B139" t="s">
        <v>2261</v>
      </c>
      <c r="C139" t="s">
        <v>259</v>
      </c>
      <c r="D139" t="s">
        <v>3628</v>
      </c>
      <c r="E139" t="s">
        <v>2262</v>
      </c>
      <c r="F139" t="s">
        <v>2069</v>
      </c>
      <c r="G139" t="s">
        <v>2263</v>
      </c>
      <c r="H139" t="s">
        <v>2263</v>
      </c>
      <c r="I139" t="s">
        <v>2264</v>
      </c>
      <c r="J139" s="5" t="str" cm="1">
        <f t="array" ref="J139">IF(SUM(COUNTIF(Text_Preprocessing__2245[[#This Row],[full_text]],{"*makan siang gratis*";"*MBG*";"*makan gratis*";"*makan bergizi gratis*";"*makangratis*";"*makanan gratis*"})),"Relevan","Tidak Relevan")</f>
        <v>Relevan</v>
      </c>
    </row>
    <row r="140" spans="1:10" x14ac:dyDescent="0.35">
      <c r="A140">
        <f t="shared" si="2"/>
        <v>139</v>
      </c>
      <c r="B140" t="s">
        <v>2265</v>
      </c>
      <c r="C140" t="s">
        <v>261</v>
      </c>
      <c r="D140" t="s">
        <v>3628</v>
      </c>
      <c r="E140" t="s">
        <v>2266</v>
      </c>
      <c r="F140" t="s">
        <v>2267</v>
      </c>
      <c r="G140" t="s">
        <v>2268</v>
      </c>
      <c r="H140" t="s">
        <v>2268</v>
      </c>
      <c r="I140" t="s">
        <v>2269</v>
      </c>
      <c r="J140" s="5" t="str" cm="1">
        <f t="array" ref="J140">IF(SUM(COUNTIF(Text_Preprocessing__2245[[#This Row],[full_text]],{"*makan siang gratis*";"*MBG*";"*makan gratis*";"*makan bergizi gratis*";"*makangratis*";"*makanan gratis*"})),"Relevan","Tidak Relevan")</f>
        <v>Relevan</v>
      </c>
    </row>
    <row r="141" spans="1:10" x14ac:dyDescent="0.35">
      <c r="A141">
        <f t="shared" si="2"/>
        <v>140</v>
      </c>
      <c r="B141" t="s">
        <v>2270</v>
      </c>
      <c r="C141" t="s">
        <v>263</v>
      </c>
      <c r="D141" t="s">
        <v>3628</v>
      </c>
      <c r="E141" t="s">
        <v>2271</v>
      </c>
      <c r="F141" t="s">
        <v>2272</v>
      </c>
      <c r="G141" t="s">
        <v>2273</v>
      </c>
      <c r="H141" t="s">
        <v>2273</v>
      </c>
      <c r="I141" t="s">
        <v>2274</v>
      </c>
      <c r="J141" s="5" t="str" cm="1">
        <f t="array" ref="J141">IF(SUM(COUNTIF(Text_Preprocessing__2245[[#This Row],[full_text]],{"*makan siang gratis*";"*MBG*";"*makan gratis*";"*makan bergizi gratis*";"*makangratis*";"*makanan gratis*"})),"Relevan","Tidak Relevan")</f>
        <v>Relevan</v>
      </c>
    </row>
    <row r="142" spans="1:10" x14ac:dyDescent="0.35">
      <c r="A142">
        <f t="shared" si="2"/>
        <v>141</v>
      </c>
      <c r="B142" t="s">
        <v>2275</v>
      </c>
      <c r="C142" t="s">
        <v>265</v>
      </c>
      <c r="D142" t="s">
        <v>3634</v>
      </c>
      <c r="E142" t="s">
        <v>2276</v>
      </c>
      <c r="F142" t="s">
        <v>1596</v>
      </c>
      <c r="G142" t="s">
        <v>2277</v>
      </c>
      <c r="H142" t="s">
        <v>2277</v>
      </c>
      <c r="I142" t="s">
        <v>2278</v>
      </c>
      <c r="J142" s="5" t="str" cm="1">
        <f t="array" ref="J142">IF(SUM(COUNTIF(Text_Preprocessing__2245[[#This Row],[full_text]],{"*makan siang gratis*";"*MBG*";"*makan gratis*";"*makan bergizi gratis*";"*makangratis*";"*makanan gratis*"})),"Relevan","Tidak Relevan")</f>
        <v>Relevan</v>
      </c>
    </row>
    <row r="143" spans="1:10" x14ac:dyDescent="0.35">
      <c r="A143">
        <f t="shared" si="2"/>
        <v>142</v>
      </c>
      <c r="B143" t="s">
        <v>2279</v>
      </c>
      <c r="C143" t="s">
        <v>267</v>
      </c>
      <c r="D143" t="s">
        <v>3632</v>
      </c>
      <c r="E143" t="s">
        <v>2280</v>
      </c>
      <c r="F143" t="s">
        <v>1657</v>
      </c>
      <c r="G143" t="s">
        <v>2281</v>
      </c>
      <c r="H143" t="s">
        <v>2281</v>
      </c>
      <c r="I143" t="s">
        <v>2282</v>
      </c>
      <c r="J143" s="5" t="str" cm="1">
        <f t="array" ref="J143">IF(SUM(COUNTIF(Text_Preprocessing__2245[[#This Row],[full_text]],{"*makan siang gratis*";"*MBG*";"*makan gratis*";"*makan bergizi gratis*";"*makangratis*";"*makanan gratis*"})),"Relevan","Tidak Relevan")</f>
        <v>Relevan</v>
      </c>
    </row>
    <row r="144" spans="1:10" x14ac:dyDescent="0.35">
      <c r="A144">
        <f t="shared" si="2"/>
        <v>143</v>
      </c>
      <c r="B144" t="s">
        <v>2283</v>
      </c>
      <c r="C144" t="s">
        <v>269</v>
      </c>
      <c r="D144" t="s">
        <v>3628</v>
      </c>
      <c r="E144" t="s">
        <v>2284</v>
      </c>
      <c r="F144" t="s">
        <v>2285</v>
      </c>
      <c r="G144" t="s">
        <v>2286</v>
      </c>
      <c r="H144" t="s">
        <v>2286</v>
      </c>
      <c r="I144" t="s">
        <v>2287</v>
      </c>
      <c r="J144" s="5" t="str" cm="1">
        <f t="array" ref="J144">IF(SUM(COUNTIF(Text_Preprocessing__2245[[#This Row],[full_text]],{"*makan siang gratis*";"*MBG*";"*makan gratis*";"*makan bergizi gratis*";"*makangratis*";"*makanan gratis*"})),"Relevan","Tidak Relevan")</f>
        <v>Relevan</v>
      </c>
    </row>
    <row r="145" spans="1:10" x14ac:dyDescent="0.35">
      <c r="A145">
        <f t="shared" si="2"/>
        <v>144</v>
      </c>
      <c r="B145" t="s">
        <v>2288</v>
      </c>
      <c r="C145" t="s">
        <v>249</v>
      </c>
      <c r="D145" t="s">
        <v>3628</v>
      </c>
      <c r="E145" t="s">
        <v>2289</v>
      </c>
      <c r="F145" t="s">
        <v>2290</v>
      </c>
      <c r="G145" t="s">
        <v>2291</v>
      </c>
      <c r="H145" t="s">
        <v>2291</v>
      </c>
      <c r="I145" t="s">
        <v>2292</v>
      </c>
      <c r="J145" s="5" t="str" cm="1">
        <f t="array" ref="J145">IF(SUM(COUNTIF(Text_Preprocessing__2245[[#This Row],[full_text]],{"*makan siang gratis*";"*MBG*";"*makan gratis*";"*makan bergizi gratis*";"*makangratis*";"*makanan gratis*"})),"Relevan","Tidak Relevan")</f>
        <v>Relevan</v>
      </c>
    </row>
    <row r="146" spans="1:10" x14ac:dyDescent="0.35">
      <c r="A146">
        <f t="shared" si="2"/>
        <v>145</v>
      </c>
      <c r="B146" t="s">
        <v>2293</v>
      </c>
      <c r="C146" t="s">
        <v>272</v>
      </c>
      <c r="D146" t="s">
        <v>3634</v>
      </c>
      <c r="E146" t="s">
        <v>2294</v>
      </c>
      <c r="F146" t="s">
        <v>1596</v>
      </c>
      <c r="G146" t="s">
        <v>2295</v>
      </c>
      <c r="H146" t="s">
        <v>2295</v>
      </c>
      <c r="I146" t="s">
        <v>2296</v>
      </c>
      <c r="J146" s="5" t="str" cm="1">
        <f t="array" ref="J146">IF(SUM(COUNTIF(Text_Preprocessing__2245[[#This Row],[full_text]],{"*makan siang gratis*";"*MBG*";"*makan gratis*";"*makan bergizi gratis*";"*makangratis*";"*makanan gratis*"})),"Relevan","Tidak Relevan")</f>
        <v>Relevan</v>
      </c>
    </row>
    <row r="147" spans="1:10" x14ac:dyDescent="0.35">
      <c r="A147">
        <f t="shared" si="2"/>
        <v>146</v>
      </c>
      <c r="B147" t="s">
        <v>2297</v>
      </c>
      <c r="C147" t="s">
        <v>274</v>
      </c>
      <c r="D147" t="s">
        <v>3628</v>
      </c>
      <c r="E147" t="s">
        <v>2298</v>
      </c>
      <c r="F147" t="s">
        <v>2299</v>
      </c>
      <c r="G147" t="s">
        <v>2300</v>
      </c>
      <c r="H147" t="s">
        <v>2300</v>
      </c>
      <c r="I147" t="s">
        <v>2301</v>
      </c>
      <c r="J147" s="5" t="str" cm="1">
        <f t="array" ref="J147">IF(SUM(COUNTIF(Text_Preprocessing__2245[[#This Row],[full_text]],{"*makan siang gratis*";"*MBG*";"*makan gratis*";"*makan bergizi gratis*";"*makangratis*";"*makanan gratis*"})),"Relevan","Tidak Relevan")</f>
        <v>Relevan</v>
      </c>
    </row>
    <row r="148" spans="1:10" x14ac:dyDescent="0.35">
      <c r="A148">
        <f t="shared" si="2"/>
        <v>147</v>
      </c>
      <c r="B148" t="s">
        <v>2302</v>
      </c>
      <c r="C148" t="s">
        <v>276</v>
      </c>
      <c r="D148" t="s">
        <v>3628</v>
      </c>
      <c r="E148" t="s">
        <v>2303</v>
      </c>
      <c r="F148" t="s">
        <v>1624</v>
      </c>
      <c r="G148" t="s">
        <v>2304</v>
      </c>
      <c r="H148" t="s">
        <v>2304</v>
      </c>
      <c r="I148" t="s">
        <v>2305</v>
      </c>
      <c r="J148" s="5" t="str" cm="1">
        <f t="array" ref="J148">IF(SUM(COUNTIF(Text_Preprocessing__2245[[#This Row],[full_text]],{"*makan siang gratis*";"*MBG*";"*makan gratis*";"*makan bergizi gratis*";"*makangratis*";"*makanan gratis*"})),"Relevan","Tidak Relevan")</f>
        <v>Relevan</v>
      </c>
    </row>
    <row r="149" spans="1:10" x14ac:dyDescent="0.35">
      <c r="A149">
        <f t="shared" si="2"/>
        <v>148</v>
      </c>
      <c r="B149" t="s">
        <v>2306</v>
      </c>
      <c r="C149" t="s">
        <v>143</v>
      </c>
      <c r="D149" t="s">
        <v>3634</v>
      </c>
      <c r="E149" t="s">
        <v>2307</v>
      </c>
      <c r="F149" t="s">
        <v>1735</v>
      </c>
      <c r="G149" t="s">
        <v>2308</v>
      </c>
      <c r="H149" t="s">
        <v>2308</v>
      </c>
      <c r="I149" t="s">
        <v>2309</v>
      </c>
      <c r="J149" s="5" t="str" cm="1">
        <f t="array" ref="J149">IF(SUM(COUNTIF(Text_Preprocessing__2245[[#This Row],[full_text]],{"*makan siang gratis*";"*MBG*";"*makan gratis*";"*makan bergizi gratis*";"*makangratis*";"*makanan gratis*"})),"Relevan","Tidak Relevan")</f>
        <v>Relevan</v>
      </c>
    </row>
    <row r="150" spans="1:10" x14ac:dyDescent="0.35">
      <c r="A150">
        <f t="shared" si="2"/>
        <v>149</v>
      </c>
      <c r="B150" t="s">
        <v>2310</v>
      </c>
      <c r="C150" t="s">
        <v>174</v>
      </c>
      <c r="D150" t="s">
        <v>3634</v>
      </c>
      <c r="E150" t="s">
        <v>2311</v>
      </c>
      <c r="F150" t="s">
        <v>2312</v>
      </c>
      <c r="G150" t="s">
        <v>2313</v>
      </c>
      <c r="H150" t="s">
        <v>2313</v>
      </c>
      <c r="I150" t="s">
        <v>2314</v>
      </c>
      <c r="J150" s="5" t="str" cm="1">
        <f t="array" ref="J150">IF(SUM(COUNTIF(Text_Preprocessing__2245[[#This Row],[full_text]],{"*makan siang gratis*";"*MBG*";"*makan gratis*";"*makan bergizi gratis*";"*makangratis*";"*makanan gratis*"})),"Relevan","Tidak Relevan")</f>
        <v>Relevan</v>
      </c>
    </row>
    <row r="151" spans="1:10" x14ac:dyDescent="0.35">
      <c r="A151">
        <f t="shared" si="2"/>
        <v>150</v>
      </c>
      <c r="B151" t="s">
        <v>2315</v>
      </c>
      <c r="C151" t="s">
        <v>280</v>
      </c>
      <c r="D151" t="s">
        <v>3628</v>
      </c>
      <c r="E151" t="s">
        <v>2316</v>
      </c>
      <c r="F151" t="s">
        <v>1893</v>
      </c>
      <c r="G151" t="s">
        <v>2317</v>
      </c>
      <c r="H151" t="s">
        <v>2317</v>
      </c>
      <c r="I151" t="s">
        <v>2318</v>
      </c>
      <c r="J151" s="5" t="str" cm="1">
        <f t="array" ref="J151">IF(SUM(COUNTIF(Text_Preprocessing__2245[[#This Row],[full_text]],{"*makan siang gratis*";"*MBG*";"*makan gratis*";"*makan bergizi gratis*";"*makangratis*";"*makanan gratis*"})),"Relevan","Tidak Relevan")</f>
        <v>Relevan</v>
      </c>
    </row>
    <row r="152" spans="1:10" x14ac:dyDescent="0.35">
      <c r="A152">
        <f t="shared" si="2"/>
        <v>151</v>
      </c>
      <c r="B152" t="s">
        <v>2319</v>
      </c>
      <c r="C152" t="s">
        <v>282</v>
      </c>
      <c r="D152" t="s">
        <v>3628</v>
      </c>
      <c r="E152" t="s">
        <v>2320</v>
      </c>
      <c r="F152" t="s">
        <v>1799</v>
      </c>
      <c r="G152" t="s">
        <v>2321</v>
      </c>
      <c r="H152" t="s">
        <v>2321</v>
      </c>
      <c r="I152" t="s">
        <v>2322</v>
      </c>
      <c r="J152" s="5" t="str" cm="1">
        <f t="array" ref="J152">IF(SUM(COUNTIF(Text_Preprocessing__2245[[#This Row],[full_text]],{"*makan siang gratis*";"*MBG*";"*makan gratis*";"*makan bergizi gratis*";"*makangratis*";"*makanan gratis*"})),"Relevan","Tidak Relevan")</f>
        <v>Relevan</v>
      </c>
    </row>
    <row r="153" spans="1:10" x14ac:dyDescent="0.35">
      <c r="A153">
        <f t="shared" si="2"/>
        <v>152</v>
      </c>
      <c r="B153" t="s">
        <v>2323</v>
      </c>
      <c r="C153" t="s">
        <v>143</v>
      </c>
      <c r="D153" t="s">
        <v>3634</v>
      </c>
      <c r="E153" t="s">
        <v>2324</v>
      </c>
      <c r="F153" t="s">
        <v>2325</v>
      </c>
      <c r="G153" t="s">
        <v>2326</v>
      </c>
      <c r="H153" t="s">
        <v>2326</v>
      </c>
      <c r="I153" t="s">
        <v>2327</v>
      </c>
      <c r="J153" s="5" t="str" cm="1">
        <f t="array" ref="J153">IF(SUM(COUNTIF(Text_Preprocessing__2245[[#This Row],[full_text]],{"*makan siang gratis*";"*MBG*";"*makan gratis*";"*makan bergizi gratis*";"*makangratis*";"*makanan gratis*"})),"Relevan","Tidak Relevan")</f>
        <v>Relevan</v>
      </c>
    </row>
    <row r="154" spans="1:10" x14ac:dyDescent="0.35">
      <c r="A154">
        <f t="shared" si="2"/>
        <v>153</v>
      </c>
      <c r="B154" t="s">
        <v>2328</v>
      </c>
      <c r="C154" t="s">
        <v>285</v>
      </c>
      <c r="D154" t="s">
        <v>3632</v>
      </c>
      <c r="E154" t="s">
        <v>2329</v>
      </c>
      <c r="F154" t="s">
        <v>1990</v>
      </c>
      <c r="G154" t="s">
        <v>2330</v>
      </c>
      <c r="H154" t="s">
        <v>2331</v>
      </c>
      <c r="I154" t="s">
        <v>2332</v>
      </c>
      <c r="J154" s="5" t="str" cm="1">
        <f t="array" ref="J154">IF(SUM(COUNTIF(Text_Preprocessing__2245[[#This Row],[full_text]],{"*makan siang gratis*";"*MBG*";"*makan gratis*";"*makan bergizi gratis*";"*makangratis*";"*makanan gratis*"})),"Relevan","Tidak Relevan")</f>
        <v>Relevan</v>
      </c>
    </row>
    <row r="155" spans="1:10" x14ac:dyDescent="0.35">
      <c r="A155">
        <f t="shared" si="2"/>
        <v>154</v>
      </c>
      <c r="B155" t="s">
        <v>2333</v>
      </c>
      <c r="C155" t="s">
        <v>223</v>
      </c>
      <c r="D155" t="s">
        <v>3628</v>
      </c>
      <c r="E155" t="s">
        <v>2334</v>
      </c>
      <c r="F155" t="s">
        <v>2335</v>
      </c>
      <c r="G155" t="s">
        <v>2336</v>
      </c>
      <c r="H155" t="s">
        <v>2336</v>
      </c>
      <c r="I155" t="s">
        <v>2337</v>
      </c>
      <c r="J155" s="5" t="str" cm="1">
        <f t="array" ref="J155">IF(SUM(COUNTIF(Text_Preprocessing__2245[[#This Row],[full_text]],{"*makan siang gratis*";"*MBG*";"*makan gratis*";"*makan bergizi gratis*";"*makangratis*";"*makanan gratis*"})),"Relevan","Tidak Relevan")</f>
        <v>Relevan</v>
      </c>
    </row>
    <row r="156" spans="1:10" x14ac:dyDescent="0.35">
      <c r="A156">
        <f t="shared" si="2"/>
        <v>155</v>
      </c>
      <c r="B156" t="s">
        <v>2338</v>
      </c>
      <c r="C156" t="s">
        <v>217</v>
      </c>
      <c r="D156" t="s">
        <v>3634</v>
      </c>
      <c r="E156" t="s">
        <v>2339</v>
      </c>
      <c r="F156" t="s">
        <v>1990</v>
      </c>
      <c r="G156" t="s">
        <v>2340</v>
      </c>
      <c r="H156" t="s">
        <v>2340</v>
      </c>
      <c r="I156" t="s">
        <v>2341</v>
      </c>
      <c r="J156" s="5" t="str" cm="1">
        <f t="array" ref="J156">IF(SUM(COUNTIF(Text_Preprocessing__2245[[#This Row],[full_text]],{"*makan siang gratis*";"*MBG*";"*makan gratis*";"*makan bergizi gratis*";"*makangratis*";"*makanan gratis*"})),"Relevan","Tidak Relevan")</f>
        <v>Relevan</v>
      </c>
    </row>
    <row r="157" spans="1:10" x14ac:dyDescent="0.35">
      <c r="A157">
        <f t="shared" si="2"/>
        <v>156</v>
      </c>
      <c r="B157" t="s">
        <v>2342</v>
      </c>
      <c r="C157" t="s">
        <v>289</v>
      </c>
      <c r="D157" t="s">
        <v>3628</v>
      </c>
      <c r="E157" t="s">
        <v>2343</v>
      </c>
      <c r="F157" t="s">
        <v>1893</v>
      </c>
      <c r="G157" t="s">
        <v>2344</v>
      </c>
      <c r="H157" t="s">
        <v>2344</v>
      </c>
      <c r="I157" t="s">
        <v>2345</v>
      </c>
      <c r="J157" s="5" t="str" cm="1">
        <f t="array" ref="J157">IF(SUM(COUNTIF(Text_Preprocessing__2245[[#This Row],[full_text]],{"*makan siang gratis*";"*MBG*";"*makan gratis*";"*makan bergizi gratis*";"*makangratis*";"*makanan gratis*"})),"Relevan","Tidak Relevan")</f>
        <v>Relevan</v>
      </c>
    </row>
    <row r="158" spans="1:10" x14ac:dyDescent="0.35">
      <c r="A158">
        <f t="shared" si="2"/>
        <v>157</v>
      </c>
      <c r="B158" t="s">
        <v>2346</v>
      </c>
      <c r="C158" t="s">
        <v>291</v>
      </c>
      <c r="D158" t="s">
        <v>3629</v>
      </c>
      <c r="E158" t="s">
        <v>2347</v>
      </c>
      <c r="F158" t="s">
        <v>2348</v>
      </c>
      <c r="G158" t="s">
        <v>2349</v>
      </c>
      <c r="H158" t="s">
        <v>2349</v>
      </c>
      <c r="I158" t="s">
        <v>2350</v>
      </c>
      <c r="J158" s="5" t="str" cm="1">
        <f t="array" ref="J158">IF(SUM(COUNTIF(Text_Preprocessing__2245[[#This Row],[full_text]],{"*makan siang gratis*";"*MBG*";"*makan gratis*";"*makan bergizi gratis*";"*makangratis*";"*makanan gratis*"})),"Relevan","Tidak Relevan")</f>
        <v>Relevan</v>
      </c>
    </row>
    <row r="159" spans="1:10" x14ac:dyDescent="0.35">
      <c r="A159">
        <f t="shared" si="2"/>
        <v>158</v>
      </c>
      <c r="B159" t="s">
        <v>2351</v>
      </c>
      <c r="C159" t="s">
        <v>276</v>
      </c>
      <c r="D159" t="s">
        <v>3628</v>
      </c>
      <c r="E159" t="s">
        <v>2352</v>
      </c>
      <c r="F159" t="s">
        <v>1624</v>
      </c>
      <c r="G159" t="s">
        <v>2353</v>
      </c>
      <c r="H159" t="s">
        <v>2353</v>
      </c>
      <c r="I159" t="s">
        <v>2354</v>
      </c>
      <c r="J159" s="5" t="str" cm="1">
        <f t="array" ref="J159">IF(SUM(COUNTIF(Text_Preprocessing__2245[[#This Row],[full_text]],{"*makan siang gratis*";"*MBG*";"*makan gratis*";"*makan bergizi gratis*";"*makangratis*";"*makanan gratis*"})),"Relevan","Tidak Relevan")</f>
        <v>Relevan</v>
      </c>
    </row>
    <row r="160" spans="1:10" x14ac:dyDescent="0.35">
      <c r="A160">
        <f t="shared" si="2"/>
        <v>159</v>
      </c>
      <c r="B160" t="s">
        <v>2355</v>
      </c>
      <c r="C160" t="s">
        <v>294</v>
      </c>
      <c r="D160" t="s">
        <v>3628</v>
      </c>
      <c r="E160" t="s">
        <v>2356</v>
      </c>
      <c r="F160" t="s">
        <v>2357</v>
      </c>
      <c r="G160" t="s">
        <v>2358</v>
      </c>
      <c r="H160" t="s">
        <v>2359</v>
      </c>
      <c r="I160" t="s">
        <v>2360</v>
      </c>
      <c r="J160" s="5" t="str" cm="1">
        <f t="array" ref="J160">IF(SUM(COUNTIF(Text_Preprocessing__2245[[#This Row],[full_text]],{"*makan siang gratis*";"*MBG*";"*makan gratis*";"*makan bergizi gratis*";"*makangratis*";"*makanan gratis*"})),"Relevan","Tidak Relevan")</f>
        <v>Relevan</v>
      </c>
    </row>
    <row r="161" spans="1:10" x14ac:dyDescent="0.35">
      <c r="A161">
        <f t="shared" si="2"/>
        <v>160</v>
      </c>
      <c r="B161" t="s">
        <v>2361</v>
      </c>
      <c r="C161" t="s">
        <v>296</v>
      </c>
      <c r="D161" t="s">
        <v>3629</v>
      </c>
      <c r="E161" t="s">
        <v>2362</v>
      </c>
      <c r="F161" t="s">
        <v>1730</v>
      </c>
      <c r="G161" t="s">
        <v>2363</v>
      </c>
      <c r="H161" t="s">
        <v>2363</v>
      </c>
      <c r="I161" t="s">
        <v>2364</v>
      </c>
      <c r="J161" s="5" t="str" cm="1">
        <f t="array" ref="J161">IF(SUM(COUNTIF(Text_Preprocessing__2245[[#This Row],[full_text]],{"*makan siang gratis*";"*MBG*";"*makan gratis*";"*makan bergizi gratis*";"*makangratis*";"*makanan gratis*"})),"Relevan","Tidak Relevan")</f>
        <v>Relevan</v>
      </c>
    </row>
    <row r="162" spans="1:10" x14ac:dyDescent="0.35">
      <c r="A162">
        <f t="shared" si="2"/>
        <v>161</v>
      </c>
      <c r="B162" t="s">
        <v>2365</v>
      </c>
      <c r="C162" t="s">
        <v>280</v>
      </c>
      <c r="D162" t="s">
        <v>3628</v>
      </c>
      <c r="E162" t="s">
        <v>2366</v>
      </c>
      <c r="F162" t="s">
        <v>1999</v>
      </c>
      <c r="G162" t="s">
        <v>2367</v>
      </c>
      <c r="H162" t="s">
        <v>2367</v>
      </c>
      <c r="I162" t="s">
        <v>2368</v>
      </c>
      <c r="J162" s="5" t="str" cm="1">
        <f t="array" ref="J162">IF(SUM(COUNTIF(Text_Preprocessing__2245[[#This Row],[full_text]],{"*makan siang gratis*";"*MBG*";"*makan gratis*";"*makan bergizi gratis*";"*makangratis*";"*makanan gratis*"})),"Relevan","Tidak Relevan")</f>
        <v>Relevan</v>
      </c>
    </row>
    <row r="163" spans="1:10" x14ac:dyDescent="0.35">
      <c r="A163">
        <f t="shared" si="2"/>
        <v>162</v>
      </c>
      <c r="B163" t="s">
        <v>2369</v>
      </c>
      <c r="C163" t="s">
        <v>76</v>
      </c>
      <c r="D163" t="s">
        <v>3634</v>
      </c>
      <c r="E163" t="s">
        <v>2370</v>
      </c>
      <c r="F163" t="s">
        <v>2154</v>
      </c>
      <c r="G163" t="s">
        <v>2371</v>
      </c>
      <c r="H163" t="s">
        <v>2371</v>
      </c>
      <c r="I163" t="s">
        <v>2372</v>
      </c>
      <c r="J163" s="5" t="str" cm="1">
        <f t="array" ref="J163">IF(SUM(COUNTIF(Text_Preprocessing__2245[[#This Row],[full_text]],{"*makan siang gratis*";"*MBG*";"*makan gratis*";"*makan bergizi gratis*";"*makangratis*";"*makanan gratis*"})),"Relevan","Tidak Relevan")</f>
        <v>Relevan</v>
      </c>
    </row>
    <row r="164" spans="1:10" x14ac:dyDescent="0.35">
      <c r="A164">
        <f t="shared" si="2"/>
        <v>163</v>
      </c>
      <c r="B164" t="s">
        <v>2373</v>
      </c>
      <c r="C164" t="s">
        <v>213</v>
      </c>
      <c r="D164" t="s">
        <v>3628</v>
      </c>
      <c r="E164" t="s">
        <v>2374</v>
      </c>
      <c r="F164" t="s">
        <v>2272</v>
      </c>
      <c r="G164" t="s">
        <v>2375</v>
      </c>
      <c r="H164" t="s">
        <v>2375</v>
      </c>
      <c r="I164" t="s">
        <v>2376</v>
      </c>
      <c r="J164" s="5" t="str" cm="1">
        <f t="array" ref="J164">IF(SUM(COUNTIF(Text_Preprocessing__2245[[#This Row],[full_text]],{"*makan siang gratis*";"*MBG*";"*makan gratis*";"*makan bergizi gratis*";"*makangratis*";"*makanan gratis*"})),"Relevan","Tidak Relevan")</f>
        <v>Relevan</v>
      </c>
    </row>
    <row r="165" spans="1:10" x14ac:dyDescent="0.35">
      <c r="A165">
        <f t="shared" si="2"/>
        <v>164</v>
      </c>
      <c r="B165" t="s">
        <v>2377</v>
      </c>
      <c r="C165" t="s">
        <v>213</v>
      </c>
      <c r="D165" t="s">
        <v>3628</v>
      </c>
      <c r="E165" t="s">
        <v>2378</v>
      </c>
      <c r="F165" t="s">
        <v>1624</v>
      </c>
      <c r="G165" t="s">
        <v>2379</v>
      </c>
      <c r="H165" t="s">
        <v>2379</v>
      </c>
      <c r="I165" t="s">
        <v>2380</v>
      </c>
      <c r="J165" s="5" t="str" cm="1">
        <f t="array" ref="J165">IF(SUM(COUNTIF(Text_Preprocessing__2245[[#This Row],[full_text]],{"*makan siang gratis*";"*MBG*";"*makan gratis*";"*makan bergizi gratis*";"*makangratis*";"*makanan gratis*"})),"Relevan","Tidak Relevan")</f>
        <v>Relevan</v>
      </c>
    </row>
    <row r="166" spans="1:10" x14ac:dyDescent="0.35">
      <c r="A166">
        <f t="shared" si="2"/>
        <v>165</v>
      </c>
      <c r="B166" t="s">
        <v>2381</v>
      </c>
      <c r="C166" t="s">
        <v>280</v>
      </c>
      <c r="D166" t="s">
        <v>3628</v>
      </c>
      <c r="E166" t="s">
        <v>2382</v>
      </c>
      <c r="F166" t="s">
        <v>1893</v>
      </c>
      <c r="G166" t="s">
        <v>2383</v>
      </c>
      <c r="H166" t="s">
        <v>2383</v>
      </c>
      <c r="I166" t="s">
        <v>2384</v>
      </c>
      <c r="J166" s="5" t="str" cm="1">
        <f t="array" ref="J166">IF(SUM(COUNTIF(Text_Preprocessing__2245[[#This Row],[full_text]],{"*makan siang gratis*";"*MBG*";"*makan gratis*";"*makan bergizi gratis*";"*makangratis*";"*makanan gratis*"})),"Relevan","Tidak Relevan")</f>
        <v>Relevan</v>
      </c>
    </row>
    <row r="167" spans="1:10" x14ac:dyDescent="0.35">
      <c r="A167">
        <f t="shared" si="2"/>
        <v>166</v>
      </c>
      <c r="B167" t="s">
        <v>2385</v>
      </c>
      <c r="C167" t="s">
        <v>253</v>
      </c>
      <c r="D167" t="s">
        <v>3628</v>
      </c>
      <c r="E167" t="s">
        <v>2386</v>
      </c>
      <c r="F167" t="s">
        <v>2387</v>
      </c>
      <c r="G167" t="s">
        <v>2388</v>
      </c>
      <c r="H167" t="s">
        <v>2388</v>
      </c>
      <c r="I167" t="s">
        <v>2389</v>
      </c>
      <c r="J167" s="5" t="str" cm="1">
        <f t="array" ref="J167">IF(SUM(COUNTIF(Text_Preprocessing__2245[[#This Row],[full_text]],{"*makan siang gratis*";"*MBG*";"*makan gratis*";"*makan bergizi gratis*";"*makangratis*";"*makanan gratis*"})),"Relevan","Tidak Relevan")</f>
        <v>Relevan</v>
      </c>
    </row>
    <row r="168" spans="1:10" x14ac:dyDescent="0.35">
      <c r="A168">
        <f t="shared" si="2"/>
        <v>167</v>
      </c>
      <c r="B168" t="s">
        <v>2390</v>
      </c>
      <c r="C168" t="s">
        <v>304</v>
      </c>
      <c r="D168" t="s">
        <v>3628</v>
      </c>
      <c r="E168" t="s">
        <v>2391</v>
      </c>
      <c r="F168" t="s">
        <v>2149</v>
      </c>
      <c r="G168" t="s">
        <v>2392</v>
      </c>
      <c r="H168" t="s">
        <v>2392</v>
      </c>
      <c r="I168" t="s">
        <v>2393</v>
      </c>
      <c r="J168" s="5" t="str" cm="1">
        <f t="array" ref="J168">IF(SUM(COUNTIF(Text_Preprocessing__2245[[#This Row],[full_text]],{"*makan siang gratis*";"*MBG*";"*makan gratis*";"*makan bergizi gratis*";"*makangratis*";"*makanan gratis*"})),"Relevan","Tidak Relevan")</f>
        <v>Relevan</v>
      </c>
    </row>
    <row r="169" spans="1:10" x14ac:dyDescent="0.35">
      <c r="A169">
        <f t="shared" si="2"/>
        <v>168</v>
      </c>
      <c r="B169" t="s">
        <v>2394</v>
      </c>
      <c r="C169" t="s">
        <v>304</v>
      </c>
      <c r="D169" t="s">
        <v>3628</v>
      </c>
      <c r="E169" t="s">
        <v>2395</v>
      </c>
      <c r="F169" t="s">
        <v>2164</v>
      </c>
      <c r="G169" t="s">
        <v>2396</v>
      </c>
      <c r="H169" t="s">
        <v>2396</v>
      </c>
      <c r="I169" t="s">
        <v>2397</v>
      </c>
      <c r="J169" s="5" t="str" cm="1">
        <f t="array" ref="J169">IF(SUM(COUNTIF(Text_Preprocessing__2245[[#This Row],[full_text]],{"*makan siang gratis*";"*MBG*";"*makan gratis*";"*makan bergizi gratis*";"*makangratis*";"*makanan gratis*"})),"Relevan","Tidak Relevan")</f>
        <v>Relevan</v>
      </c>
    </row>
    <row r="170" spans="1:10" x14ac:dyDescent="0.35">
      <c r="A170">
        <f t="shared" si="2"/>
        <v>169</v>
      </c>
      <c r="B170" t="s">
        <v>2398</v>
      </c>
      <c r="C170" t="s">
        <v>143</v>
      </c>
      <c r="D170" t="s">
        <v>3634</v>
      </c>
      <c r="E170" t="s">
        <v>2399</v>
      </c>
      <c r="F170" t="s">
        <v>1990</v>
      </c>
      <c r="G170" t="s">
        <v>2400</v>
      </c>
      <c r="H170" t="s">
        <v>2400</v>
      </c>
      <c r="I170" t="s">
        <v>2401</v>
      </c>
      <c r="J170" s="5" t="str" cm="1">
        <f t="array" ref="J170">IF(SUM(COUNTIF(Text_Preprocessing__2245[[#This Row],[full_text]],{"*makan siang gratis*";"*MBG*";"*makan gratis*";"*makan bergizi gratis*";"*makangratis*";"*makanan gratis*"})),"Relevan","Tidak Relevan")</f>
        <v>Relevan</v>
      </c>
    </row>
    <row r="171" spans="1:10" x14ac:dyDescent="0.35">
      <c r="A171">
        <f t="shared" si="2"/>
        <v>170</v>
      </c>
      <c r="B171" t="s">
        <v>2402</v>
      </c>
      <c r="C171" t="s">
        <v>308</v>
      </c>
      <c r="D171" t="s">
        <v>3628</v>
      </c>
      <c r="E171" t="s">
        <v>2403</v>
      </c>
      <c r="F171" t="s">
        <v>2229</v>
      </c>
      <c r="G171" t="s">
        <v>2404</v>
      </c>
      <c r="H171" t="s">
        <v>2404</v>
      </c>
      <c r="I171" t="s">
        <v>2405</v>
      </c>
      <c r="J171" s="5" t="str" cm="1">
        <f t="array" ref="J171">IF(SUM(COUNTIF(Text_Preprocessing__2245[[#This Row],[full_text]],{"*makan siang gratis*";"*MBG*";"*makan gratis*";"*makan bergizi gratis*";"*makangratis*";"*makanan gratis*"})),"Relevan","Tidak Relevan")</f>
        <v>Relevan</v>
      </c>
    </row>
    <row r="172" spans="1:10" x14ac:dyDescent="0.35">
      <c r="A172">
        <f t="shared" si="2"/>
        <v>171</v>
      </c>
      <c r="B172" t="s">
        <v>2406</v>
      </c>
      <c r="C172" t="s">
        <v>310</v>
      </c>
      <c r="D172" t="s">
        <v>3632</v>
      </c>
      <c r="E172" t="s">
        <v>2407</v>
      </c>
      <c r="F172" t="s">
        <v>1823</v>
      </c>
      <c r="G172" t="s">
        <v>2408</v>
      </c>
      <c r="H172" t="s">
        <v>2408</v>
      </c>
      <c r="I172" t="s">
        <v>2409</v>
      </c>
      <c r="J172" s="5" t="str" cm="1">
        <f t="array" ref="J172">IF(SUM(COUNTIF(Text_Preprocessing__2245[[#This Row],[full_text]],{"*makan siang gratis*";"*MBG*";"*makan gratis*";"*makan bergizi gratis*";"*makangratis*";"*makanan gratis*"})),"Relevan","Tidak Relevan")</f>
        <v>Relevan</v>
      </c>
    </row>
    <row r="173" spans="1:10" x14ac:dyDescent="0.35">
      <c r="A173">
        <f t="shared" si="2"/>
        <v>172</v>
      </c>
      <c r="B173" t="s">
        <v>2410</v>
      </c>
      <c r="C173" t="s">
        <v>312</v>
      </c>
      <c r="D173" t="s">
        <v>3628</v>
      </c>
      <c r="E173" t="s">
        <v>2411</v>
      </c>
      <c r="F173" t="s">
        <v>2205</v>
      </c>
      <c r="G173" t="s">
        <v>2412</v>
      </c>
      <c r="H173" t="s">
        <v>2412</v>
      </c>
      <c r="I173" t="s">
        <v>2413</v>
      </c>
      <c r="J173" s="5" t="str" cm="1">
        <f t="array" ref="J173">IF(SUM(COUNTIF(Text_Preprocessing__2245[[#This Row],[full_text]],{"*makan siang gratis*";"*MBG*";"*makan gratis*";"*makan bergizi gratis*";"*makangratis*";"*makanan gratis*"})),"Relevan","Tidak Relevan")</f>
        <v>Relevan</v>
      </c>
    </row>
    <row r="174" spans="1:10" x14ac:dyDescent="0.35">
      <c r="A174">
        <f t="shared" si="2"/>
        <v>173</v>
      </c>
      <c r="B174" t="s">
        <v>2414</v>
      </c>
      <c r="C174" t="s">
        <v>314</v>
      </c>
      <c r="D174" t="s">
        <v>3632</v>
      </c>
      <c r="E174" t="s">
        <v>2415</v>
      </c>
      <c r="F174" t="s">
        <v>1893</v>
      </c>
      <c r="G174" t="s">
        <v>2416</v>
      </c>
      <c r="H174" t="s">
        <v>2417</v>
      </c>
      <c r="I174" t="s">
        <v>2418</v>
      </c>
      <c r="J174" s="5" t="str" cm="1">
        <f t="array" ref="J174">IF(SUM(COUNTIF(Text_Preprocessing__2245[[#This Row],[full_text]],{"*makan siang gratis*";"*MBG*";"*makan gratis*";"*makan bergizi gratis*";"*makangratis*";"*makanan gratis*"})),"Relevan","Tidak Relevan")</f>
        <v>Relevan</v>
      </c>
    </row>
    <row r="175" spans="1:10" x14ac:dyDescent="0.35">
      <c r="A175">
        <f t="shared" si="2"/>
        <v>174</v>
      </c>
      <c r="B175" t="s">
        <v>2419</v>
      </c>
      <c r="C175" t="s">
        <v>316</v>
      </c>
      <c r="D175" t="s">
        <v>3628</v>
      </c>
      <c r="E175" t="s">
        <v>2420</v>
      </c>
      <c r="F175" t="s">
        <v>2229</v>
      </c>
      <c r="G175" t="s">
        <v>2421</v>
      </c>
      <c r="H175" t="s">
        <v>2422</v>
      </c>
      <c r="I175" t="s">
        <v>2423</v>
      </c>
      <c r="J175" s="5" t="str" cm="1">
        <f t="array" ref="J175">IF(SUM(COUNTIF(Text_Preprocessing__2245[[#This Row],[full_text]],{"*makan siang gratis*";"*MBG*";"*makan gratis*";"*makan bergizi gratis*";"*makangratis*";"*makanan gratis*"})),"Relevan","Tidak Relevan")</f>
        <v>Relevan</v>
      </c>
    </row>
    <row r="176" spans="1:10" x14ac:dyDescent="0.35">
      <c r="A176">
        <f t="shared" si="2"/>
        <v>175</v>
      </c>
      <c r="B176" t="s">
        <v>2424</v>
      </c>
      <c r="C176" t="s">
        <v>316</v>
      </c>
      <c r="D176" t="s">
        <v>3628</v>
      </c>
      <c r="E176" t="s">
        <v>2425</v>
      </c>
      <c r="F176" t="s">
        <v>1799</v>
      </c>
      <c r="G176" t="s">
        <v>2426</v>
      </c>
      <c r="H176" t="s">
        <v>2426</v>
      </c>
      <c r="I176" t="s">
        <v>2427</v>
      </c>
      <c r="J176" s="5" t="str" cm="1">
        <f t="array" ref="J176">IF(SUM(COUNTIF(Text_Preprocessing__2245[[#This Row],[full_text]],{"*makan siang gratis*";"*MBG*";"*makan gratis*";"*makan bergizi gratis*";"*makangratis*";"*makanan gratis*"})),"Relevan","Tidak Relevan")</f>
        <v>Relevan</v>
      </c>
    </row>
    <row r="177" spans="1:10" x14ac:dyDescent="0.35">
      <c r="A177">
        <f t="shared" si="2"/>
        <v>176</v>
      </c>
      <c r="B177" t="s">
        <v>2428</v>
      </c>
      <c r="C177" t="s">
        <v>76</v>
      </c>
      <c r="D177" t="s">
        <v>3634</v>
      </c>
      <c r="E177" t="s">
        <v>2429</v>
      </c>
      <c r="F177" t="s">
        <v>1799</v>
      </c>
      <c r="G177" t="s">
        <v>2430</v>
      </c>
      <c r="H177" t="s">
        <v>2430</v>
      </c>
      <c r="I177" t="s">
        <v>2431</v>
      </c>
      <c r="J177" s="5" t="str" cm="1">
        <f t="array" ref="J177">IF(SUM(COUNTIF(Text_Preprocessing__2245[[#This Row],[full_text]],{"*makan siang gratis*";"*MBG*";"*makan gratis*";"*makan bergizi gratis*";"*makangratis*";"*makanan gratis*"})),"Relevan","Tidak Relevan")</f>
        <v>Relevan</v>
      </c>
    </row>
    <row r="178" spans="1:10" x14ac:dyDescent="0.35">
      <c r="A178">
        <f t="shared" si="2"/>
        <v>177</v>
      </c>
      <c r="B178" t="s">
        <v>2432</v>
      </c>
      <c r="C178" t="s">
        <v>324</v>
      </c>
      <c r="D178" t="s">
        <v>3628</v>
      </c>
      <c r="E178" t="s">
        <v>2433</v>
      </c>
      <c r="F178" t="s">
        <v>1839</v>
      </c>
      <c r="G178" t="s">
        <v>2434</v>
      </c>
      <c r="H178" t="s">
        <v>2434</v>
      </c>
      <c r="I178" t="s">
        <v>2435</v>
      </c>
      <c r="J178" s="5" t="str" cm="1">
        <f t="array" ref="J178">IF(SUM(COUNTIF(Text_Preprocessing__2245[[#This Row],[full_text]],{"*makan siang gratis*";"*MBG*";"*makan gratis*";"*makan bergizi gratis*";"*makangratis*";"*makanan gratis*"})),"Relevan","Tidak Relevan")</f>
        <v>Relevan</v>
      </c>
    </row>
    <row r="179" spans="1:10" x14ac:dyDescent="0.35">
      <c r="A179">
        <f t="shared" si="2"/>
        <v>178</v>
      </c>
      <c r="B179" t="s">
        <v>2436</v>
      </c>
      <c r="C179" t="s">
        <v>326</v>
      </c>
      <c r="D179" t="s">
        <v>3628</v>
      </c>
      <c r="E179" t="s">
        <v>2437</v>
      </c>
      <c r="F179" t="s">
        <v>1613</v>
      </c>
      <c r="G179" t="s">
        <v>2438</v>
      </c>
      <c r="H179" t="s">
        <v>2438</v>
      </c>
      <c r="I179" t="s">
        <v>2439</v>
      </c>
      <c r="J179" s="5" t="str" cm="1">
        <f t="array" ref="J179">IF(SUM(COUNTIF(Text_Preprocessing__2245[[#This Row],[full_text]],{"*makan siang gratis*";"*MBG*";"*makan gratis*";"*makan bergizi gratis*";"*makangratis*";"*makanan gratis*"})),"Relevan","Tidak Relevan")</f>
        <v>Relevan</v>
      </c>
    </row>
    <row r="180" spans="1:10" x14ac:dyDescent="0.35">
      <c r="A180">
        <f t="shared" si="2"/>
        <v>179</v>
      </c>
      <c r="B180" t="s">
        <v>2440</v>
      </c>
      <c r="C180" t="s">
        <v>242</v>
      </c>
      <c r="D180" t="s">
        <v>3628</v>
      </c>
      <c r="E180" t="s">
        <v>2441</v>
      </c>
      <c r="F180" t="s">
        <v>2442</v>
      </c>
      <c r="G180" t="s">
        <v>2443</v>
      </c>
      <c r="H180" t="s">
        <v>2443</v>
      </c>
      <c r="I180" t="s">
        <v>2444</v>
      </c>
      <c r="J180" s="5" t="str" cm="1">
        <f t="array" ref="J180">IF(SUM(COUNTIF(Text_Preprocessing__2245[[#This Row],[full_text]],{"*makan siang gratis*";"*MBG*";"*makan gratis*";"*makan bergizi gratis*";"*makangratis*";"*makanan gratis*"})),"Relevan","Tidak Relevan")</f>
        <v>Relevan</v>
      </c>
    </row>
    <row r="181" spans="1:10" x14ac:dyDescent="0.35">
      <c r="A181">
        <f t="shared" si="2"/>
        <v>180</v>
      </c>
      <c r="B181" t="s">
        <v>2445</v>
      </c>
      <c r="C181" t="s">
        <v>213</v>
      </c>
      <c r="D181" t="s">
        <v>3628</v>
      </c>
      <c r="E181" t="s">
        <v>2446</v>
      </c>
      <c r="F181" t="s">
        <v>2253</v>
      </c>
      <c r="G181" t="s">
        <v>2447</v>
      </c>
      <c r="H181" t="s">
        <v>2447</v>
      </c>
      <c r="I181" t="s">
        <v>2448</v>
      </c>
      <c r="J181" s="5" t="str" cm="1">
        <f t="array" ref="J181">IF(SUM(COUNTIF(Text_Preprocessing__2245[[#This Row],[full_text]],{"*makan siang gratis*";"*MBG*";"*makan gratis*";"*makan bergizi gratis*";"*makangratis*";"*makanan gratis*"})),"Relevan","Tidak Relevan")</f>
        <v>Relevan</v>
      </c>
    </row>
    <row r="182" spans="1:10" x14ac:dyDescent="0.35">
      <c r="A182">
        <f t="shared" si="2"/>
        <v>181</v>
      </c>
      <c r="B182" t="s">
        <v>2449</v>
      </c>
      <c r="C182" t="s">
        <v>330</v>
      </c>
      <c r="D182" t="s">
        <v>3628</v>
      </c>
      <c r="E182" t="s">
        <v>2450</v>
      </c>
      <c r="F182" t="s">
        <v>2114</v>
      </c>
      <c r="G182" t="s">
        <v>2451</v>
      </c>
      <c r="H182" t="s">
        <v>2451</v>
      </c>
      <c r="I182" t="s">
        <v>2452</v>
      </c>
      <c r="J182" s="5" t="str" cm="1">
        <f t="array" ref="J182">IF(SUM(COUNTIF(Text_Preprocessing__2245[[#This Row],[full_text]],{"*makan siang gratis*";"*MBG*";"*makan gratis*";"*makan bergizi gratis*";"*makangratis*";"*makanan gratis*"})),"Relevan","Tidak Relevan")</f>
        <v>Relevan</v>
      </c>
    </row>
    <row r="183" spans="1:10" x14ac:dyDescent="0.35">
      <c r="A183">
        <f t="shared" si="2"/>
        <v>182</v>
      </c>
      <c r="B183" t="s">
        <v>2453</v>
      </c>
      <c r="C183" t="s">
        <v>332</v>
      </c>
      <c r="D183" t="s">
        <v>3628</v>
      </c>
      <c r="E183" t="s">
        <v>2454</v>
      </c>
      <c r="F183" t="s">
        <v>2041</v>
      </c>
      <c r="G183" t="s">
        <v>2455</v>
      </c>
      <c r="H183" t="s">
        <v>2455</v>
      </c>
      <c r="I183" t="s">
        <v>2456</v>
      </c>
      <c r="J183" s="5" t="str" cm="1">
        <f t="array" ref="J183">IF(SUM(COUNTIF(Text_Preprocessing__2245[[#This Row],[full_text]],{"*makan siang gratis*";"*MBG*";"*makan gratis*";"*makan bergizi gratis*";"*makangratis*";"*makanan gratis*"})),"Relevan","Tidak Relevan")</f>
        <v>Relevan</v>
      </c>
    </row>
    <row r="184" spans="1:10" x14ac:dyDescent="0.35">
      <c r="A184">
        <f t="shared" si="2"/>
        <v>183</v>
      </c>
      <c r="B184" t="s">
        <v>2457</v>
      </c>
      <c r="C184" t="s">
        <v>330</v>
      </c>
      <c r="D184" t="s">
        <v>3628</v>
      </c>
      <c r="E184" t="s">
        <v>2458</v>
      </c>
      <c r="F184" t="s">
        <v>2143</v>
      </c>
      <c r="G184" t="s">
        <v>2459</v>
      </c>
      <c r="H184" t="s">
        <v>2460</v>
      </c>
      <c r="I184" t="s">
        <v>2461</v>
      </c>
      <c r="J184" s="5" t="str" cm="1">
        <f t="array" ref="J184">IF(SUM(COUNTIF(Text_Preprocessing__2245[[#This Row],[full_text]],{"*makan siang gratis*";"*MBG*";"*makan gratis*";"*makan bergizi gratis*";"*makangratis*";"*makanan gratis*"})),"Relevan","Tidak Relevan")</f>
        <v>Relevan</v>
      </c>
    </row>
    <row r="185" spans="1:10" x14ac:dyDescent="0.35">
      <c r="A185">
        <f t="shared" si="2"/>
        <v>184</v>
      </c>
      <c r="B185" t="s">
        <v>2462</v>
      </c>
      <c r="C185" t="s">
        <v>335</v>
      </c>
      <c r="D185" t="s">
        <v>3628</v>
      </c>
      <c r="E185" t="s">
        <v>2463</v>
      </c>
      <c r="F185" t="s">
        <v>1839</v>
      </c>
      <c r="G185" t="s">
        <v>2464</v>
      </c>
      <c r="H185" t="s">
        <v>2464</v>
      </c>
      <c r="I185" t="s">
        <v>2465</v>
      </c>
      <c r="J185" s="5" t="str" cm="1">
        <f t="array" ref="J185">IF(SUM(COUNTIF(Text_Preprocessing__2245[[#This Row],[full_text]],{"*makan siang gratis*";"*MBG*";"*makan gratis*";"*makan bergizi gratis*";"*makangratis*";"*makanan gratis*"})),"Relevan","Tidak Relevan")</f>
        <v>Relevan</v>
      </c>
    </row>
    <row r="186" spans="1:10" x14ac:dyDescent="0.35">
      <c r="A186">
        <f t="shared" si="2"/>
        <v>185</v>
      </c>
      <c r="B186" t="s">
        <v>2466</v>
      </c>
      <c r="C186" t="s">
        <v>337</v>
      </c>
      <c r="D186" t="s">
        <v>3632</v>
      </c>
      <c r="E186" t="s">
        <v>2467</v>
      </c>
      <c r="F186" t="s">
        <v>1629</v>
      </c>
      <c r="G186" t="s">
        <v>2468</v>
      </c>
      <c r="H186" t="s">
        <v>2469</v>
      </c>
      <c r="I186" t="s">
        <v>2470</v>
      </c>
      <c r="J186" s="5" t="str" cm="1">
        <f t="array" ref="J186">IF(SUM(COUNTIF(Text_Preprocessing__2245[[#This Row],[full_text]],{"*makan siang gratis*";"*MBG*";"*makan gratis*";"*makan bergizi gratis*";"*makangratis*";"*makanan gratis*"})),"Relevan","Tidak Relevan")</f>
        <v>Relevan</v>
      </c>
    </row>
    <row r="187" spans="1:10" x14ac:dyDescent="0.35">
      <c r="A187">
        <f t="shared" si="2"/>
        <v>186</v>
      </c>
      <c r="B187" t="s">
        <v>2471</v>
      </c>
      <c r="C187" t="s">
        <v>339</v>
      </c>
      <c r="D187" t="s">
        <v>3628</v>
      </c>
      <c r="E187" t="s">
        <v>2472</v>
      </c>
      <c r="F187" t="s">
        <v>1663</v>
      </c>
      <c r="G187" t="s">
        <v>2473</v>
      </c>
      <c r="H187" t="s">
        <v>2473</v>
      </c>
      <c r="I187" t="s">
        <v>2474</v>
      </c>
      <c r="J187" s="5" t="str" cm="1">
        <f t="array" ref="J187">IF(SUM(COUNTIF(Text_Preprocessing__2245[[#This Row],[full_text]],{"*makan siang gratis*";"*MBG*";"*makan gratis*";"*makan bergizi gratis*";"*makangratis*";"*makanan gratis*"})),"Relevan","Tidak Relevan")</f>
        <v>Relevan</v>
      </c>
    </row>
    <row r="188" spans="1:10" x14ac:dyDescent="0.35">
      <c r="A188">
        <f t="shared" si="2"/>
        <v>187</v>
      </c>
      <c r="B188" t="s">
        <v>2475</v>
      </c>
      <c r="C188" t="s">
        <v>341</v>
      </c>
      <c r="D188" t="s">
        <v>3628</v>
      </c>
      <c r="E188" t="s">
        <v>2476</v>
      </c>
      <c r="F188" t="s">
        <v>2109</v>
      </c>
      <c r="G188" t="s">
        <v>2477</v>
      </c>
      <c r="H188" t="s">
        <v>2477</v>
      </c>
      <c r="I188" t="s">
        <v>2478</v>
      </c>
      <c r="J188" s="5" t="str" cm="1">
        <f t="array" ref="J188">IF(SUM(COUNTIF(Text_Preprocessing__2245[[#This Row],[full_text]],{"*makan siang gratis*";"*MBG*";"*makan gratis*";"*makan bergizi gratis*";"*makangratis*";"*makanan gratis*"})),"Relevan","Tidak Relevan")</f>
        <v>Relevan</v>
      </c>
    </row>
    <row r="189" spans="1:10" x14ac:dyDescent="0.35">
      <c r="A189">
        <f t="shared" si="2"/>
        <v>188</v>
      </c>
      <c r="B189" t="s">
        <v>2479</v>
      </c>
      <c r="C189" t="s">
        <v>343</v>
      </c>
      <c r="D189" t="s">
        <v>3628</v>
      </c>
      <c r="E189" t="s">
        <v>2480</v>
      </c>
      <c r="F189" t="s">
        <v>1990</v>
      </c>
      <c r="G189" t="s">
        <v>2481</v>
      </c>
      <c r="H189" t="s">
        <v>2481</v>
      </c>
      <c r="I189" t="s">
        <v>2482</v>
      </c>
      <c r="J189" s="5" t="str" cm="1">
        <f t="array" ref="J189">IF(SUM(COUNTIF(Text_Preprocessing__2245[[#This Row],[full_text]],{"*makan siang gratis*";"*MBG*";"*makan gratis*";"*makan bergizi gratis*";"*makangratis*";"*makanan gratis*"})),"Relevan","Tidak Relevan")</f>
        <v>Relevan</v>
      </c>
    </row>
    <row r="190" spans="1:10" x14ac:dyDescent="0.35">
      <c r="A190">
        <f t="shared" si="2"/>
        <v>189</v>
      </c>
      <c r="B190" t="s">
        <v>2483</v>
      </c>
      <c r="C190" t="s">
        <v>345</v>
      </c>
      <c r="D190" t="s">
        <v>3634</v>
      </c>
      <c r="E190" t="s">
        <v>2484</v>
      </c>
      <c r="F190" t="s">
        <v>1785</v>
      </c>
      <c r="G190" t="s">
        <v>2485</v>
      </c>
      <c r="H190" t="s">
        <v>2485</v>
      </c>
      <c r="I190" t="s">
        <v>2486</v>
      </c>
      <c r="J190" s="5" t="str" cm="1">
        <f t="array" ref="J190">IF(SUM(COUNTIF(Text_Preprocessing__2245[[#This Row],[full_text]],{"*makan siang gratis*";"*MBG*";"*makan gratis*";"*makan bergizi gratis*";"*makangratis*";"*makanan gratis*"})),"Relevan","Tidak Relevan")</f>
        <v>Relevan</v>
      </c>
    </row>
    <row r="191" spans="1:10" x14ac:dyDescent="0.35">
      <c r="A191">
        <f t="shared" si="2"/>
        <v>190</v>
      </c>
      <c r="B191" t="s">
        <v>2487</v>
      </c>
      <c r="C191" t="s">
        <v>347</v>
      </c>
      <c r="D191" t="s">
        <v>3628</v>
      </c>
      <c r="E191" t="s">
        <v>2488</v>
      </c>
      <c r="F191" t="s">
        <v>1844</v>
      </c>
      <c r="G191" t="s">
        <v>2489</v>
      </c>
      <c r="H191" t="s">
        <v>2489</v>
      </c>
      <c r="I191" t="s">
        <v>2490</v>
      </c>
      <c r="J191" s="5" t="str" cm="1">
        <f t="array" ref="J191">IF(SUM(COUNTIF(Text_Preprocessing__2245[[#This Row],[full_text]],{"*makan siang gratis*";"*MBG*";"*makan gratis*";"*makan bergizi gratis*";"*makangratis*";"*makanan gratis*"})),"Relevan","Tidak Relevan")</f>
        <v>Relevan</v>
      </c>
    </row>
    <row r="192" spans="1:10" x14ac:dyDescent="0.35">
      <c r="A192">
        <f t="shared" si="2"/>
        <v>191</v>
      </c>
      <c r="B192" t="s">
        <v>2491</v>
      </c>
      <c r="C192" t="s">
        <v>349</v>
      </c>
      <c r="D192" t="s">
        <v>3634</v>
      </c>
      <c r="E192" t="s">
        <v>2492</v>
      </c>
      <c r="F192" t="s">
        <v>1596</v>
      </c>
      <c r="G192" t="s">
        <v>2493</v>
      </c>
      <c r="H192" t="s">
        <v>2493</v>
      </c>
      <c r="I192" t="s">
        <v>2494</v>
      </c>
      <c r="J192" s="5" t="str" cm="1">
        <f t="array" ref="J192">IF(SUM(COUNTIF(Text_Preprocessing__2245[[#This Row],[full_text]],{"*makan siang gratis*";"*MBG*";"*makan gratis*";"*makan bergizi gratis*";"*makangratis*";"*makanan gratis*"})),"Relevan","Tidak Relevan")</f>
        <v>Relevan</v>
      </c>
    </row>
    <row r="193" spans="1:10" x14ac:dyDescent="0.35">
      <c r="A193">
        <f t="shared" si="2"/>
        <v>192</v>
      </c>
      <c r="B193" t="s">
        <v>2495</v>
      </c>
      <c r="C193" t="s">
        <v>76</v>
      </c>
      <c r="D193" t="s">
        <v>3634</v>
      </c>
      <c r="E193" t="s">
        <v>2496</v>
      </c>
      <c r="F193" t="s">
        <v>1794</v>
      </c>
      <c r="G193" t="s">
        <v>2497</v>
      </c>
      <c r="H193" t="s">
        <v>2497</v>
      </c>
      <c r="I193" t="s">
        <v>2498</v>
      </c>
      <c r="J193" s="5" t="str" cm="1">
        <f t="array" ref="J193">IF(SUM(COUNTIF(Text_Preprocessing__2245[[#This Row],[full_text]],{"*makan siang gratis*";"*MBG*";"*makan gratis*";"*makan bergizi gratis*";"*makangratis*";"*makanan gratis*"})),"Relevan","Tidak Relevan")</f>
        <v>Relevan</v>
      </c>
    </row>
    <row r="194" spans="1:10" x14ac:dyDescent="0.35">
      <c r="A194">
        <f t="shared" si="2"/>
        <v>193</v>
      </c>
      <c r="B194" t="s">
        <v>2499</v>
      </c>
      <c r="C194" t="s">
        <v>352</v>
      </c>
      <c r="D194" t="s">
        <v>3632</v>
      </c>
      <c r="E194" t="s">
        <v>2500</v>
      </c>
      <c r="F194" t="s">
        <v>2312</v>
      </c>
      <c r="G194" t="s">
        <v>2501</v>
      </c>
      <c r="H194" t="s">
        <v>2501</v>
      </c>
      <c r="I194" t="s">
        <v>2502</v>
      </c>
      <c r="J194" s="5" t="str" cm="1">
        <f t="array" ref="J194">IF(SUM(COUNTIF(Text_Preprocessing__2245[[#This Row],[full_text]],{"*makan siang gratis*";"*MBG*";"*makan gratis*";"*makan bergizi gratis*";"*makangratis*";"*makanan gratis*"})),"Relevan","Tidak Relevan")</f>
        <v>Relevan</v>
      </c>
    </row>
    <row r="195" spans="1:10" x14ac:dyDescent="0.35">
      <c r="A195">
        <f t="shared" si="2"/>
        <v>194</v>
      </c>
      <c r="B195" t="s">
        <v>2503</v>
      </c>
      <c r="C195" t="s">
        <v>354</v>
      </c>
      <c r="D195" t="s">
        <v>3629</v>
      </c>
      <c r="E195" t="s">
        <v>2504</v>
      </c>
      <c r="F195" t="s">
        <v>2505</v>
      </c>
      <c r="G195" t="s">
        <v>2506</v>
      </c>
      <c r="H195" t="s">
        <v>2506</v>
      </c>
      <c r="I195" t="s">
        <v>2507</v>
      </c>
      <c r="J195" s="5" t="str" cm="1">
        <f t="array" ref="J195">IF(SUM(COUNTIF(Text_Preprocessing__2245[[#This Row],[full_text]],{"*makan siang gratis*";"*MBG*";"*makan gratis*";"*makan bergizi gratis*";"*makangratis*";"*makanan gratis*"})),"Relevan","Tidak Relevan")</f>
        <v>Relevan</v>
      </c>
    </row>
    <row r="196" spans="1:10" x14ac:dyDescent="0.35">
      <c r="A196">
        <f t="shared" ref="A196:A259" si="3">SUM(A195+1)</f>
        <v>195</v>
      </c>
      <c r="B196" t="s">
        <v>2508</v>
      </c>
      <c r="C196" t="s">
        <v>76</v>
      </c>
      <c r="D196" t="s">
        <v>3634</v>
      </c>
      <c r="E196" t="s">
        <v>2509</v>
      </c>
      <c r="F196" t="s">
        <v>2510</v>
      </c>
      <c r="G196" t="s">
        <v>2511</v>
      </c>
      <c r="H196" t="s">
        <v>2511</v>
      </c>
      <c r="I196" t="s">
        <v>2512</v>
      </c>
      <c r="J196" s="5" t="str" cm="1">
        <f t="array" ref="J196">IF(SUM(COUNTIF(Text_Preprocessing__2245[[#This Row],[full_text]],{"*makan siang gratis*";"*MBG*";"*makan gratis*";"*makan bergizi gratis*";"*makangratis*";"*makanan gratis*"})),"Relevan","Tidak Relevan")</f>
        <v>Relevan</v>
      </c>
    </row>
    <row r="197" spans="1:10" x14ac:dyDescent="0.35">
      <c r="A197">
        <f t="shared" si="3"/>
        <v>196</v>
      </c>
      <c r="B197" t="s">
        <v>2513</v>
      </c>
      <c r="C197" t="s">
        <v>242</v>
      </c>
      <c r="D197" t="s">
        <v>3628</v>
      </c>
      <c r="E197" t="s">
        <v>2514</v>
      </c>
      <c r="F197" t="s">
        <v>2515</v>
      </c>
      <c r="G197" t="s">
        <v>2516</v>
      </c>
      <c r="H197" t="s">
        <v>2516</v>
      </c>
      <c r="I197" t="s">
        <v>2517</v>
      </c>
      <c r="J197" s="5" t="str" cm="1">
        <f t="array" ref="J197">IF(SUM(COUNTIF(Text_Preprocessing__2245[[#This Row],[full_text]],{"*makan siang gratis*";"*MBG*";"*makan gratis*";"*makan bergizi gratis*";"*makangratis*";"*makanan gratis*"})),"Relevan","Tidak Relevan")</f>
        <v>Relevan</v>
      </c>
    </row>
    <row r="198" spans="1:10" x14ac:dyDescent="0.35">
      <c r="A198">
        <f t="shared" si="3"/>
        <v>197</v>
      </c>
      <c r="B198" t="s">
        <v>2518</v>
      </c>
      <c r="C198" t="s">
        <v>242</v>
      </c>
      <c r="D198" t="s">
        <v>3628</v>
      </c>
      <c r="E198" t="s">
        <v>2519</v>
      </c>
      <c r="F198" t="s">
        <v>1680</v>
      </c>
      <c r="G198" t="s">
        <v>2520</v>
      </c>
      <c r="H198" t="s">
        <v>2520</v>
      </c>
      <c r="I198" t="s">
        <v>2521</v>
      </c>
      <c r="J198" s="5" t="str" cm="1">
        <f t="array" ref="J198">IF(SUM(COUNTIF(Text_Preprocessing__2245[[#This Row],[full_text]],{"*makan siang gratis*";"*MBG*";"*makan gratis*";"*makan bergizi gratis*";"*makangratis*";"*makanan gratis*"})),"Relevan","Tidak Relevan")</f>
        <v>Relevan</v>
      </c>
    </row>
    <row r="199" spans="1:10" x14ac:dyDescent="0.35">
      <c r="A199">
        <f t="shared" si="3"/>
        <v>198</v>
      </c>
      <c r="B199" t="s">
        <v>2522</v>
      </c>
      <c r="C199" t="s">
        <v>242</v>
      </c>
      <c r="D199" t="s">
        <v>3628</v>
      </c>
      <c r="E199" t="s">
        <v>2523</v>
      </c>
      <c r="F199" t="s">
        <v>2177</v>
      </c>
      <c r="G199" t="s">
        <v>2524</v>
      </c>
      <c r="H199" t="s">
        <v>2524</v>
      </c>
      <c r="I199" t="s">
        <v>2525</v>
      </c>
      <c r="J199" s="5" t="str" cm="1">
        <f t="array" ref="J199">IF(SUM(COUNTIF(Text_Preprocessing__2245[[#This Row],[full_text]],{"*makan siang gratis*";"*MBG*";"*makan gratis*";"*makan bergizi gratis*";"*makangratis*";"*makanan gratis*"})),"Relevan","Tidak Relevan")</f>
        <v>Relevan</v>
      </c>
    </row>
    <row r="200" spans="1:10" x14ac:dyDescent="0.35">
      <c r="A200">
        <f t="shared" si="3"/>
        <v>199</v>
      </c>
      <c r="B200" t="s">
        <v>2526</v>
      </c>
      <c r="C200" t="s">
        <v>213</v>
      </c>
      <c r="D200" t="s">
        <v>3628</v>
      </c>
      <c r="E200" t="s">
        <v>2527</v>
      </c>
      <c r="F200" t="s">
        <v>2143</v>
      </c>
      <c r="G200" t="s">
        <v>2528</v>
      </c>
      <c r="H200" t="s">
        <v>2528</v>
      </c>
      <c r="I200" t="s">
        <v>2529</v>
      </c>
      <c r="J200" s="5" t="str" cm="1">
        <f t="array" ref="J200">IF(SUM(COUNTIF(Text_Preprocessing__2245[[#This Row],[full_text]],{"*makan siang gratis*";"*MBG*";"*makan gratis*";"*makan bergizi gratis*";"*makangratis*";"*makanan gratis*"})),"Relevan","Tidak Relevan")</f>
        <v>Relevan</v>
      </c>
    </row>
    <row r="201" spans="1:10" x14ac:dyDescent="0.35">
      <c r="A201">
        <f t="shared" si="3"/>
        <v>200</v>
      </c>
      <c r="B201" t="s">
        <v>2530</v>
      </c>
      <c r="C201" t="s">
        <v>280</v>
      </c>
      <c r="D201" t="s">
        <v>3628</v>
      </c>
      <c r="E201" t="s">
        <v>2531</v>
      </c>
      <c r="F201" t="s">
        <v>1990</v>
      </c>
      <c r="G201" t="s">
        <v>2532</v>
      </c>
      <c r="H201" t="s">
        <v>2532</v>
      </c>
      <c r="I201" t="s">
        <v>2533</v>
      </c>
      <c r="J201" s="5" t="str" cm="1">
        <f t="array" ref="J201">IF(SUM(COUNTIF(Text_Preprocessing__2245[[#This Row],[full_text]],{"*makan siang gratis*";"*MBG*";"*makan gratis*";"*makan bergizi gratis*";"*makangratis*";"*makanan gratis*"})),"Relevan","Tidak Relevan")</f>
        <v>Relevan</v>
      </c>
    </row>
    <row r="202" spans="1:10" x14ac:dyDescent="0.35">
      <c r="A202">
        <f t="shared" si="3"/>
        <v>201</v>
      </c>
      <c r="B202" t="s">
        <v>2534</v>
      </c>
      <c r="C202" t="s">
        <v>304</v>
      </c>
      <c r="D202" t="s">
        <v>3628</v>
      </c>
      <c r="E202" t="s">
        <v>2535</v>
      </c>
      <c r="F202" t="s">
        <v>2387</v>
      </c>
      <c r="G202" t="s">
        <v>2536</v>
      </c>
      <c r="H202" t="s">
        <v>2536</v>
      </c>
      <c r="I202" t="s">
        <v>2537</v>
      </c>
      <c r="J202" s="5" t="str" cm="1">
        <f t="array" ref="J202">IF(SUM(COUNTIF(Text_Preprocessing__2245[[#This Row],[full_text]],{"*makan siang gratis*";"*MBG*";"*makan gratis*";"*makan bergizi gratis*";"*makangratis*";"*makanan gratis*"})),"Relevan","Tidak Relevan")</f>
        <v>Relevan</v>
      </c>
    </row>
    <row r="203" spans="1:10" x14ac:dyDescent="0.35">
      <c r="A203">
        <f t="shared" si="3"/>
        <v>202</v>
      </c>
      <c r="B203" t="s">
        <v>2538</v>
      </c>
      <c r="C203" t="s">
        <v>253</v>
      </c>
      <c r="D203" t="s">
        <v>3628</v>
      </c>
      <c r="E203" t="s">
        <v>2539</v>
      </c>
      <c r="F203" t="s">
        <v>2109</v>
      </c>
      <c r="G203" t="s">
        <v>2540</v>
      </c>
      <c r="H203" t="s">
        <v>2540</v>
      </c>
      <c r="I203" t="s">
        <v>2541</v>
      </c>
      <c r="J203" s="5" t="str" cm="1">
        <f t="array" ref="J203">IF(SUM(COUNTIF(Text_Preprocessing__2245[[#This Row],[full_text]],{"*makan siang gratis*";"*MBG*";"*makan gratis*";"*makan bergizi gratis*";"*makangratis*";"*makanan gratis*"})),"Relevan","Tidak Relevan")</f>
        <v>Relevan</v>
      </c>
    </row>
    <row r="204" spans="1:10" x14ac:dyDescent="0.35">
      <c r="A204">
        <f t="shared" si="3"/>
        <v>203</v>
      </c>
      <c r="B204" t="s">
        <v>2542</v>
      </c>
      <c r="C204" t="s">
        <v>274</v>
      </c>
      <c r="D204" t="s">
        <v>3628</v>
      </c>
      <c r="E204" t="s">
        <v>2543</v>
      </c>
      <c r="F204" t="s">
        <v>2510</v>
      </c>
      <c r="G204" t="s">
        <v>2544</v>
      </c>
      <c r="H204" t="s">
        <v>2545</v>
      </c>
      <c r="I204" t="s">
        <v>2546</v>
      </c>
      <c r="J204" s="5" t="str" cm="1">
        <f t="array" ref="J204">IF(SUM(COUNTIF(Text_Preprocessing__2245[[#This Row],[full_text]],{"*makan siang gratis*";"*MBG*";"*makan gratis*";"*makan bergizi gratis*";"*makangratis*";"*makanan gratis*"})),"Relevan","Tidak Relevan")</f>
        <v>Relevan</v>
      </c>
    </row>
    <row r="205" spans="1:10" x14ac:dyDescent="0.35">
      <c r="A205">
        <f t="shared" si="3"/>
        <v>204</v>
      </c>
      <c r="B205" t="s">
        <v>2547</v>
      </c>
      <c r="C205" t="s">
        <v>365</v>
      </c>
      <c r="D205" t="s">
        <v>3634</v>
      </c>
      <c r="E205" t="s">
        <v>2548</v>
      </c>
      <c r="F205" t="s">
        <v>1692</v>
      </c>
      <c r="G205" t="s">
        <v>2549</v>
      </c>
      <c r="H205" t="s">
        <v>2549</v>
      </c>
      <c r="I205" t="s">
        <v>2550</v>
      </c>
      <c r="J205" s="5" t="str" cm="1">
        <f t="array" ref="J205">IF(SUM(COUNTIF(Text_Preprocessing__2245[[#This Row],[full_text]],{"*makan siang gratis*";"*MBG*";"*makan gratis*";"*makan bergizi gratis*";"*makangratis*";"*makanan gratis*"})),"Relevan","Tidak Relevan")</f>
        <v>Relevan</v>
      </c>
    </row>
    <row r="206" spans="1:10" x14ac:dyDescent="0.35">
      <c r="A206">
        <f t="shared" si="3"/>
        <v>205</v>
      </c>
      <c r="B206" t="s">
        <v>2551</v>
      </c>
      <c r="C206" t="s">
        <v>367</v>
      </c>
      <c r="D206" t="s">
        <v>3632</v>
      </c>
      <c r="E206" t="s">
        <v>2552</v>
      </c>
      <c r="F206" t="s">
        <v>2553</v>
      </c>
      <c r="G206" t="s">
        <v>2554</v>
      </c>
      <c r="H206" t="s">
        <v>2554</v>
      </c>
      <c r="I206" t="s">
        <v>2555</v>
      </c>
      <c r="J206" s="5" t="str" cm="1">
        <f t="array" ref="J206">IF(SUM(COUNTIF(Text_Preprocessing__2245[[#This Row],[full_text]],{"*makan siang gratis*";"*MBG*";"*makan gratis*";"*makan bergizi gratis*";"*makangratis*";"*makanan gratis*"})),"Relevan","Tidak Relevan")</f>
        <v>Relevan</v>
      </c>
    </row>
    <row r="207" spans="1:10" x14ac:dyDescent="0.35">
      <c r="A207">
        <f t="shared" si="3"/>
        <v>206</v>
      </c>
      <c r="B207" t="s">
        <v>2556</v>
      </c>
      <c r="C207" t="s">
        <v>369</v>
      </c>
      <c r="D207" t="s">
        <v>3628</v>
      </c>
      <c r="E207" t="s">
        <v>2557</v>
      </c>
      <c r="F207" t="s">
        <v>2558</v>
      </c>
      <c r="G207" t="s">
        <v>2559</v>
      </c>
      <c r="H207" t="s">
        <v>2559</v>
      </c>
      <c r="I207" t="s">
        <v>2560</v>
      </c>
      <c r="J207" s="5" t="str" cm="1">
        <f t="array" ref="J207">IF(SUM(COUNTIF(Text_Preprocessing__2245[[#This Row],[full_text]],{"*makan siang gratis*";"*MBG*";"*makan gratis*";"*makan bergizi gratis*";"*makangratis*";"*makanan gratis*"})),"Relevan","Tidak Relevan")</f>
        <v>Relevan</v>
      </c>
    </row>
    <row r="208" spans="1:10" x14ac:dyDescent="0.35">
      <c r="A208">
        <f t="shared" si="3"/>
        <v>207</v>
      </c>
      <c r="B208" t="s">
        <v>2561</v>
      </c>
      <c r="C208" t="s">
        <v>371</v>
      </c>
      <c r="D208" t="s">
        <v>3628</v>
      </c>
      <c r="E208" t="s">
        <v>2562</v>
      </c>
      <c r="F208" t="s">
        <v>1596</v>
      </c>
      <c r="G208" t="s">
        <v>2563</v>
      </c>
      <c r="H208" t="s">
        <v>2563</v>
      </c>
      <c r="I208" t="s">
        <v>2564</v>
      </c>
      <c r="J208" s="5" t="str" cm="1">
        <f t="array" ref="J208">IF(SUM(COUNTIF(Text_Preprocessing__2245[[#This Row],[full_text]],{"*makan siang gratis*";"*MBG*";"*makan gratis*";"*makan bergizi gratis*";"*makangratis*";"*makanan gratis*"})),"Relevan","Tidak Relevan")</f>
        <v>Relevan</v>
      </c>
    </row>
    <row r="209" spans="1:10" x14ac:dyDescent="0.35">
      <c r="A209">
        <f t="shared" si="3"/>
        <v>208</v>
      </c>
      <c r="B209" t="s">
        <v>2565</v>
      </c>
      <c r="C209" t="s">
        <v>373</v>
      </c>
      <c r="D209" t="s">
        <v>3628</v>
      </c>
      <c r="E209" t="s">
        <v>2566</v>
      </c>
      <c r="F209" t="s">
        <v>1775</v>
      </c>
      <c r="G209" t="s">
        <v>2567</v>
      </c>
      <c r="H209" t="s">
        <v>2567</v>
      </c>
      <c r="I209" t="s">
        <v>2568</v>
      </c>
      <c r="J209" s="5" t="str" cm="1">
        <f t="array" ref="J209">IF(SUM(COUNTIF(Text_Preprocessing__2245[[#This Row],[full_text]],{"*makan siang gratis*";"*MBG*";"*makan gratis*";"*makan bergizi gratis*";"*makangratis*";"*makanan gratis*"})),"Relevan","Tidak Relevan")</f>
        <v>Relevan</v>
      </c>
    </row>
    <row r="210" spans="1:10" x14ac:dyDescent="0.35">
      <c r="A210">
        <f t="shared" si="3"/>
        <v>209</v>
      </c>
      <c r="B210" t="s">
        <v>2569</v>
      </c>
      <c r="C210" t="s">
        <v>375</v>
      </c>
      <c r="D210" t="s">
        <v>3634</v>
      </c>
      <c r="E210" t="s">
        <v>2570</v>
      </c>
      <c r="F210" t="s">
        <v>1663</v>
      </c>
      <c r="G210" t="s">
        <v>2571</v>
      </c>
      <c r="H210" t="s">
        <v>2571</v>
      </c>
      <c r="I210" t="s">
        <v>2572</v>
      </c>
      <c r="J210" s="5" t="str" cm="1">
        <f t="array" ref="J210">IF(SUM(COUNTIF(Text_Preprocessing__2245[[#This Row],[full_text]],{"*makan siang gratis*";"*MBG*";"*makan gratis*";"*makan bergizi gratis*";"*makangratis*";"*makanan gratis*"})),"Relevan","Tidak Relevan")</f>
        <v>Relevan</v>
      </c>
    </row>
    <row r="211" spans="1:10" x14ac:dyDescent="0.35">
      <c r="A211">
        <f t="shared" si="3"/>
        <v>210</v>
      </c>
      <c r="B211" t="s">
        <v>2573</v>
      </c>
      <c r="C211" t="s">
        <v>377</v>
      </c>
      <c r="D211" t="s">
        <v>3634</v>
      </c>
      <c r="E211" t="s">
        <v>2574</v>
      </c>
      <c r="F211" t="s">
        <v>1764</v>
      </c>
      <c r="G211" t="s">
        <v>2575</v>
      </c>
      <c r="H211" t="s">
        <v>2575</v>
      </c>
      <c r="I211" t="s">
        <v>2576</v>
      </c>
      <c r="J211" s="5" t="str" cm="1">
        <f t="array" ref="J211">IF(SUM(COUNTIF(Text_Preprocessing__2245[[#This Row],[full_text]],{"*makan siang gratis*";"*MBG*";"*makan gratis*";"*makan bergizi gratis*";"*makangratis*";"*makanan gratis*"})),"Relevan","Tidak Relevan")</f>
        <v>Relevan</v>
      </c>
    </row>
    <row r="212" spans="1:10" x14ac:dyDescent="0.35">
      <c r="A212">
        <f t="shared" si="3"/>
        <v>211</v>
      </c>
      <c r="B212" t="s">
        <v>2577</v>
      </c>
      <c r="C212" t="s">
        <v>379</v>
      </c>
      <c r="D212" t="s">
        <v>3632</v>
      </c>
      <c r="E212" t="s">
        <v>2578</v>
      </c>
      <c r="F212" t="s">
        <v>2134</v>
      </c>
      <c r="G212" t="s">
        <v>2579</v>
      </c>
      <c r="H212" t="s">
        <v>2579</v>
      </c>
      <c r="I212" t="s">
        <v>2580</v>
      </c>
      <c r="J212" s="5" t="str" cm="1">
        <f t="array" ref="J212">IF(SUM(COUNTIF(Text_Preprocessing__2245[[#This Row],[full_text]],{"*makan siang gratis*";"*MBG*";"*makan gratis*";"*makan bergizi gratis*";"*makangratis*";"*makanan gratis*"})),"Relevan","Tidak Relevan")</f>
        <v>Relevan</v>
      </c>
    </row>
    <row r="213" spans="1:10" x14ac:dyDescent="0.35">
      <c r="A213">
        <f t="shared" si="3"/>
        <v>212</v>
      </c>
      <c r="B213" t="s">
        <v>2581</v>
      </c>
      <c r="C213" t="s">
        <v>76</v>
      </c>
      <c r="D213" t="s">
        <v>3634</v>
      </c>
      <c r="E213" t="s">
        <v>2582</v>
      </c>
      <c r="F213" t="s">
        <v>2114</v>
      </c>
      <c r="G213" t="s">
        <v>2583</v>
      </c>
      <c r="H213" t="s">
        <v>2583</v>
      </c>
      <c r="I213" t="s">
        <v>2584</v>
      </c>
      <c r="J213" s="5" t="str" cm="1">
        <f t="array" ref="J213">IF(SUM(COUNTIF(Text_Preprocessing__2245[[#This Row],[full_text]],{"*makan siang gratis*";"*MBG*";"*makan gratis*";"*makan bergizi gratis*";"*makangratis*";"*makanan gratis*"})),"Relevan","Tidak Relevan")</f>
        <v>Relevan</v>
      </c>
    </row>
    <row r="214" spans="1:10" x14ac:dyDescent="0.35">
      <c r="A214">
        <f t="shared" si="3"/>
        <v>213</v>
      </c>
      <c r="B214" t="s">
        <v>2585</v>
      </c>
      <c r="C214" t="s">
        <v>382</v>
      </c>
      <c r="D214" t="s">
        <v>3628</v>
      </c>
      <c r="E214" t="s">
        <v>2586</v>
      </c>
      <c r="F214" t="s">
        <v>2114</v>
      </c>
      <c r="G214" t="s">
        <v>2587</v>
      </c>
      <c r="H214" t="s">
        <v>2587</v>
      </c>
      <c r="I214" t="s">
        <v>2588</v>
      </c>
      <c r="J214" s="5" t="str" cm="1">
        <f t="array" ref="J214">IF(SUM(COUNTIF(Text_Preprocessing__2245[[#This Row],[full_text]],{"*makan siang gratis*";"*MBG*";"*makan gratis*";"*makan bergizi gratis*";"*makangratis*";"*makanan gratis*"})),"Relevan","Tidak Relevan")</f>
        <v>Relevan</v>
      </c>
    </row>
    <row r="215" spans="1:10" x14ac:dyDescent="0.35">
      <c r="A215">
        <f t="shared" si="3"/>
        <v>214</v>
      </c>
      <c r="B215" t="s">
        <v>2589</v>
      </c>
      <c r="C215" t="s">
        <v>326</v>
      </c>
      <c r="D215" t="s">
        <v>3628</v>
      </c>
      <c r="E215" t="s">
        <v>2590</v>
      </c>
      <c r="F215" t="s">
        <v>1999</v>
      </c>
      <c r="G215" t="s">
        <v>2591</v>
      </c>
      <c r="H215" t="s">
        <v>2591</v>
      </c>
      <c r="I215" t="s">
        <v>2592</v>
      </c>
      <c r="J215" s="5" t="str" cm="1">
        <f t="array" ref="J215">IF(SUM(COUNTIF(Text_Preprocessing__2245[[#This Row],[full_text]],{"*makan siang gratis*";"*MBG*";"*makan gratis*";"*makan bergizi gratis*";"*makangratis*";"*makanan gratis*"})),"Relevan","Tidak Relevan")</f>
        <v>Relevan</v>
      </c>
    </row>
    <row r="216" spans="1:10" x14ac:dyDescent="0.35">
      <c r="A216">
        <f t="shared" si="3"/>
        <v>215</v>
      </c>
      <c r="B216" t="s">
        <v>2593</v>
      </c>
      <c r="C216" t="s">
        <v>4</v>
      </c>
      <c r="D216" t="s">
        <v>3628</v>
      </c>
      <c r="E216" t="s">
        <v>2594</v>
      </c>
      <c r="F216" t="s">
        <v>1601</v>
      </c>
      <c r="G216" t="s">
        <v>2595</v>
      </c>
      <c r="H216" t="s">
        <v>2595</v>
      </c>
      <c r="I216" t="s">
        <v>2596</v>
      </c>
      <c r="J216" s="5" t="str" cm="1">
        <f t="array" ref="J216">IF(SUM(COUNTIF(Text_Preprocessing__2245[[#This Row],[full_text]],{"*makan siang gratis*";"*MBG*";"*makan gratis*";"*makan bergizi gratis*";"*makangratis*";"*makanan gratis*"})),"Relevan","Tidak Relevan")</f>
        <v>Relevan</v>
      </c>
    </row>
    <row r="217" spans="1:10" x14ac:dyDescent="0.35">
      <c r="A217">
        <f t="shared" si="3"/>
        <v>216</v>
      </c>
      <c r="B217" t="s">
        <v>2593</v>
      </c>
      <c r="C217" t="s">
        <v>4</v>
      </c>
      <c r="D217" t="s">
        <v>3628</v>
      </c>
      <c r="E217" t="s">
        <v>2594</v>
      </c>
      <c r="F217" t="s">
        <v>1601</v>
      </c>
      <c r="G217" t="s">
        <v>2595</v>
      </c>
      <c r="H217" t="s">
        <v>2595</v>
      </c>
      <c r="I217" t="s">
        <v>2596</v>
      </c>
      <c r="J217" s="5" t="str" cm="1">
        <f t="array" ref="J217">IF(SUM(COUNTIF(Text_Preprocessing__2245[[#This Row],[full_text]],{"*makan siang gratis*";"*MBG*";"*makan gratis*";"*makan bergizi gratis*";"*makangratis*";"*makanan gratis*"})),"Relevan","Tidak Relevan")</f>
        <v>Relevan</v>
      </c>
    </row>
    <row r="218" spans="1:10" x14ac:dyDescent="0.35">
      <c r="A218">
        <f t="shared" si="3"/>
        <v>217</v>
      </c>
      <c r="B218" t="s">
        <v>2593</v>
      </c>
      <c r="C218" t="s">
        <v>4</v>
      </c>
      <c r="D218" t="s">
        <v>3628</v>
      </c>
      <c r="E218" t="s">
        <v>2594</v>
      </c>
      <c r="F218" t="s">
        <v>1601</v>
      </c>
      <c r="G218" t="s">
        <v>2595</v>
      </c>
      <c r="H218" t="s">
        <v>2595</v>
      </c>
      <c r="I218" t="s">
        <v>2596</v>
      </c>
      <c r="J218" s="5" t="str" cm="1">
        <f t="array" ref="J218">IF(SUM(COUNTIF(Text_Preprocessing__2245[[#This Row],[full_text]],{"*makan siang gratis*";"*MBG*";"*makan gratis*";"*makan bergizi gratis*";"*makangratis*";"*makanan gratis*"})),"Relevan","Tidak Relevan")</f>
        <v>Relevan</v>
      </c>
    </row>
    <row r="219" spans="1:10" x14ac:dyDescent="0.35">
      <c r="A219">
        <f t="shared" si="3"/>
        <v>218</v>
      </c>
      <c r="B219" t="s">
        <v>2593</v>
      </c>
      <c r="C219" t="s">
        <v>4</v>
      </c>
      <c r="D219" t="s">
        <v>3628</v>
      </c>
      <c r="E219" t="s">
        <v>2594</v>
      </c>
      <c r="F219" t="s">
        <v>1601</v>
      </c>
      <c r="G219" t="s">
        <v>2595</v>
      </c>
      <c r="H219" t="s">
        <v>2595</v>
      </c>
      <c r="I219" t="s">
        <v>2596</v>
      </c>
      <c r="J219" s="5" t="str" cm="1">
        <f t="array" ref="J219">IF(SUM(COUNTIF(Text_Preprocessing__2245[[#This Row],[full_text]],{"*makan siang gratis*";"*MBG*";"*makan gratis*";"*makan bergizi gratis*";"*makangratis*";"*makanan gratis*"})),"Relevan","Tidak Relevan")</f>
        <v>Relevan</v>
      </c>
    </row>
    <row r="220" spans="1:10" x14ac:dyDescent="0.35">
      <c r="A220">
        <f t="shared" si="3"/>
        <v>219</v>
      </c>
      <c r="B220" t="s">
        <v>2597</v>
      </c>
      <c r="C220" t="s">
        <v>242</v>
      </c>
      <c r="D220" t="s">
        <v>3628</v>
      </c>
      <c r="E220" t="s">
        <v>2598</v>
      </c>
      <c r="F220" t="s">
        <v>2599</v>
      </c>
      <c r="G220" t="s">
        <v>2600</v>
      </c>
      <c r="H220" t="s">
        <v>2600</v>
      </c>
      <c r="I220" t="s">
        <v>2601</v>
      </c>
      <c r="J220" s="5" t="str" cm="1">
        <f t="array" ref="J220">IF(SUM(COUNTIF(Text_Preprocessing__2245[[#This Row],[full_text]],{"*makan siang gratis*";"*MBG*";"*makan gratis*";"*makan bergizi gratis*";"*makangratis*";"*makanan gratis*"})),"Relevan","Tidak Relevan")</f>
        <v>Relevan</v>
      </c>
    </row>
    <row r="221" spans="1:10" x14ac:dyDescent="0.35">
      <c r="A221">
        <f t="shared" si="3"/>
        <v>220</v>
      </c>
      <c r="B221" t="s">
        <v>2602</v>
      </c>
      <c r="C221" t="s">
        <v>280</v>
      </c>
      <c r="D221" t="s">
        <v>3628</v>
      </c>
      <c r="E221" t="s">
        <v>2603</v>
      </c>
      <c r="F221" t="s">
        <v>2604</v>
      </c>
      <c r="G221" t="s">
        <v>2605</v>
      </c>
      <c r="H221" t="s">
        <v>2605</v>
      </c>
      <c r="I221" t="s">
        <v>2606</v>
      </c>
      <c r="J221" s="5" t="str" cm="1">
        <f t="array" ref="J221">IF(SUM(COUNTIF(Text_Preprocessing__2245[[#This Row],[full_text]],{"*makan siang gratis*";"*MBG*";"*makan gratis*";"*makan bergizi gratis*";"*makangratis*";"*makanan gratis*"})),"Relevan","Tidak Relevan")</f>
        <v>Relevan</v>
      </c>
    </row>
    <row r="222" spans="1:10" x14ac:dyDescent="0.35">
      <c r="A222">
        <f t="shared" si="3"/>
        <v>221</v>
      </c>
      <c r="B222" t="s">
        <v>2607</v>
      </c>
      <c r="C222" t="s">
        <v>391</v>
      </c>
      <c r="D222" t="s">
        <v>3628</v>
      </c>
      <c r="E222" t="s">
        <v>2608</v>
      </c>
      <c r="F222" t="s">
        <v>2609</v>
      </c>
      <c r="G222" t="s">
        <v>2610</v>
      </c>
      <c r="H222" t="s">
        <v>2610</v>
      </c>
      <c r="I222" t="s">
        <v>2611</v>
      </c>
      <c r="J222" s="5" t="str" cm="1">
        <f t="array" ref="J222">IF(SUM(COUNTIF(Text_Preprocessing__2245[[#This Row],[full_text]],{"*makan siang gratis*";"*MBG*";"*makan gratis*";"*makan bergizi gratis*";"*makangratis*";"*makanan gratis*"})),"Relevan","Tidak Relevan")</f>
        <v>Relevan</v>
      </c>
    </row>
    <row r="223" spans="1:10" x14ac:dyDescent="0.35">
      <c r="A223">
        <f t="shared" si="3"/>
        <v>222</v>
      </c>
      <c r="B223" t="s">
        <v>2612</v>
      </c>
      <c r="C223" t="s">
        <v>393</v>
      </c>
      <c r="D223" t="s">
        <v>3628</v>
      </c>
      <c r="E223" t="s">
        <v>2613</v>
      </c>
      <c r="F223" t="s">
        <v>2272</v>
      </c>
      <c r="G223" t="s">
        <v>2614</v>
      </c>
      <c r="H223" t="s">
        <v>2614</v>
      </c>
      <c r="I223" t="s">
        <v>2615</v>
      </c>
      <c r="J223" s="5" t="str" cm="1">
        <f t="array" ref="J223">IF(SUM(COUNTIF(Text_Preprocessing__2245[[#This Row],[full_text]],{"*makan siang gratis*";"*MBG*";"*makan gratis*";"*makan bergizi gratis*";"*makangratis*";"*makanan gratis*"})),"Relevan","Tidak Relevan")</f>
        <v>Relevan</v>
      </c>
    </row>
    <row r="224" spans="1:10" x14ac:dyDescent="0.35">
      <c r="A224">
        <f t="shared" si="3"/>
        <v>223</v>
      </c>
      <c r="B224" t="s">
        <v>2616</v>
      </c>
      <c r="C224" t="s">
        <v>263</v>
      </c>
      <c r="D224" t="s">
        <v>3628</v>
      </c>
      <c r="E224" t="s">
        <v>2617</v>
      </c>
      <c r="F224" t="s">
        <v>2618</v>
      </c>
      <c r="G224" t="s">
        <v>2619</v>
      </c>
      <c r="H224" t="s">
        <v>2619</v>
      </c>
      <c r="I224" t="s">
        <v>2620</v>
      </c>
      <c r="J224" s="5" t="str" cm="1">
        <f t="array" ref="J224">IF(SUM(COUNTIF(Text_Preprocessing__2245[[#This Row],[full_text]],{"*makan siang gratis*";"*MBG*";"*makan gratis*";"*makan bergizi gratis*";"*makangratis*";"*makanan gratis*"})),"Relevan","Tidak Relevan")</f>
        <v>Relevan</v>
      </c>
    </row>
    <row r="225" spans="1:10" x14ac:dyDescent="0.35">
      <c r="A225">
        <f t="shared" si="3"/>
        <v>224</v>
      </c>
      <c r="B225" t="s">
        <v>2621</v>
      </c>
      <c r="C225" t="s">
        <v>396</v>
      </c>
      <c r="D225" t="s">
        <v>3628</v>
      </c>
      <c r="E225" t="s">
        <v>2622</v>
      </c>
      <c r="F225" t="s">
        <v>2008</v>
      </c>
      <c r="G225" t="s">
        <v>2623</v>
      </c>
      <c r="H225" t="s">
        <v>2623</v>
      </c>
      <c r="I225" t="s">
        <v>2624</v>
      </c>
      <c r="J225" s="5" t="str" cm="1">
        <f t="array" ref="J225">IF(SUM(COUNTIF(Text_Preprocessing__2245[[#This Row],[full_text]],{"*makan siang gratis*";"*MBG*";"*makan gratis*";"*makan bergizi gratis*";"*makangratis*";"*makanan gratis*"})),"Relevan","Tidak Relevan")</f>
        <v>Relevan</v>
      </c>
    </row>
    <row r="226" spans="1:10" x14ac:dyDescent="0.35">
      <c r="A226">
        <f t="shared" si="3"/>
        <v>225</v>
      </c>
      <c r="B226" t="s">
        <v>2625</v>
      </c>
      <c r="C226" t="s">
        <v>304</v>
      </c>
      <c r="D226" t="s">
        <v>3628</v>
      </c>
      <c r="E226" t="s">
        <v>2626</v>
      </c>
      <c r="F226" t="s">
        <v>2627</v>
      </c>
      <c r="G226" t="s">
        <v>2628</v>
      </c>
      <c r="H226" t="s">
        <v>2628</v>
      </c>
      <c r="I226" t="s">
        <v>2629</v>
      </c>
      <c r="J226" s="5" t="str" cm="1">
        <f t="array" ref="J226">IF(SUM(COUNTIF(Text_Preprocessing__2245[[#This Row],[full_text]],{"*makan siang gratis*";"*MBG*";"*makan gratis*";"*makan bergizi gratis*";"*makangratis*";"*makanan gratis*"})),"Relevan","Tidak Relevan")</f>
        <v>Relevan</v>
      </c>
    </row>
    <row r="227" spans="1:10" x14ac:dyDescent="0.35">
      <c r="A227">
        <f t="shared" si="3"/>
        <v>226</v>
      </c>
      <c r="B227" t="s">
        <v>2630</v>
      </c>
      <c r="C227" t="s">
        <v>213</v>
      </c>
      <c r="D227" t="s">
        <v>3628</v>
      </c>
      <c r="E227" t="s">
        <v>2631</v>
      </c>
      <c r="F227" t="s">
        <v>1785</v>
      </c>
      <c r="G227" t="s">
        <v>2632</v>
      </c>
      <c r="H227" t="s">
        <v>2632</v>
      </c>
      <c r="I227" t="s">
        <v>2633</v>
      </c>
      <c r="J227" s="5" t="str" cm="1">
        <f t="array" ref="J227">IF(SUM(COUNTIF(Text_Preprocessing__2245[[#This Row],[full_text]],{"*makan siang gratis*";"*MBG*";"*makan gratis*";"*makan bergizi gratis*";"*makangratis*";"*makanan gratis*"})),"Relevan","Tidak Relevan")</f>
        <v>Relevan</v>
      </c>
    </row>
    <row r="228" spans="1:10" x14ac:dyDescent="0.35">
      <c r="A228">
        <f t="shared" si="3"/>
        <v>227</v>
      </c>
      <c r="B228" t="s">
        <v>2634</v>
      </c>
      <c r="C228" t="s">
        <v>259</v>
      </c>
      <c r="D228" t="s">
        <v>3628</v>
      </c>
      <c r="E228" t="s">
        <v>2635</v>
      </c>
      <c r="F228" t="s">
        <v>2186</v>
      </c>
      <c r="G228" t="s">
        <v>2636</v>
      </c>
      <c r="H228" t="s">
        <v>2636</v>
      </c>
      <c r="I228" t="s">
        <v>2637</v>
      </c>
      <c r="J228" s="5" t="str" cm="1">
        <f t="array" ref="J228">IF(SUM(COUNTIF(Text_Preprocessing__2245[[#This Row],[full_text]],{"*makan siang gratis*";"*MBG*";"*makan gratis*";"*makan bergizi gratis*";"*makangratis*";"*makanan gratis*"})),"Relevan","Tidak Relevan")</f>
        <v>Relevan</v>
      </c>
    </row>
    <row r="229" spans="1:10" x14ac:dyDescent="0.35">
      <c r="A229">
        <f t="shared" si="3"/>
        <v>228</v>
      </c>
      <c r="B229" t="s">
        <v>2638</v>
      </c>
      <c r="C229" t="s">
        <v>401</v>
      </c>
      <c r="D229" t="s">
        <v>3634</v>
      </c>
      <c r="E229" t="s">
        <v>2639</v>
      </c>
      <c r="F229" t="s">
        <v>2640</v>
      </c>
      <c r="G229" t="s">
        <v>2641</v>
      </c>
      <c r="H229" t="s">
        <v>2642</v>
      </c>
      <c r="I229" t="s">
        <v>2643</v>
      </c>
      <c r="J229" s="5" t="str" cm="1">
        <f t="array" ref="J229">IF(SUM(COUNTIF(Text_Preprocessing__2245[[#This Row],[full_text]],{"*makan siang gratis*";"*MBG*";"*makan gratis*";"*makan bergizi gratis*";"*makangratis*";"*makanan gratis*"})),"Relevan","Tidak Relevan")</f>
        <v>Relevan</v>
      </c>
    </row>
    <row r="230" spans="1:10" x14ac:dyDescent="0.35">
      <c r="A230">
        <f t="shared" si="3"/>
        <v>229</v>
      </c>
      <c r="B230" t="s">
        <v>2644</v>
      </c>
      <c r="C230" t="s">
        <v>403</v>
      </c>
      <c r="D230" t="s">
        <v>3628</v>
      </c>
      <c r="E230" t="s">
        <v>2645</v>
      </c>
      <c r="F230" t="s">
        <v>2092</v>
      </c>
      <c r="G230" t="s">
        <v>2646</v>
      </c>
      <c r="H230" t="s">
        <v>2646</v>
      </c>
      <c r="I230" t="s">
        <v>2647</v>
      </c>
      <c r="J230" s="5" t="str" cm="1">
        <f t="array" ref="J230">IF(SUM(COUNTIF(Text_Preprocessing__2245[[#This Row],[full_text]],{"*makan siang gratis*";"*MBG*";"*makan gratis*";"*makan bergizi gratis*";"*makangratis*";"*makanan gratis*"})),"Relevan","Tidak Relevan")</f>
        <v>Relevan</v>
      </c>
    </row>
    <row r="231" spans="1:10" x14ac:dyDescent="0.35">
      <c r="A231">
        <f t="shared" si="3"/>
        <v>230</v>
      </c>
      <c r="B231" t="s">
        <v>2648</v>
      </c>
      <c r="C231" t="s">
        <v>405</v>
      </c>
      <c r="D231" t="s">
        <v>3634</v>
      </c>
      <c r="E231" t="s">
        <v>2649</v>
      </c>
      <c r="F231" t="s">
        <v>2558</v>
      </c>
      <c r="G231" t="s">
        <v>2650</v>
      </c>
      <c r="H231" t="s">
        <v>2650</v>
      </c>
      <c r="I231" t="s">
        <v>2651</v>
      </c>
      <c r="J231" s="5" t="str" cm="1">
        <f t="array" ref="J231">IF(SUM(COUNTIF(Text_Preprocessing__2245[[#This Row],[full_text]],{"*makan siang gratis*";"*MBG*";"*makan gratis*";"*makan bergizi gratis*";"*makangratis*";"*makanan gratis*"})),"Relevan","Tidak Relevan")</f>
        <v>Relevan</v>
      </c>
    </row>
    <row r="232" spans="1:10" x14ac:dyDescent="0.35">
      <c r="A232">
        <f t="shared" si="3"/>
        <v>231</v>
      </c>
      <c r="B232" t="s">
        <v>2652</v>
      </c>
      <c r="C232" t="s">
        <v>407</v>
      </c>
      <c r="D232" t="s">
        <v>3628</v>
      </c>
      <c r="E232" t="s">
        <v>2653</v>
      </c>
      <c r="F232" t="s">
        <v>1686</v>
      </c>
      <c r="G232" t="s">
        <v>2654</v>
      </c>
      <c r="H232" t="s">
        <v>2654</v>
      </c>
      <c r="I232" t="s">
        <v>2655</v>
      </c>
      <c r="J232" s="5" t="str" cm="1">
        <f t="array" ref="J232">IF(SUM(COUNTIF(Text_Preprocessing__2245[[#This Row],[full_text]],{"*makan siang gratis*";"*MBG*";"*makan gratis*";"*makan bergizi gratis*";"*makangratis*";"*makanan gratis*"})),"Relevan","Tidak Relevan")</f>
        <v>Relevan</v>
      </c>
    </row>
    <row r="233" spans="1:10" x14ac:dyDescent="0.35">
      <c r="A233">
        <f t="shared" si="3"/>
        <v>232</v>
      </c>
      <c r="B233" t="s">
        <v>2656</v>
      </c>
      <c r="C233" t="s">
        <v>409</v>
      </c>
      <c r="D233" t="s">
        <v>3632</v>
      </c>
      <c r="E233" t="s">
        <v>2657</v>
      </c>
      <c r="F233" t="s">
        <v>2627</v>
      </c>
      <c r="G233" t="s">
        <v>2658</v>
      </c>
      <c r="H233" t="s">
        <v>2658</v>
      </c>
      <c r="I233" t="s">
        <v>2659</v>
      </c>
      <c r="J233" s="5" t="str" cm="1">
        <f t="array" ref="J233">IF(SUM(COUNTIF(Text_Preprocessing__2245[[#This Row],[full_text]],{"*makan siang gratis*";"*MBG*";"*makan gratis*";"*makan bergizi gratis*";"*makangratis*";"*makanan gratis*"})),"Relevan","Tidak Relevan")</f>
        <v>Relevan</v>
      </c>
    </row>
    <row r="234" spans="1:10" x14ac:dyDescent="0.35">
      <c r="A234">
        <f t="shared" si="3"/>
        <v>233</v>
      </c>
      <c r="B234" t="s">
        <v>2660</v>
      </c>
      <c r="C234" t="s">
        <v>411</v>
      </c>
      <c r="D234" t="s">
        <v>3629</v>
      </c>
      <c r="E234" t="s">
        <v>2661</v>
      </c>
      <c r="F234" t="s">
        <v>1799</v>
      </c>
      <c r="G234" t="s">
        <v>2662</v>
      </c>
      <c r="H234" t="s">
        <v>2663</v>
      </c>
      <c r="I234" t="s">
        <v>2664</v>
      </c>
      <c r="J234" s="5" t="str" cm="1">
        <f t="array" ref="J234">IF(SUM(COUNTIF(Text_Preprocessing__2245[[#This Row],[full_text]],{"*makan siang gratis*";"*MBG*";"*makan gratis*";"*makan bergizi gratis*";"*makangratis*";"*makanan gratis*"})),"Relevan","Tidak Relevan")</f>
        <v>Relevan</v>
      </c>
    </row>
    <row r="235" spans="1:10" x14ac:dyDescent="0.35">
      <c r="A235">
        <f t="shared" si="3"/>
        <v>234</v>
      </c>
      <c r="B235" t="s">
        <v>2665</v>
      </c>
      <c r="C235" t="s">
        <v>413</v>
      </c>
      <c r="D235" t="s">
        <v>3628</v>
      </c>
      <c r="E235" t="s">
        <v>2666</v>
      </c>
      <c r="F235" t="s">
        <v>1730</v>
      </c>
      <c r="G235" t="s">
        <v>2667</v>
      </c>
      <c r="H235" t="s">
        <v>2667</v>
      </c>
      <c r="I235" t="s">
        <v>2668</v>
      </c>
      <c r="J235" s="5" t="str" cm="1">
        <f t="array" ref="J235">IF(SUM(COUNTIF(Text_Preprocessing__2245[[#This Row],[full_text]],{"*makan siang gratis*";"*MBG*";"*makan gratis*";"*makan bergizi gratis*";"*makangratis*";"*makanan gratis*"})),"Relevan","Tidak Relevan")</f>
        <v>Relevan</v>
      </c>
    </row>
    <row r="236" spans="1:10" x14ac:dyDescent="0.35">
      <c r="A236">
        <f t="shared" si="3"/>
        <v>235</v>
      </c>
      <c r="B236" t="s">
        <v>2669</v>
      </c>
      <c r="C236" t="s">
        <v>133</v>
      </c>
      <c r="D236" t="s">
        <v>3634</v>
      </c>
      <c r="E236" t="s">
        <v>2670</v>
      </c>
      <c r="F236" t="s">
        <v>2092</v>
      </c>
      <c r="G236" t="s">
        <v>2671</v>
      </c>
      <c r="H236" t="s">
        <v>2671</v>
      </c>
      <c r="I236" t="s">
        <v>2672</v>
      </c>
      <c r="J236" s="5" t="str" cm="1">
        <f t="array" ref="J236">IF(SUM(COUNTIF(Text_Preprocessing__2245[[#This Row],[full_text]],{"*makan siang gratis*";"*MBG*";"*makan gratis*";"*makan bergizi gratis*";"*makangratis*";"*makanan gratis*"})),"Relevan","Tidak Relevan")</f>
        <v>Relevan</v>
      </c>
    </row>
    <row r="237" spans="1:10" x14ac:dyDescent="0.35">
      <c r="A237">
        <f t="shared" si="3"/>
        <v>236</v>
      </c>
      <c r="B237" t="s">
        <v>2673</v>
      </c>
      <c r="C237" t="s">
        <v>382</v>
      </c>
      <c r="D237" t="s">
        <v>3628</v>
      </c>
      <c r="E237" t="s">
        <v>2674</v>
      </c>
      <c r="F237" t="s">
        <v>1607</v>
      </c>
      <c r="G237" t="s">
        <v>2675</v>
      </c>
      <c r="H237" t="s">
        <v>2675</v>
      </c>
      <c r="I237" t="s">
        <v>2676</v>
      </c>
      <c r="J237" s="5" t="str" cm="1">
        <f t="array" ref="J237">IF(SUM(COUNTIF(Text_Preprocessing__2245[[#This Row],[full_text]],{"*makan siang gratis*";"*MBG*";"*makan gratis*";"*makan bergizi gratis*";"*makangratis*";"*makanan gratis*"})),"Relevan","Tidak Relevan")</f>
        <v>Relevan</v>
      </c>
    </row>
    <row r="238" spans="1:10" x14ac:dyDescent="0.35">
      <c r="A238">
        <f t="shared" si="3"/>
        <v>237</v>
      </c>
      <c r="B238" t="s">
        <v>2677</v>
      </c>
      <c r="C238" t="s">
        <v>417</v>
      </c>
      <c r="D238" t="s">
        <v>3628</v>
      </c>
      <c r="E238" t="s">
        <v>2678</v>
      </c>
      <c r="F238" t="s">
        <v>2679</v>
      </c>
      <c r="G238" t="s">
        <v>2680</v>
      </c>
      <c r="H238" t="s">
        <v>2680</v>
      </c>
      <c r="I238" t="s">
        <v>2681</v>
      </c>
      <c r="J238" s="5" t="str" cm="1">
        <f t="array" ref="J238">IF(SUM(COUNTIF(Text_Preprocessing__2245[[#This Row],[full_text]],{"*makan siang gratis*";"*MBG*";"*makan gratis*";"*makan bergizi gratis*";"*makangratis*";"*makanan gratis*"})),"Relevan","Tidak Relevan")</f>
        <v>Relevan</v>
      </c>
    </row>
    <row r="239" spans="1:10" x14ac:dyDescent="0.35">
      <c r="A239">
        <f t="shared" si="3"/>
        <v>238</v>
      </c>
      <c r="B239" t="s">
        <v>2682</v>
      </c>
      <c r="C239" t="s">
        <v>419</v>
      </c>
      <c r="D239" t="s">
        <v>3628</v>
      </c>
      <c r="E239" t="s">
        <v>2683</v>
      </c>
      <c r="F239" t="s">
        <v>2684</v>
      </c>
      <c r="G239" t="s">
        <v>2685</v>
      </c>
      <c r="H239" t="s">
        <v>2686</v>
      </c>
      <c r="I239" t="s">
        <v>2687</v>
      </c>
      <c r="J239" s="5" t="str" cm="1">
        <f t="array" ref="J239">IF(SUM(COUNTIF(Text_Preprocessing__2245[[#This Row],[full_text]],{"*makan siang gratis*";"*MBG*";"*makan gratis*";"*makan bergizi gratis*";"*makangratis*";"*makanan gratis*"})),"Relevan","Tidak Relevan")</f>
        <v>Relevan</v>
      </c>
    </row>
    <row r="240" spans="1:10" x14ac:dyDescent="0.35">
      <c r="A240">
        <f t="shared" si="3"/>
        <v>239</v>
      </c>
      <c r="B240" t="s">
        <v>2688</v>
      </c>
      <c r="C240" t="s">
        <v>421</v>
      </c>
      <c r="D240" t="s">
        <v>3632</v>
      </c>
      <c r="E240" t="s">
        <v>2689</v>
      </c>
      <c r="F240" t="s">
        <v>2690</v>
      </c>
      <c r="G240" t="s">
        <v>2691</v>
      </c>
      <c r="H240" t="s">
        <v>2691</v>
      </c>
      <c r="I240" t="s">
        <v>2692</v>
      </c>
      <c r="J240" s="5" t="str" cm="1">
        <f t="array" ref="J240">IF(SUM(COUNTIF(Text_Preprocessing__2245[[#This Row],[full_text]],{"*makan siang gratis*";"*MBG*";"*makan gratis*";"*makan bergizi gratis*";"*makangratis*";"*makanan gratis*"})),"Relevan","Tidak Relevan")</f>
        <v>Relevan</v>
      </c>
    </row>
    <row r="241" spans="1:10" x14ac:dyDescent="0.35">
      <c r="A241">
        <f t="shared" si="3"/>
        <v>240</v>
      </c>
      <c r="B241" t="s">
        <v>2693</v>
      </c>
      <c r="C241" t="s">
        <v>379</v>
      </c>
      <c r="D241" t="s">
        <v>3632</v>
      </c>
      <c r="E241" t="s">
        <v>2694</v>
      </c>
      <c r="F241" t="s">
        <v>2082</v>
      </c>
      <c r="G241" t="s">
        <v>2695</v>
      </c>
      <c r="H241" t="s">
        <v>2695</v>
      </c>
      <c r="I241" t="s">
        <v>2696</v>
      </c>
      <c r="J241" s="5" t="str" cm="1">
        <f t="array" ref="J241">IF(SUM(COUNTIF(Text_Preprocessing__2245[[#This Row],[full_text]],{"*makan siang gratis*";"*MBG*";"*makan gratis*";"*makan bergizi gratis*";"*makangratis*";"*makanan gratis*"})),"Relevan","Tidak Relevan")</f>
        <v>Relevan</v>
      </c>
    </row>
    <row r="242" spans="1:10" x14ac:dyDescent="0.35">
      <c r="A242">
        <f t="shared" si="3"/>
        <v>241</v>
      </c>
      <c r="B242" t="s">
        <v>2697</v>
      </c>
      <c r="C242" t="s">
        <v>411</v>
      </c>
      <c r="D242" t="s">
        <v>3629</v>
      </c>
      <c r="E242" t="s">
        <v>2698</v>
      </c>
      <c r="F242" t="s">
        <v>1613</v>
      </c>
      <c r="G242" t="s">
        <v>2699</v>
      </c>
      <c r="H242" t="s">
        <v>2700</v>
      </c>
      <c r="I242" t="s">
        <v>2701</v>
      </c>
      <c r="J242" s="5" t="str" cm="1">
        <f t="array" ref="J242">IF(SUM(COUNTIF(Text_Preprocessing__2245[[#This Row],[full_text]],{"*makan siang gratis*";"*MBG*";"*makan gratis*";"*makan bergizi gratis*";"*makangratis*";"*makanan gratis*"})),"Relevan","Tidak Relevan")</f>
        <v>Relevan</v>
      </c>
    </row>
    <row r="243" spans="1:10" x14ac:dyDescent="0.35">
      <c r="A243">
        <f t="shared" si="3"/>
        <v>242</v>
      </c>
      <c r="B243" t="s">
        <v>2702</v>
      </c>
      <c r="C243" t="s">
        <v>133</v>
      </c>
      <c r="D243" t="s">
        <v>3634</v>
      </c>
      <c r="E243" t="s">
        <v>2703</v>
      </c>
      <c r="F243" t="s">
        <v>2335</v>
      </c>
      <c r="G243" t="s">
        <v>2704</v>
      </c>
      <c r="H243" t="s">
        <v>2704</v>
      </c>
      <c r="I243" t="s">
        <v>2705</v>
      </c>
      <c r="J243" s="5" t="str" cm="1">
        <f t="array" ref="J243">IF(SUM(COUNTIF(Text_Preprocessing__2245[[#This Row],[full_text]],{"*makan siang gratis*";"*MBG*";"*makan gratis*";"*makan bergizi gratis*";"*makangratis*";"*makanan gratis*"})),"Relevan","Tidak Relevan")</f>
        <v>Relevan</v>
      </c>
    </row>
    <row r="244" spans="1:10" x14ac:dyDescent="0.35">
      <c r="A244">
        <f t="shared" si="3"/>
        <v>243</v>
      </c>
      <c r="B244" t="s">
        <v>2706</v>
      </c>
      <c r="C244" t="s">
        <v>426</v>
      </c>
      <c r="D244" t="s">
        <v>3629</v>
      </c>
      <c r="E244" t="s">
        <v>2707</v>
      </c>
      <c r="F244" t="s">
        <v>1809</v>
      </c>
      <c r="G244" t="s">
        <v>2707</v>
      </c>
      <c r="H244" t="s">
        <v>2707</v>
      </c>
      <c r="I244" t="s">
        <v>2708</v>
      </c>
      <c r="J244" s="5" t="str" cm="1">
        <f t="array" ref="J244">IF(SUM(COUNTIF(Text_Preprocessing__2245[[#This Row],[full_text]],{"*makan siang gratis*";"*MBG*";"*makan gratis*";"*makan bergizi gratis*";"*makangratis*";"*makanan gratis*"})),"Relevan","Tidak Relevan")</f>
        <v>Relevan</v>
      </c>
    </row>
    <row r="245" spans="1:10" x14ac:dyDescent="0.35">
      <c r="A245">
        <f t="shared" si="3"/>
        <v>244</v>
      </c>
      <c r="B245" t="s">
        <v>2709</v>
      </c>
      <c r="C245" t="s">
        <v>428</v>
      </c>
      <c r="D245" t="s">
        <v>3630</v>
      </c>
      <c r="E245" t="s">
        <v>2710</v>
      </c>
      <c r="F245" t="s">
        <v>2092</v>
      </c>
      <c r="G245" t="s">
        <v>2711</v>
      </c>
      <c r="H245" t="s">
        <v>2711</v>
      </c>
      <c r="I245" t="s">
        <v>2712</v>
      </c>
      <c r="J245" s="5" t="str" cm="1">
        <f t="array" ref="J245">IF(SUM(COUNTIF(Text_Preprocessing__2245[[#This Row],[full_text]],{"*makan siang gratis*";"*MBG*";"*makan gratis*";"*makan bergizi gratis*";"*makangratis*";"*makanan gratis*"})),"Relevan","Tidak Relevan")</f>
        <v>Relevan</v>
      </c>
    </row>
    <row r="246" spans="1:10" x14ac:dyDescent="0.35">
      <c r="A246">
        <f t="shared" si="3"/>
        <v>245</v>
      </c>
      <c r="B246" t="s">
        <v>2713</v>
      </c>
      <c r="C246" t="s">
        <v>137</v>
      </c>
      <c r="D246" t="s">
        <v>3634</v>
      </c>
      <c r="E246" t="s">
        <v>2714</v>
      </c>
      <c r="F246" t="s">
        <v>1999</v>
      </c>
      <c r="G246" t="s">
        <v>2715</v>
      </c>
      <c r="H246" t="s">
        <v>2715</v>
      </c>
      <c r="I246" t="s">
        <v>2716</v>
      </c>
      <c r="J246" s="5" t="str" cm="1">
        <f t="array" ref="J246">IF(SUM(COUNTIF(Text_Preprocessing__2245[[#This Row],[full_text]],{"*makan siang gratis*";"*MBG*";"*makan gratis*";"*makan bergizi gratis*";"*makangratis*";"*makanan gratis*"})),"Relevan","Tidak Relevan")</f>
        <v>Relevan</v>
      </c>
    </row>
    <row r="247" spans="1:10" x14ac:dyDescent="0.35">
      <c r="A247">
        <f t="shared" si="3"/>
        <v>246</v>
      </c>
      <c r="B247" t="s">
        <v>2717</v>
      </c>
      <c r="C247" t="s">
        <v>431</v>
      </c>
      <c r="D247" t="s">
        <v>3634</v>
      </c>
      <c r="E247" t="s">
        <v>2718</v>
      </c>
      <c r="F247" t="s">
        <v>1799</v>
      </c>
      <c r="G247" t="s">
        <v>2719</v>
      </c>
      <c r="H247" t="s">
        <v>2719</v>
      </c>
      <c r="I247" t="s">
        <v>2720</v>
      </c>
      <c r="J247" s="5" t="str" cm="1">
        <f t="array" ref="J247">IF(SUM(COUNTIF(Text_Preprocessing__2245[[#This Row],[full_text]],{"*makan siang gratis*";"*MBG*";"*makan gratis*";"*makan bergizi gratis*";"*makangratis*";"*makanan gratis*"})),"Relevan","Tidak Relevan")</f>
        <v>Relevan</v>
      </c>
    </row>
    <row r="248" spans="1:10" x14ac:dyDescent="0.35">
      <c r="A248">
        <f t="shared" si="3"/>
        <v>247</v>
      </c>
      <c r="B248" t="s">
        <v>2721</v>
      </c>
      <c r="C248" t="s">
        <v>433</v>
      </c>
      <c r="D248" t="s">
        <v>3628</v>
      </c>
      <c r="E248" t="s">
        <v>2722</v>
      </c>
      <c r="F248" t="s">
        <v>2177</v>
      </c>
      <c r="G248" t="s">
        <v>2723</v>
      </c>
      <c r="H248" t="s">
        <v>2723</v>
      </c>
      <c r="I248" t="s">
        <v>2724</v>
      </c>
      <c r="J248" s="5" t="str" cm="1">
        <f t="array" ref="J248">IF(SUM(COUNTIF(Text_Preprocessing__2245[[#This Row],[full_text]],{"*makan siang gratis*";"*MBG*";"*makan gratis*";"*makan bergizi gratis*";"*makangratis*";"*makanan gratis*"})),"Relevan","Tidak Relevan")</f>
        <v>Relevan</v>
      </c>
    </row>
    <row r="249" spans="1:10" x14ac:dyDescent="0.35">
      <c r="A249">
        <f t="shared" si="3"/>
        <v>248</v>
      </c>
      <c r="B249" t="s">
        <v>2725</v>
      </c>
      <c r="C249" t="s">
        <v>435</v>
      </c>
      <c r="D249" t="s">
        <v>3628</v>
      </c>
      <c r="E249" t="s">
        <v>2726</v>
      </c>
      <c r="F249" t="s">
        <v>1758</v>
      </c>
      <c r="G249" t="s">
        <v>2727</v>
      </c>
      <c r="H249" t="s">
        <v>2727</v>
      </c>
      <c r="I249" t="s">
        <v>2728</v>
      </c>
      <c r="J249" s="5" t="str" cm="1">
        <f t="array" ref="J249">IF(SUM(COUNTIF(Text_Preprocessing__2245[[#This Row],[full_text]],{"*makan siang gratis*";"*MBG*";"*makan gratis*";"*makan bergizi gratis*";"*makangratis*";"*makanan gratis*"})),"Relevan","Tidak Relevan")</f>
        <v>Relevan</v>
      </c>
    </row>
    <row r="250" spans="1:10" x14ac:dyDescent="0.35">
      <c r="A250">
        <f t="shared" si="3"/>
        <v>249</v>
      </c>
      <c r="B250" t="s">
        <v>2729</v>
      </c>
      <c r="C250" t="s">
        <v>437</v>
      </c>
      <c r="D250" t="s">
        <v>3628</v>
      </c>
      <c r="E250" t="s">
        <v>2730</v>
      </c>
      <c r="F250" t="s">
        <v>1629</v>
      </c>
      <c r="G250" t="s">
        <v>2731</v>
      </c>
      <c r="H250" t="s">
        <v>2731</v>
      </c>
      <c r="I250" t="s">
        <v>2732</v>
      </c>
      <c r="J250" s="5" t="str" cm="1">
        <f t="array" ref="J250">IF(SUM(COUNTIF(Text_Preprocessing__2245[[#This Row],[full_text]],{"*makan siang gratis*";"*MBG*";"*makan gratis*";"*makan bergizi gratis*";"*makangratis*";"*makanan gratis*"})),"Relevan","Tidak Relevan")</f>
        <v>Relevan</v>
      </c>
    </row>
    <row r="251" spans="1:10" x14ac:dyDescent="0.35">
      <c r="A251">
        <f t="shared" si="3"/>
        <v>250</v>
      </c>
      <c r="B251" t="s">
        <v>2733</v>
      </c>
      <c r="C251" t="s">
        <v>91</v>
      </c>
      <c r="D251" t="s">
        <v>3632</v>
      </c>
      <c r="E251" t="s">
        <v>2734</v>
      </c>
      <c r="F251" t="s">
        <v>2335</v>
      </c>
      <c r="G251" t="s">
        <v>2735</v>
      </c>
      <c r="H251" t="s">
        <v>2735</v>
      </c>
      <c r="I251" t="s">
        <v>2736</v>
      </c>
      <c r="J251" s="5" t="str" cm="1">
        <f t="array" ref="J251">IF(SUM(COUNTIF(Text_Preprocessing__2245[[#This Row],[full_text]],{"*makan siang gratis*";"*MBG*";"*makan gratis*";"*makan bergizi gratis*";"*makangratis*";"*makanan gratis*"})),"Relevan","Tidak Relevan")</f>
        <v>Relevan</v>
      </c>
    </row>
    <row r="252" spans="1:10" x14ac:dyDescent="0.35">
      <c r="A252">
        <f t="shared" si="3"/>
        <v>251</v>
      </c>
      <c r="B252" t="s">
        <v>2737</v>
      </c>
      <c r="C252" t="s">
        <v>440</v>
      </c>
      <c r="D252" t="s">
        <v>3632</v>
      </c>
      <c r="E252" t="s">
        <v>2738</v>
      </c>
      <c r="F252" t="s">
        <v>1674</v>
      </c>
      <c r="G252" t="s">
        <v>2739</v>
      </c>
      <c r="H252" t="s">
        <v>2739</v>
      </c>
      <c r="I252" t="s">
        <v>2740</v>
      </c>
      <c r="J252" s="5" t="str" cm="1">
        <f t="array" ref="J252">IF(SUM(COUNTIF(Text_Preprocessing__2245[[#This Row],[full_text]],{"*makan siang gratis*";"*MBG*";"*makan gratis*";"*makan bergizi gratis*";"*makangratis*";"*makanan gratis*"})),"Relevan","Tidak Relevan")</f>
        <v>Relevan</v>
      </c>
    </row>
    <row r="253" spans="1:10" x14ac:dyDescent="0.35">
      <c r="A253">
        <f t="shared" si="3"/>
        <v>252</v>
      </c>
      <c r="B253" t="s">
        <v>2741</v>
      </c>
      <c r="C253" t="s">
        <v>442</v>
      </c>
      <c r="D253" t="s">
        <v>3634</v>
      </c>
      <c r="E253" t="s">
        <v>2742</v>
      </c>
      <c r="F253" t="s">
        <v>2743</v>
      </c>
      <c r="G253" t="s">
        <v>2744</v>
      </c>
      <c r="H253" t="s">
        <v>2744</v>
      </c>
      <c r="I253" t="s">
        <v>2745</v>
      </c>
      <c r="J253" s="5" t="str" cm="1">
        <f t="array" ref="J253">IF(SUM(COUNTIF(Text_Preprocessing__2245[[#This Row],[full_text]],{"*makan siang gratis*";"*MBG*";"*makan gratis*";"*makan bergizi gratis*";"*makangratis*";"*makanan gratis*"})),"Relevan","Tidak Relevan")</f>
        <v>Relevan</v>
      </c>
    </row>
    <row r="254" spans="1:10" x14ac:dyDescent="0.35">
      <c r="A254">
        <f t="shared" si="3"/>
        <v>253</v>
      </c>
      <c r="B254" t="s">
        <v>2746</v>
      </c>
      <c r="C254" t="s">
        <v>442</v>
      </c>
      <c r="D254" t="s">
        <v>3634</v>
      </c>
      <c r="E254" t="s">
        <v>2747</v>
      </c>
      <c r="F254" t="s">
        <v>2748</v>
      </c>
      <c r="G254" t="s">
        <v>2749</v>
      </c>
      <c r="H254" t="s">
        <v>2749</v>
      </c>
      <c r="I254" t="s">
        <v>2750</v>
      </c>
      <c r="J254" s="5" t="str" cm="1">
        <f t="array" ref="J254">IF(SUM(COUNTIF(Text_Preprocessing__2245[[#This Row],[full_text]],{"*makan siang gratis*";"*MBG*";"*makan gratis*";"*makan bergizi gratis*";"*makangratis*";"*makanan gratis*"})),"Relevan","Tidak Relevan")</f>
        <v>Relevan</v>
      </c>
    </row>
    <row r="255" spans="1:10" x14ac:dyDescent="0.35">
      <c r="A255">
        <f t="shared" si="3"/>
        <v>254</v>
      </c>
      <c r="B255" t="s">
        <v>2751</v>
      </c>
      <c r="C255" t="s">
        <v>445</v>
      </c>
      <c r="D255" t="s">
        <v>3628</v>
      </c>
      <c r="E255" t="s">
        <v>2752</v>
      </c>
      <c r="F255" t="s">
        <v>1680</v>
      </c>
      <c r="G255" t="s">
        <v>2753</v>
      </c>
      <c r="H255" t="s">
        <v>2754</v>
      </c>
      <c r="I255" t="s">
        <v>2755</v>
      </c>
      <c r="J255" s="5" t="str" cm="1">
        <f t="array" ref="J255">IF(SUM(COUNTIF(Text_Preprocessing__2245[[#This Row],[full_text]],{"*makan siang gratis*";"*MBG*";"*makan gratis*";"*makan bergizi gratis*";"*makangratis*";"*makanan gratis*"})),"Relevan","Tidak Relevan")</f>
        <v>Relevan</v>
      </c>
    </row>
    <row r="256" spans="1:10" x14ac:dyDescent="0.35">
      <c r="A256">
        <f t="shared" si="3"/>
        <v>255</v>
      </c>
      <c r="B256" t="s">
        <v>2756</v>
      </c>
      <c r="C256" t="s">
        <v>447</v>
      </c>
      <c r="D256" t="s">
        <v>3634</v>
      </c>
      <c r="E256" t="s">
        <v>2757</v>
      </c>
      <c r="F256" t="s">
        <v>2609</v>
      </c>
      <c r="G256" t="s">
        <v>2758</v>
      </c>
      <c r="H256" t="s">
        <v>2758</v>
      </c>
      <c r="I256" t="s">
        <v>2759</v>
      </c>
      <c r="J256" s="5" t="str" cm="1">
        <f t="array" ref="J256">IF(SUM(COUNTIF(Text_Preprocessing__2245[[#This Row],[full_text]],{"*makan siang gratis*";"*MBG*";"*makan gratis*";"*makan bergizi gratis*";"*makangratis*";"*makanan gratis*"})),"Relevan","Tidak Relevan")</f>
        <v>Relevan</v>
      </c>
    </row>
    <row r="257" spans="1:10" x14ac:dyDescent="0.35">
      <c r="A257">
        <f t="shared" si="3"/>
        <v>256</v>
      </c>
      <c r="B257" t="s">
        <v>2760</v>
      </c>
      <c r="C257" t="s">
        <v>449</v>
      </c>
      <c r="D257" t="s">
        <v>3628</v>
      </c>
      <c r="E257" t="s">
        <v>2761</v>
      </c>
      <c r="F257" t="s">
        <v>2553</v>
      </c>
      <c r="G257" t="s">
        <v>2762</v>
      </c>
      <c r="H257" t="s">
        <v>2762</v>
      </c>
      <c r="I257" t="s">
        <v>2763</v>
      </c>
      <c r="J257" s="5" t="str" cm="1">
        <f t="array" ref="J257">IF(SUM(COUNTIF(Text_Preprocessing__2245[[#This Row],[full_text]],{"*makan siang gratis*";"*MBG*";"*makan gratis*";"*makan bergizi gratis*";"*makangratis*";"*makanan gratis*"})),"Relevan","Tidak Relevan")</f>
        <v>Relevan</v>
      </c>
    </row>
    <row r="258" spans="1:10" x14ac:dyDescent="0.35">
      <c r="A258">
        <f t="shared" si="3"/>
        <v>257</v>
      </c>
      <c r="B258" t="s">
        <v>2764</v>
      </c>
      <c r="C258" t="s">
        <v>451</v>
      </c>
      <c r="D258" t="s">
        <v>3628</v>
      </c>
      <c r="E258" t="s">
        <v>2765</v>
      </c>
      <c r="F258" t="s">
        <v>2069</v>
      </c>
      <c r="G258" t="s">
        <v>2766</v>
      </c>
      <c r="H258" t="s">
        <v>2766</v>
      </c>
      <c r="I258" t="s">
        <v>2767</v>
      </c>
      <c r="J258" s="5" t="str" cm="1">
        <f t="array" ref="J258">IF(SUM(COUNTIF(Text_Preprocessing__2245[[#This Row],[full_text]],{"*makan siang gratis*";"*MBG*";"*makan gratis*";"*makan bergizi gratis*";"*makangratis*";"*makanan gratis*"})),"Relevan","Tidak Relevan")</f>
        <v>Relevan</v>
      </c>
    </row>
    <row r="259" spans="1:10" x14ac:dyDescent="0.35">
      <c r="A259">
        <f t="shared" si="3"/>
        <v>258</v>
      </c>
      <c r="B259" t="s">
        <v>2768</v>
      </c>
      <c r="C259" t="s">
        <v>102</v>
      </c>
      <c r="D259" t="s">
        <v>3634</v>
      </c>
      <c r="E259" t="s">
        <v>2769</v>
      </c>
      <c r="F259" t="s">
        <v>2558</v>
      </c>
      <c r="G259" t="s">
        <v>2770</v>
      </c>
      <c r="H259" t="s">
        <v>2770</v>
      </c>
      <c r="I259" t="s">
        <v>2771</v>
      </c>
      <c r="J259" s="5" t="str" cm="1">
        <f t="array" ref="J259">IF(SUM(COUNTIF(Text_Preprocessing__2245[[#This Row],[full_text]],{"*makan siang gratis*";"*MBG*";"*makan gratis*";"*makan bergizi gratis*";"*makangratis*";"*makanan gratis*"})),"Relevan","Tidak Relevan")</f>
        <v>Relevan</v>
      </c>
    </row>
    <row r="260" spans="1:10" x14ac:dyDescent="0.35">
      <c r="A260">
        <f t="shared" ref="A260:A323" si="4">SUM(A259+1)</f>
        <v>259</v>
      </c>
      <c r="B260" t="s">
        <v>2772</v>
      </c>
      <c r="C260" t="s">
        <v>454</v>
      </c>
      <c r="D260" t="s">
        <v>3628</v>
      </c>
      <c r="E260" t="s">
        <v>2773</v>
      </c>
      <c r="F260" t="s">
        <v>2558</v>
      </c>
      <c r="G260" t="s">
        <v>2774</v>
      </c>
      <c r="H260" t="s">
        <v>2774</v>
      </c>
      <c r="I260" t="s">
        <v>2775</v>
      </c>
      <c r="J260" s="5" t="str" cm="1">
        <f t="array" ref="J260">IF(SUM(COUNTIF(Text_Preprocessing__2245[[#This Row],[full_text]],{"*makan siang gratis*";"*MBG*";"*makan gratis*";"*makan bergizi gratis*";"*makangratis*";"*makanan gratis*"})),"Relevan","Tidak Relevan")</f>
        <v>Relevan</v>
      </c>
    </row>
    <row r="261" spans="1:10" x14ac:dyDescent="0.35">
      <c r="A261">
        <f t="shared" si="4"/>
        <v>260</v>
      </c>
      <c r="B261" t="s">
        <v>2776</v>
      </c>
      <c r="C261" t="s">
        <v>456</v>
      </c>
      <c r="D261" t="s">
        <v>3628</v>
      </c>
      <c r="E261" t="s">
        <v>2777</v>
      </c>
      <c r="F261" t="s">
        <v>2074</v>
      </c>
      <c r="G261" t="s">
        <v>2778</v>
      </c>
      <c r="H261" t="s">
        <v>2778</v>
      </c>
      <c r="I261" t="s">
        <v>2779</v>
      </c>
      <c r="J261" s="5" t="str" cm="1">
        <f t="array" ref="J261">IF(SUM(COUNTIF(Text_Preprocessing__2245[[#This Row],[full_text]],{"*makan siang gratis*";"*MBG*";"*makan gratis*";"*makan bergizi gratis*";"*makangratis*";"*makanan gratis*"})),"Relevan","Tidak Relevan")</f>
        <v>Relevan</v>
      </c>
    </row>
    <row r="262" spans="1:10" x14ac:dyDescent="0.35">
      <c r="A262">
        <f t="shared" si="4"/>
        <v>261</v>
      </c>
      <c r="B262" t="s">
        <v>2780</v>
      </c>
      <c r="C262" t="s">
        <v>458</v>
      </c>
      <c r="D262" t="s">
        <v>3628</v>
      </c>
      <c r="E262" t="s">
        <v>2781</v>
      </c>
      <c r="F262" t="s">
        <v>2782</v>
      </c>
      <c r="G262" t="s">
        <v>2783</v>
      </c>
      <c r="H262" t="s">
        <v>2784</v>
      </c>
      <c r="I262" t="s">
        <v>2785</v>
      </c>
      <c r="J262" s="5" t="str" cm="1">
        <f t="array" ref="J262">IF(SUM(COUNTIF(Text_Preprocessing__2245[[#This Row],[full_text]],{"*makan siang gratis*";"*MBG*";"*makan gratis*";"*makan bergizi gratis*";"*makangratis*";"*makanan gratis*"})),"Relevan","Tidak Relevan")</f>
        <v>Relevan</v>
      </c>
    </row>
    <row r="263" spans="1:10" x14ac:dyDescent="0.35">
      <c r="A263">
        <f t="shared" si="4"/>
        <v>262</v>
      </c>
      <c r="B263" t="s">
        <v>2786</v>
      </c>
      <c r="C263" t="s">
        <v>460</v>
      </c>
      <c r="D263" t="s">
        <v>3628</v>
      </c>
      <c r="E263" t="s">
        <v>2787</v>
      </c>
      <c r="F263" t="s">
        <v>1692</v>
      </c>
      <c r="G263" t="s">
        <v>2788</v>
      </c>
      <c r="H263" t="s">
        <v>2788</v>
      </c>
      <c r="I263" t="s">
        <v>2789</v>
      </c>
      <c r="J263" s="5" t="str" cm="1">
        <f t="array" ref="J263">IF(SUM(COUNTIF(Text_Preprocessing__2245[[#This Row],[full_text]],{"*makan siang gratis*";"*MBG*";"*makan gratis*";"*makan bergizi gratis*";"*makangratis*";"*makanan gratis*"})),"Relevan","Tidak Relevan")</f>
        <v>Relevan</v>
      </c>
    </row>
    <row r="264" spans="1:10" x14ac:dyDescent="0.35">
      <c r="A264">
        <f t="shared" si="4"/>
        <v>263</v>
      </c>
      <c r="B264" t="s">
        <v>2790</v>
      </c>
      <c r="C264" t="s">
        <v>442</v>
      </c>
      <c r="D264" t="s">
        <v>3634</v>
      </c>
      <c r="E264" t="s">
        <v>2791</v>
      </c>
      <c r="F264" t="s">
        <v>2782</v>
      </c>
      <c r="G264" t="s">
        <v>2792</v>
      </c>
      <c r="H264" t="s">
        <v>2792</v>
      </c>
      <c r="I264" t="s">
        <v>2793</v>
      </c>
      <c r="J264" s="5" t="str" cm="1">
        <f t="array" ref="J264">IF(SUM(COUNTIF(Text_Preprocessing__2245[[#This Row],[full_text]],{"*makan siang gratis*";"*MBG*";"*makan gratis*";"*makan bergizi gratis*";"*makangratis*";"*makanan gratis*"})),"Relevan","Tidak Relevan")</f>
        <v>Relevan</v>
      </c>
    </row>
    <row r="265" spans="1:10" x14ac:dyDescent="0.35">
      <c r="A265">
        <f t="shared" si="4"/>
        <v>264</v>
      </c>
      <c r="B265" t="s">
        <v>2794</v>
      </c>
      <c r="C265" t="s">
        <v>463</v>
      </c>
      <c r="D265" t="s">
        <v>3632</v>
      </c>
      <c r="E265" t="s">
        <v>2795</v>
      </c>
      <c r="F265" t="s">
        <v>2796</v>
      </c>
      <c r="G265" t="s">
        <v>2797</v>
      </c>
      <c r="H265" t="s">
        <v>2797</v>
      </c>
      <c r="I265" t="s">
        <v>2798</v>
      </c>
      <c r="J265" s="5" t="str" cm="1">
        <f t="array" ref="J265">IF(SUM(COUNTIF(Text_Preprocessing__2245[[#This Row],[full_text]],{"*makan siang gratis*";"*MBG*";"*makan gratis*";"*makan bergizi gratis*";"*makangratis*";"*makanan gratis*"})),"Relevan","Tidak Relevan")</f>
        <v>Relevan</v>
      </c>
    </row>
    <row r="266" spans="1:10" x14ac:dyDescent="0.35">
      <c r="A266">
        <f t="shared" si="4"/>
        <v>265</v>
      </c>
      <c r="B266" t="s">
        <v>2799</v>
      </c>
      <c r="C266" t="s">
        <v>463</v>
      </c>
      <c r="D266" t="s">
        <v>3632</v>
      </c>
      <c r="E266" t="s">
        <v>2800</v>
      </c>
      <c r="F266" t="s">
        <v>2558</v>
      </c>
      <c r="G266" t="s">
        <v>2801</v>
      </c>
      <c r="H266" t="s">
        <v>2802</v>
      </c>
      <c r="I266" t="s">
        <v>2803</v>
      </c>
      <c r="J266" s="5" t="str" cm="1">
        <f t="array" ref="J266">IF(SUM(COUNTIF(Text_Preprocessing__2245[[#This Row],[full_text]],{"*makan siang gratis*";"*MBG*";"*makan gratis*";"*makan bergizi gratis*";"*makangratis*";"*makanan gratis*"})),"Relevan","Tidak Relevan")</f>
        <v>Relevan</v>
      </c>
    </row>
    <row r="267" spans="1:10" x14ac:dyDescent="0.35">
      <c r="A267">
        <f t="shared" si="4"/>
        <v>266</v>
      </c>
      <c r="B267" t="s">
        <v>2804</v>
      </c>
      <c r="C267" t="s">
        <v>379</v>
      </c>
      <c r="D267" t="s">
        <v>3632</v>
      </c>
      <c r="E267" t="s">
        <v>2805</v>
      </c>
      <c r="F267" t="s">
        <v>2806</v>
      </c>
      <c r="G267" t="s">
        <v>2807</v>
      </c>
      <c r="H267" t="s">
        <v>2807</v>
      </c>
      <c r="I267" t="s">
        <v>2808</v>
      </c>
      <c r="J267" s="5" t="str" cm="1">
        <f t="array" ref="J267">IF(SUM(COUNTIF(Text_Preprocessing__2245[[#This Row],[full_text]],{"*makan siang gratis*";"*MBG*";"*makan gratis*";"*makan bergizi gratis*";"*makangratis*";"*makanan gratis*"})),"Relevan","Tidak Relevan")</f>
        <v>Relevan</v>
      </c>
    </row>
    <row r="268" spans="1:10" x14ac:dyDescent="0.35">
      <c r="A268">
        <f t="shared" si="4"/>
        <v>267</v>
      </c>
      <c r="B268" t="s">
        <v>2809</v>
      </c>
      <c r="C268" t="s">
        <v>467</v>
      </c>
      <c r="D268" t="s">
        <v>3628</v>
      </c>
      <c r="E268" t="s">
        <v>2810</v>
      </c>
      <c r="F268" t="s">
        <v>1893</v>
      </c>
      <c r="G268" t="s">
        <v>2811</v>
      </c>
      <c r="H268" t="s">
        <v>2812</v>
      </c>
      <c r="I268" t="s">
        <v>2813</v>
      </c>
      <c r="J268" s="5" t="str" cm="1">
        <f t="array" ref="J268">IF(SUM(COUNTIF(Text_Preprocessing__2245[[#This Row],[full_text]],{"*makan siang gratis*";"*MBG*";"*makan gratis*";"*makan bergizi gratis*";"*makangratis*";"*makanan gratis*"})),"Relevan","Tidak Relevan")</f>
        <v>Relevan</v>
      </c>
    </row>
    <row r="269" spans="1:10" x14ac:dyDescent="0.35">
      <c r="A269">
        <f t="shared" si="4"/>
        <v>268</v>
      </c>
      <c r="B269" t="s">
        <v>2819</v>
      </c>
      <c r="C269" t="s">
        <v>470</v>
      </c>
      <c r="D269" t="s">
        <v>3628</v>
      </c>
      <c r="E269" t="s">
        <v>2820</v>
      </c>
      <c r="F269" t="s">
        <v>2609</v>
      </c>
      <c r="G269" t="s">
        <v>2821</v>
      </c>
      <c r="H269" t="s">
        <v>2822</v>
      </c>
      <c r="I269" t="s">
        <v>2823</v>
      </c>
      <c r="J269" s="5" t="str" cm="1">
        <f t="array" ref="J269">IF(SUM(COUNTIF(Text_Preprocessing__2245[[#This Row],[full_text]],{"*makan siang gratis*";"*MBG*";"*makan gratis*";"*makan bergizi gratis*";"*makangratis*";"*makanan gratis*"})),"Relevan","Tidak Relevan")</f>
        <v>Relevan</v>
      </c>
    </row>
    <row r="270" spans="1:10" x14ac:dyDescent="0.35">
      <c r="A270">
        <f t="shared" si="4"/>
        <v>269</v>
      </c>
      <c r="B270" t="s">
        <v>2824</v>
      </c>
      <c r="C270" t="s">
        <v>472</v>
      </c>
      <c r="D270" t="s">
        <v>3628</v>
      </c>
      <c r="E270" t="s">
        <v>2825</v>
      </c>
      <c r="F270" t="s">
        <v>2253</v>
      </c>
      <c r="G270" t="s">
        <v>2826</v>
      </c>
      <c r="H270" t="s">
        <v>2826</v>
      </c>
      <c r="I270" t="s">
        <v>2827</v>
      </c>
      <c r="J270" s="5" t="str" cm="1">
        <f t="array" ref="J270">IF(SUM(COUNTIF(Text_Preprocessing__2245[[#This Row],[full_text]],{"*makan siang gratis*";"*MBG*";"*makan gratis*";"*makan bergizi gratis*";"*makangratis*";"*makanan gratis*"})),"Relevan","Tidak Relevan")</f>
        <v>Relevan</v>
      </c>
    </row>
    <row r="271" spans="1:10" x14ac:dyDescent="0.35">
      <c r="A271">
        <f t="shared" si="4"/>
        <v>270</v>
      </c>
      <c r="B271" t="s">
        <v>2828</v>
      </c>
      <c r="C271" t="s">
        <v>442</v>
      </c>
      <c r="D271" t="s">
        <v>3634</v>
      </c>
      <c r="E271" t="s">
        <v>2829</v>
      </c>
      <c r="F271" t="s">
        <v>2599</v>
      </c>
      <c r="G271" t="s">
        <v>2830</v>
      </c>
      <c r="H271" t="s">
        <v>2830</v>
      </c>
      <c r="I271" t="s">
        <v>2831</v>
      </c>
      <c r="J271" s="5" t="str" cm="1">
        <f t="array" ref="J271">IF(SUM(COUNTIF(Text_Preprocessing__2245[[#This Row],[full_text]],{"*makan siang gratis*";"*MBG*";"*makan gratis*";"*makan bergizi gratis*";"*makangratis*";"*makanan gratis*"})),"Relevan","Tidak Relevan")</f>
        <v>Relevan</v>
      </c>
    </row>
    <row r="272" spans="1:10" x14ac:dyDescent="0.35">
      <c r="A272">
        <f t="shared" si="4"/>
        <v>271</v>
      </c>
      <c r="B272" t="s">
        <v>2832</v>
      </c>
      <c r="C272" t="s">
        <v>475</v>
      </c>
      <c r="D272" t="s">
        <v>3628</v>
      </c>
      <c r="E272" t="s">
        <v>2833</v>
      </c>
      <c r="F272" t="s">
        <v>2229</v>
      </c>
      <c r="G272" t="s">
        <v>2834</v>
      </c>
      <c r="H272" t="s">
        <v>2834</v>
      </c>
      <c r="I272" t="s">
        <v>2835</v>
      </c>
      <c r="J272" s="5" t="str" cm="1">
        <f t="array" ref="J272">IF(SUM(COUNTIF(Text_Preprocessing__2245[[#This Row],[full_text]],{"*makan siang gratis*";"*MBG*";"*makan gratis*";"*makan bergizi gratis*";"*makangratis*";"*makanan gratis*"})),"Relevan","Tidak Relevan")</f>
        <v>Relevan</v>
      </c>
    </row>
    <row r="273" spans="1:11" x14ac:dyDescent="0.35">
      <c r="A273">
        <f t="shared" si="4"/>
        <v>272</v>
      </c>
      <c r="B273" t="s">
        <v>2836</v>
      </c>
      <c r="C273" t="s">
        <v>477</v>
      </c>
      <c r="D273" t="s">
        <v>3628</v>
      </c>
      <c r="E273" t="s">
        <v>2837</v>
      </c>
      <c r="F273" t="s">
        <v>2164</v>
      </c>
      <c r="G273" t="s">
        <v>2838</v>
      </c>
      <c r="H273" t="s">
        <v>2838</v>
      </c>
      <c r="I273" t="s">
        <v>2839</v>
      </c>
      <c r="J273" s="5" t="str" cm="1">
        <f t="array" ref="J273">IF(SUM(COUNTIF(Text_Preprocessing__2245[[#This Row],[full_text]],{"*makan siang gratis*";"*MBG*";"*makan gratis*";"*makan bergizi gratis*";"*makangratis*";"*makanan gratis*"})),"Relevan","Tidak Relevan")</f>
        <v>Relevan</v>
      </c>
    </row>
    <row r="274" spans="1:11" x14ac:dyDescent="0.35">
      <c r="A274">
        <f t="shared" si="4"/>
        <v>273</v>
      </c>
      <c r="B274" t="s">
        <v>2840</v>
      </c>
      <c r="C274" t="s">
        <v>445</v>
      </c>
      <c r="D274" t="s">
        <v>3628</v>
      </c>
      <c r="E274" t="s">
        <v>2841</v>
      </c>
      <c r="F274" t="s">
        <v>2052</v>
      </c>
      <c r="G274" t="s">
        <v>2842</v>
      </c>
      <c r="H274" t="s">
        <v>2842</v>
      </c>
      <c r="I274" t="s">
        <v>2843</v>
      </c>
      <c r="J274" s="5" t="str" cm="1">
        <f t="array" ref="J274">IF(SUM(COUNTIF(Text_Preprocessing__2245[[#This Row],[full_text]],{"*makan siang gratis*";"*MBG*";"*makan gratis*";"*makan bergizi gratis*";"*makangratis*";"*makanan gratis*"})),"Relevan","Tidak Relevan")</f>
        <v>Relevan</v>
      </c>
    </row>
    <row r="275" spans="1:11" x14ac:dyDescent="0.35">
      <c r="A275">
        <f t="shared" si="4"/>
        <v>274</v>
      </c>
      <c r="B275" t="s">
        <v>2844</v>
      </c>
      <c r="C275" t="s">
        <v>480</v>
      </c>
      <c r="D275" t="s">
        <v>3628</v>
      </c>
      <c r="E275" t="s">
        <v>2845</v>
      </c>
      <c r="F275" t="s">
        <v>1596</v>
      </c>
      <c r="G275" t="s">
        <v>2845</v>
      </c>
      <c r="H275" t="s">
        <v>2845</v>
      </c>
      <c r="I275" t="s">
        <v>2846</v>
      </c>
      <c r="J275" s="5" t="str" cm="1">
        <f t="array" ref="J275">IF(SUM(COUNTIF(Text_Preprocessing__2245[[#This Row],[full_text]],{"*makan siang gratis*";"*MBG*";"*makan gratis*";"*makan bergizi gratis*";"*makangratis*";"*makanan gratis*"})),"Relevan","Tidak Relevan")</f>
        <v>Relevan</v>
      </c>
    </row>
    <row r="276" spans="1:11" x14ac:dyDescent="0.35">
      <c r="A276">
        <f t="shared" si="4"/>
        <v>275</v>
      </c>
      <c r="B276" t="s">
        <v>2847</v>
      </c>
      <c r="C276" t="s">
        <v>482</v>
      </c>
      <c r="D276" t="s">
        <v>3628</v>
      </c>
      <c r="E276" t="s">
        <v>2848</v>
      </c>
      <c r="F276" t="s">
        <v>2599</v>
      </c>
      <c r="G276" t="s">
        <v>2849</v>
      </c>
      <c r="H276" t="s">
        <v>2850</v>
      </c>
      <c r="I276" t="s">
        <v>2851</v>
      </c>
      <c r="J276" s="5" t="str" cm="1">
        <f t="array" ref="J276">IF(SUM(COUNTIF(Text_Preprocessing__2245[[#This Row],[full_text]],{"*makan siang gratis*";"*MBG*";"*makan gratis*";"*makan bergizi gratis*";"*makangratis*";"*makanan gratis*"})),"Relevan","Tidak Relevan")</f>
        <v>Relevan</v>
      </c>
    </row>
    <row r="277" spans="1:11" x14ac:dyDescent="0.35">
      <c r="A277">
        <f t="shared" si="4"/>
        <v>276</v>
      </c>
      <c r="B277" t="s">
        <v>2852</v>
      </c>
      <c r="C277" t="s">
        <v>484</v>
      </c>
      <c r="D277" t="s">
        <v>3628</v>
      </c>
      <c r="E277" t="s">
        <v>2853</v>
      </c>
      <c r="F277" t="s">
        <v>2348</v>
      </c>
      <c r="G277" t="s">
        <v>2854</v>
      </c>
      <c r="H277" t="s">
        <v>2854</v>
      </c>
      <c r="I277" t="s">
        <v>2855</v>
      </c>
      <c r="J277" s="5" t="str" cm="1">
        <f t="array" ref="J277">IF(SUM(COUNTIF(Text_Preprocessing__2245[[#This Row],[full_text]],{"*makan siang gratis*";"*MBG*";"*makan gratis*";"*makan bergizi gratis*";"*makangratis*";"*makanan gratis*"})),"Relevan","Tidak Relevan")</f>
        <v>Relevan</v>
      </c>
    </row>
    <row r="278" spans="1:11" x14ac:dyDescent="0.35">
      <c r="A278">
        <f t="shared" si="4"/>
        <v>277</v>
      </c>
      <c r="B278" t="s">
        <v>2856</v>
      </c>
      <c r="C278" t="s">
        <v>486</v>
      </c>
      <c r="D278" t="s">
        <v>3628</v>
      </c>
      <c r="E278" t="s">
        <v>2857</v>
      </c>
      <c r="F278" t="s">
        <v>1888</v>
      </c>
      <c r="G278" t="s">
        <v>2858</v>
      </c>
      <c r="H278" t="s">
        <v>2858</v>
      </c>
      <c r="I278" t="s">
        <v>2859</v>
      </c>
      <c r="J278" s="5" t="str" cm="1">
        <f t="array" ref="J278">IF(SUM(COUNTIF(Text_Preprocessing__2245[[#This Row],[full_text]],{"*makan siang gratis*";"*MBG*";"*makan gratis*";"*makan bergizi gratis*";"*makangratis*";"*makanan gratis*"})),"Relevan","Tidak Relevan")</f>
        <v>Relevan</v>
      </c>
    </row>
    <row r="279" spans="1:11" x14ac:dyDescent="0.35">
      <c r="A279">
        <f t="shared" si="4"/>
        <v>278</v>
      </c>
      <c r="B279" t="s">
        <v>2860</v>
      </c>
      <c r="C279" t="s">
        <v>488</v>
      </c>
      <c r="D279" t="s">
        <v>3628</v>
      </c>
      <c r="E279" t="s">
        <v>2861</v>
      </c>
      <c r="F279" t="s">
        <v>2862</v>
      </c>
      <c r="G279" t="s">
        <v>2863</v>
      </c>
      <c r="H279" t="s">
        <v>2863</v>
      </c>
      <c r="I279" t="s">
        <v>2864</v>
      </c>
      <c r="J279" s="5" t="str" cm="1">
        <f t="array" ref="J279">IF(SUM(COUNTIF(Text_Preprocessing__2245[[#This Row],[full_text]],{"*makan siang gratis*";"*MBG*";"*makan gratis*";"*makan bergizi gratis*";"*makangratis*";"*makanan gratis*"})),"Relevan","Tidak Relevan")</f>
        <v>Relevan</v>
      </c>
    </row>
    <row r="280" spans="1:11" x14ac:dyDescent="0.35">
      <c r="A280">
        <f t="shared" si="4"/>
        <v>279</v>
      </c>
      <c r="B280" t="s">
        <v>2865</v>
      </c>
      <c r="C280" t="s">
        <v>490</v>
      </c>
      <c r="D280" t="s">
        <v>3628</v>
      </c>
      <c r="E280" t="s">
        <v>2866</v>
      </c>
      <c r="F280" t="s">
        <v>2867</v>
      </c>
      <c r="G280" t="s">
        <v>2868</v>
      </c>
      <c r="H280" t="s">
        <v>2869</v>
      </c>
      <c r="I280" t="s">
        <v>2870</v>
      </c>
      <c r="J280" s="5" t="str" cm="1">
        <f t="array" ref="J280">IF(SUM(COUNTIF(Text_Preprocessing__2245[[#This Row],[full_text]],{"*makan siang gratis*";"*MBG*";"*makan gratis*";"*makan bergizi gratis*";"*makangratis*";"*makanan gratis*"})),"Relevan","Tidak Relevan")</f>
        <v>Relevan</v>
      </c>
    </row>
    <row r="281" spans="1:11" x14ac:dyDescent="0.35">
      <c r="A281">
        <f t="shared" si="4"/>
        <v>280</v>
      </c>
      <c r="B281" t="s">
        <v>2871</v>
      </c>
      <c r="C281" t="s">
        <v>492</v>
      </c>
      <c r="D281" t="s">
        <v>3628</v>
      </c>
      <c r="E281" t="s">
        <v>2872</v>
      </c>
      <c r="F281" t="s">
        <v>1669</v>
      </c>
      <c r="G281" t="s">
        <v>2873</v>
      </c>
      <c r="H281" t="s">
        <v>2874</v>
      </c>
      <c r="I281" t="s">
        <v>2875</v>
      </c>
      <c r="J281" s="5" t="str" cm="1">
        <f t="array" ref="J281">IF(SUM(COUNTIF(Text_Preprocessing__2245[[#This Row],[full_text]],{"*makan siang gratis*";"*MBG*";"*makan gratis*";"*makan bergizi gratis*";"*makangratis*";"*makanan gratis*"})),"Relevan","Tidak Relevan")</f>
        <v>Relevan</v>
      </c>
    </row>
    <row r="282" spans="1:11" x14ac:dyDescent="0.35">
      <c r="A282">
        <f t="shared" si="4"/>
        <v>281</v>
      </c>
      <c r="B282" t="s">
        <v>2876</v>
      </c>
      <c r="C282" t="s">
        <v>494</v>
      </c>
      <c r="D282" t="s">
        <v>3628</v>
      </c>
      <c r="E282" t="s">
        <v>2877</v>
      </c>
      <c r="F282" t="s">
        <v>2878</v>
      </c>
      <c r="G282" t="s">
        <v>2879</v>
      </c>
      <c r="H282" t="s">
        <v>2880</v>
      </c>
      <c r="I282" t="s">
        <v>2881</v>
      </c>
      <c r="J282" s="5" t="str" cm="1">
        <f t="array" ref="J282">IF(SUM(COUNTIF(Text_Preprocessing__2245[[#This Row],[full_text]],{"*makan siang gratis*";"*MBG*";"*makan gratis*";"*makan bergizi gratis*";"*makangratis*";"*makanan gratis*"})),"Relevan","Tidak Relevan")</f>
        <v>Relevan</v>
      </c>
    </row>
    <row r="283" spans="1:11" x14ac:dyDescent="0.35">
      <c r="A283">
        <f t="shared" si="4"/>
        <v>282</v>
      </c>
      <c r="B283" t="s">
        <v>2882</v>
      </c>
      <c r="C283" t="s">
        <v>496</v>
      </c>
      <c r="D283" t="s">
        <v>3628</v>
      </c>
      <c r="E283" t="s">
        <v>2883</v>
      </c>
      <c r="F283" t="s">
        <v>1799</v>
      </c>
      <c r="G283" t="s">
        <v>2884</v>
      </c>
      <c r="H283" t="s">
        <v>2884</v>
      </c>
      <c r="I283" t="s">
        <v>2885</v>
      </c>
      <c r="J283" s="5" t="str" cm="1">
        <f t="array" ref="J283">IF(SUM(COUNTIF(Text_Preprocessing__2245[[#This Row],[full_text]],{"*makan siang gratis*";"*MBG*";"*makan gratis*";"*makan bergizi gratis*";"*makangratis*";"*makanan gratis*"})),"Relevan","Tidak Relevan")</f>
        <v>Tidak Relevan</v>
      </c>
      <c r="K283" t="s">
        <v>3622</v>
      </c>
    </row>
    <row r="284" spans="1:11" x14ac:dyDescent="0.35">
      <c r="A284">
        <f t="shared" si="4"/>
        <v>283</v>
      </c>
      <c r="B284" t="s">
        <v>2886</v>
      </c>
      <c r="C284" t="s">
        <v>498</v>
      </c>
      <c r="D284" t="s">
        <v>3628</v>
      </c>
      <c r="E284" t="s">
        <v>2887</v>
      </c>
      <c r="F284" t="s">
        <v>1596</v>
      </c>
      <c r="G284" t="s">
        <v>2888</v>
      </c>
      <c r="H284" t="s">
        <v>2888</v>
      </c>
      <c r="I284" t="s">
        <v>2888</v>
      </c>
      <c r="J284" s="5" t="str" cm="1">
        <f t="array" ref="J284">IF(SUM(COUNTIF(Text_Preprocessing__2245[[#This Row],[full_text]],{"*makan siang gratis*";"*MBG*";"*makan gratis*";"*makan bergizi gratis*";"*makangratis*";"*makanan gratis*"})),"Relevan","Tidak Relevan")</f>
        <v>Relevan</v>
      </c>
    </row>
    <row r="285" spans="1:11" x14ac:dyDescent="0.35">
      <c r="A285">
        <f t="shared" si="4"/>
        <v>284</v>
      </c>
      <c r="B285" t="s">
        <v>2889</v>
      </c>
      <c r="C285" t="s">
        <v>442</v>
      </c>
      <c r="D285" t="s">
        <v>3634</v>
      </c>
      <c r="E285" t="s">
        <v>2890</v>
      </c>
      <c r="F285" t="s">
        <v>2609</v>
      </c>
      <c r="G285" t="s">
        <v>2891</v>
      </c>
      <c r="H285" t="s">
        <v>2891</v>
      </c>
      <c r="I285" t="s">
        <v>2892</v>
      </c>
      <c r="J285" s="5" t="str" cm="1">
        <f t="array" ref="J285">IF(SUM(COUNTIF(Text_Preprocessing__2245[[#This Row],[full_text]],{"*makan siang gratis*";"*MBG*";"*makan gratis*";"*makan bergizi gratis*";"*makangratis*";"*makanan gratis*"})),"Relevan","Tidak Relevan")</f>
        <v>Relevan</v>
      </c>
    </row>
    <row r="286" spans="1:11" x14ac:dyDescent="0.35">
      <c r="A286">
        <f t="shared" si="4"/>
        <v>285</v>
      </c>
      <c r="B286" t="s">
        <v>2893</v>
      </c>
      <c r="C286" t="s">
        <v>501</v>
      </c>
      <c r="D286" t="s">
        <v>3628</v>
      </c>
      <c r="E286" t="s">
        <v>2894</v>
      </c>
      <c r="F286" t="s">
        <v>2878</v>
      </c>
      <c r="G286" t="s">
        <v>2895</v>
      </c>
      <c r="H286" t="s">
        <v>2895</v>
      </c>
      <c r="I286" t="s">
        <v>2896</v>
      </c>
      <c r="J286" s="5" t="str" cm="1">
        <f t="array" ref="J286">IF(SUM(COUNTIF(Text_Preprocessing__2245[[#This Row],[full_text]],{"*makan siang gratis*";"*MBG*";"*makan gratis*";"*makan bergizi gratis*";"*makangratis*";"*makanan gratis*"})),"Relevan","Tidak Relevan")</f>
        <v>Relevan</v>
      </c>
    </row>
    <row r="287" spans="1:11" x14ac:dyDescent="0.35">
      <c r="A287">
        <f t="shared" si="4"/>
        <v>286</v>
      </c>
      <c r="B287" t="s">
        <v>2897</v>
      </c>
      <c r="C287" t="s">
        <v>503</v>
      </c>
      <c r="D287" t="s">
        <v>3634</v>
      </c>
      <c r="E287" t="s">
        <v>2898</v>
      </c>
      <c r="F287" t="s">
        <v>2899</v>
      </c>
      <c r="G287" t="s">
        <v>2900</v>
      </c>
      <c r="H287" t="s">
        <v>2900</v>
      </c>
      <c r="I287" t="s">
        <v>2901</v>
      </c>
      <c r="J287" s="5" t="str" cm="1">
        <f t="array" ref="J287">IF(SUM(COUNTIF(Text_Preprocessing__2245[[#This Row],[full_text]],{"*makan siang gratis*";"*MBG*";"*makan gratis*";"*makan bergizi gratis*";"*makangratis*";"*makanan gratis*"})),"Relevan","Tidak Relevan")</f>
        <v>Relevan</v>
      </c>
    </row>
    <row r="288" spans="1:11" x14ac:dyDescent="0.35">
      <c r="A288">
        <f t="shared" si="4"/>
        <v>287</v>
      </c>
      <c r="B288" t="s">
        <v>2902</v>
      </c>
      <c r="C288" t="s">
        <v>76</v>
      </c>
      <c r="D288" t="s">
        <v>3634</v>
      </c>
      <c r="E288" t="s">
        <v>2903</v>
      </c>
      <c r="F288" t="s">
        <v>2904</v>
      </c>
      <c r="G288" t="s">
        <v>2905</v>
      </c>
      <c r="H288" t="s">
        <v>2905</v>
      </c>
      <c r="I288" t="s">
        <v>2906</v>
      </c>
      <c r="J288" s="5" t="str" cm="1">
        <f t="array" ref="J288">IF(SUM(COUNTIF(Text_Preprocessing__2245[[#This Row],[full_text]],{"*makan siang gratis*";"*MBG*";"*makan gratis*";"*makan bergizi gratis*";"*makangratis*";"*makanan gratis*"})),"Relevan","Tidak Relevan")</f>
        <v>Relevan</v>
      </c>
    </row>
    <row r="289" spans="1:11" x14ac:dyDescent="0.35">
      <c r="A289">
        <f t="shared" si="4"/>
        <v>288</v>
      </c>
      <c r="B289" t="s">
        <v>2907</v>
      </c>
      <c r="C289" t="s">
        <v>506</v>
      </c>
      <c r="D289" t="s">
        <v>3629</v>
      </c>
      <c r="E289" t="s">
        <v>2908</v>
      </c>
      <c r="F289" t="s">
        <v>1730</v>
      </c>
      <c r="G289" t="s">
        <v>2909</v>
      </c>
      <c r="H289" t="s">
        <v>2909</v>
      </c>
      <c r="I289" t="s">
        <v>2910</v>
      </c>
      <c r="J289" s="5" t="str" cm="1">
        <f t="array" ref="J289">IF(SUM(COUNTIF(Text_Preprocessing__2245[[#This Row],[full_text]],{"*makan siang gratis*";"*MBG*";"*makan gratis*";"*makan bergizi gratis*";"*makangratis*";"*makanan gratis*"})),"Relevan","Tidak Relevan")</f>
        <v>Relevan</v>
      </c>
    </row>
    <row r="290" spans="1:11" x14ac:dyDescent="0.35">
      <c r="A290">
        <f t="shared" si="4"/>
        <v>289</v>
      </c>
      <c r="B290" t="s">
        <v>2911</v>
      </c>
      <c r="C290" t="s">
        <v>508</v>
      </c>
      <c r="D290" t="s">
        <v>3628</v>
      </c>
      <c r="E290" t="s">
        <v>2912</v>
      </c>
      <c r="F290" t="s">
        <v>1669</v>
      </c>
      <c r="G290" t="s">
        <v>2913</v>
      </c>
      <c r="H290" t="s">
        <v>2913</v>
      </c>
      <c r="I290" t="s">
        <v>2914</v>
      </c>
      <c r="J290" s="5" t="str" cm="1">
        <f t="array" ref="J290">IF(SUM(COUNTIF(Text_Preprocessing__2245[[#This Row],[full_text]],{"*makan siang gratis*";"*MBG*";"*makan gratis*";"*makan bergizi gratis*";"*makangratis*";"*makanan gratis*"})),"Relevan","Tidak Relevan")</f>
        <v>Relevan</v>
      </c>
    </row>
    <row r="291" spans="1:11" x14ac:dyDescent="0.35">
      <c r="A291">
        <f t="shared" si="4"/>
        <v>290</v>
      </c>
      <c r="B291" t="s">
        <v>2915</v>
      </c>
      <c r="C291" t="s">
        <v>510</v>
      </c>
      <c r="D291" t="s">
        <v>3628</v>
      </c>
      <c r="E291" t="s">
        <v>2916</v>
      </c>
      <c r="F291" t="s">
        <v>1906</v>
      </c>
      <c r="G291" t="s">
        <v>2917</v>
      </c>
      <c r="H291" t="s">
        <v>2917</v>
      </c>
      <c r="I291" t="s">
        <v>2918</v>
      </c>
      <c r="J291" s="5" t="str" cm="1">
        <f t="array" ref="J291">IF(SUM(COUNTIF(Text_Preprocessing__2245[[#This Row],[full_text]],{"*makan siang gratis*";"*MBG*";"*makan gratis*";"*makan bergizi gratis*";"*makangratis*";"*makanan gratis*"})),"Relevan","Tidak Relevan")</f>
        <v>Relevan</v>
      </c>
    </row>
    <row r="292" spans="1:11" x14ac:dyDescent="0.35">
      <c r="A292">
        <f t="shared" si="4"/>
        <v>291</v>
      </c>
      <c r="B292" t="s">
        <v>2919</v>
      </c>
      <c r="C292" t="s">
        <v>512</v>
      </c>
      <c r="D292" t="s">
        <v>3628</v>
      </c>
      <c r="E292" t="s">
        <v>2920</v>
      </c>
      <c r="F292" t="s">
        <v>2921</v>
      </c>
      <c r="G292" t="s">
        <v>2922</v>
      </c>
      <c r="H292" t="s">
        <v>2922</v>
      </c>
      <c r="I292" t="s">
        <v>2923</v>
      </c>
      <c r="J292" s="5" t="str" cm="1">
        <f t="array" ref="J292">IF(SUM(COUNTIF(Text_Preprocessing__2245[[#This Row],[full_text]],{"*makan siang gratis*";"*MBG*";"*makan gratis*";"*makan bergizi gratis*";"*makangratis*";"*makanan gratis*"})),"Relevan","Tidak Relevan")</f>
        <v>Relevan</v>
      </c>
    </row>
    <row r="293" spans="1:11" x14ac:dyDescent="0.35">
      <c r="A293">
        <f t="shared" si="4"/>
        <v>292</v>
      </c>
      <c r="B293" t="s">
        <v>2924</v>
      </c>
      <c r="C293" t="s">
        <v>447</v>
      </c>
      <c r="D293" t="s">
        <v>3634</v>
      </c>
      <c r="E293" t="s">
        <v>2925</v>
      </c>
      <c r="F293" t="s">
        <v>2599</v>
      </c>
      <c r="G293" t="s">
        <v>2926</v>
      </c>
      <c r="H293" t="s">
        <v>2926</v>
      </c>
      <c r="I293" t="s">
        <v>2927</v>
      </c>
      <c r="J293" s="5" t="str" cm="1">
        <f t="array" ref="J293">IF(SUM(COUNTIF(Text_Preprocessing__2245[[#This Row],[full_text]],{"*makan siang gratis*";"*MBG*";"*makan gratis*";"*makan bergizi gratis*";"*makangratis*";"*makanan gratis*"})),"Relevan","Tidak Relevan")</f>
        <v>Relevan</v>
      </c>
    </row>
    <row r="294" spans="1:11" x14ac:dyDescent="0.35">
      <c r="A294">
        <f t="shared" si="4"/>
        <v>293</v>
      </c>
      <c r="B294" t="s">
        <v>2928</v>
      </c>
      <c r="C294" t="s">
        <v>515</v>
      </c>
      <c r="D294" t="s">
        <v>3628</v>
      </c>
      <c r="E294" t="s">
        <v>2929</v>
      </c>
      <c r="F294" t="s">
        <v>1735</v>
      </c>
      <c r="G294" t="s">
        <v>2930</v>
      </c>
      <c r="H294" t="s">
        <v>2930</v>
      </c>
      <c r="I294" t="s">
        <v>2931</v>
      </c>
      <c r="J294" s="5" t="str" cm="1">
        <f t="array" ref="J294">IF(SUM(COUNTIF(Text_Preprocessing__2245[[#This Row],[full_text]],{"*makan siang gratis*";"*MBG*";"*makan gratis*";"*makan bergizi gratis*";"*makangratis*";"*makanan gratis*"})),"Relevan","Tidak Relevan")</f>
        <v>Relevan</v>
      </c>
    </row>
    <row r="295" spans="1:11" x14ac:dyDescent="0.35">
      <c r="A295">
        <f t="shared" si="4"/>
        <v>294</v>
      </c>
      <c r="B295" t="s">
        <v>2932</v>
      </c>
      <c r="C295" t="s">
        <v>517</v>
      </c>
      <c r="D295" t="s">
        <v>3628</v>
      </c>
      <c r="E295" t="s">
        <v>2933</v>
      </c>
      <c r="F295" t="s">
        <v>2934</v>
      </c>
      <c r="G295" t="s">
        <v>2935</v>
      </c>
      <c r="H295" t="s">
        <v>2935</v>
      </c>
      <c r="I295" t="s">
        <v>2936</v>
      </c>
      <c r="J295" s="5" t="str" cm="1">
        <f t="array" ref="J295">IF(SUM(COUNTIF(Text_Preprocessing__2245[[#This Row],[full_text]],{"*makan siang gratis*";"*MBG*";"*makan gratis*";"*makan bergizi gratis*";"*makangratis*";"*makanan gratis*"})),"Relevan","Tidak Relevan")</f>
        <v>Relevan</v>
      </c>
    </row>
    <row r="296" spans="1:11" x14ac:dyDescent="0.35">
      <c r="A296">
        <f t="shared" si="4"/>
        <v>295</v>
      </c>
      <c r="B296" t="s">
        <v>2937</v>
      </c>
      <c r="C296" t="s">
        <v>519</v>
      </c>
      <c r="D296" t="s">
        <v>3628</v>
      </c>
      <c r="E296" t="s">
        <v>2938</v>
      </c>
      <c r="F296" t="s">
        <v>1692</v>
      </c>
      <c r="G296" t="s">
        <v>2939</v>
      </c>
      <c r="H296" t="s">
        <v>2939</v>
      </c>
      <c r="I296" t="s">
        <v>2940</v>
      </c>
      <c r="J296" s="5" t="str" cm="1">
        <f t="array" ref="J296">IF(SUM(COUNTIF(Text_Preprocessing__2245[[#This Row],[full_text]],{"*makan siang gratis*";"*MBG*";"*makan gratis*";"*makan bergizi gratis*";"*makangratis*";"*makanan gratis*"})),"Relevan","Tidak Relevan")</f>
        <v>Relevan</v>
      </c>
    </row>
    <row r="297" spans="1:11" x14ac:dyDescent="0.35">
      <c r="A297">
        <f t="shared" si="4"/>
        <v>296</v>
      </c>
      <c r="B297" t="s">
        <v>2941</v>
      </c>
      <c r="C297" t="s">
        <v>519</v>
      </c>
      <c r="D297" t="s">
        <v>3628</v>
      </c>
      <c r="E297" t="s">
        <v>2942</v>
      </c>
      <c r="F297" t="s">
        <v>1735</v>
      </c>
      <c r="G297" t="s">
        <v>2943</v>
      </c>
      <c r="H297" t="s">
        <v>2943</v>
      </c>
      <c r="I297" t="s">
        <v>2944</v>
      </c>
      <c r="J297" s="5" t="str" cm="1">
        <f t="array" ref="J297">IF(SUM(COUNTIF(Text_Preprocessing__2245[[#This Row],[full_text]],{"*makan siang gratis*";"*MBG*";"*makan gratis*";"*makan bergizi gratis*";"*makangratis*";"*makanan gratis*"})),"Relevan","Tidak Relevan")</f>
        <v>Relevan</v>
      </c>
    </row>
    <row r="298" spans="1:11" x14ac:dyDescent="0.35">
      <c r="A298">
        <f t="shared" si="4"/>
        <v>297</v>
      </c>
      <c r="B298" t="s">
        <v>2945</v>
      </c>
      <c r="C298" t="s">
        <v>522</v>
      </c>
      <c r="D298" t="s">
        <v>3628</v>
      </c>
      <c r="E298" t="s">
        <v>2946</v>
      </c>
      <c r="F298" t="s">
        <v>2008</v>
      </c>
      <c r="G298" t="s">
        <v>2947</v>
      </c>
      <c r="H298" t="s">
        <v>2948</v>
      </c>
      <c r="I298" t="s">
        <v>2949</v>
      </c>
      <c r="J298" s="5" t="str" cm="1">
        <f t="array" ref="J298">IF(SUM(COUNTIF(Text_Preprocessing__2245[[#This Row],[full_text]],{"*makan siang gratis*";"*MBG*";"*makan gratis*";"*makan bergizi gratis*";"*makangratis*";"*makanan gratis*"})),"Relevan","Tidak Relevan")</f>
        <v>Relevan</v>
      </c>
    </row>
    <row r="299" spans="1:11" x14ac:dyDescent="0.35">
      <c r="A299">
        <f t="shared" si="4"/>
        <v>298</v>
      </c>
      <c r="B299" t="s">
        <v>2950</v>
      </c>
      <c r="C299" t="s">
        <v>447</v>
      </c>
      <c r="D299" t="s">
        <v>3634</v>
      </c>
      <c r="E299" t="s">
        <v>2951</v>
      </c>
      <c r="F299" t="s">
        <v>1775</v>
      </c>
      <c r="G299" t="s">
        <v>2952</v>
      </c>
      <c r="H299" t="s">
        <v>2952</v>
      </c>
      <c r="I299" t="s">
        <v>2953</v>
      </c>
      <c r="J299" s="5" t="str" cm="1">
        <f t="array" ref="J299">IF(SUM(COUNTIF(Text_Preprocessing__2245[[#This Row],[full_text]],{"*makan siang gratis*";"*MBG*";"*makan gratis*";"*makan bergizi gratis*";"*makangratis*";"*makanan gratis*"})),"Relevan","Tidak Relevan")</f>
        <v>Relevan</v>
      </c>
    </row>
    <row r="300" spans="1:11" x14ac:dyDescent="0.35">
      <c r="A300">
        <f t="shared" si="4"/>
        <v>299</v>
      </c>
      <c r="B300" t="s">
        <v>2954</v>
      </c>
      <c r="C300" t="s">
        <v>525</v>
      </c>
      <c r="D300" t="s">
        <v>3628</v>
      </c>
      <c r="E300" t="s">
        <v>2955</v>
      </c>
      <c r="F300" t="s">
        <v>1764</v>
      </c>
      <c r="G300" t="s">
        <v>2956</v>
      </c>
      <c r="H300" t="s">
        <v>2956</v>
      </c>
      <c r="I300" t="s">
        <v>2957</v>
      </c>
      <c r="J300" s="5" t="str" cm="1">
        <f t="array" ref="J300">IF(SUM(COUNTIF(Text_Preprocessing__2245[[#This Row],[full_text]],{"*makan siang gratis*";"*MBG*";"*makan gratis*";"*makan bergizi gratis*";"*makangratis*";"*makanan gratis*"})),"Relevan","Tidak Relevan")</f>
        <v>Relevan</v>
      </c>
    </row>
    <row r="301" spans="1:11" x14ac:dyDescent="0.35">
      <c r="A301">
        <f t="shared" si="4"/>
        <v>300</v>
      </c>
      <c r="B301" t="s">
        <v>2958</v>
      </c>
      <c r="C301" t="s">
        <v>447</v>
      </c>
      <c r="D301" t="s">
        <v>3634</v>
      </c>
      <c r="E301" t="s">
        <v>2959</v>
      </c>
      <c r="F301" t="s">
        <v>2442</v>
      </c>
      <c r="G301" t="s">
        <v>2960</v>
      </c>
      <c r="H301" t="s">
        <v>2960</v>
      </c>
      <c r="I301" t="s">
        <v>2961</v>
      </c>
      <c r="J301" s="5" t="str" cm="1">
        <f t="array" ref="J301">IF(SUM(COUNTIF(Text_Preprocessing__2245[[#This Row],[full_text]],{"*makan siang gratis*";"*MBG*";"*makan gratis*";"*makan bergizi gratis*";"*makangratis*";"*makanan gratis*"})),"Relevan","Tidak Relevan")</f>
        <v>Relevan</v>
      </c>
    </row>
    <row r="302" spans="1:11" x14ac:dyDescent="0.35">
      <c r="A302">
        <f t="shared" si="4"/>
        <v>301</v>
      </c>
      <c r="B302" t="s">
        <v>2962</v>
      </c>
      <c r="C302" t="s">
        <v>528</v>
      </c>
      <c r="D302" t="s">
        <v>3628</v>
      </c>
      <c r="E302" t="s">
        <v>2963</v>
      </c>
      <c r="F302" t="s">
        <v>1596</v>
      </c>
      <c r="G302" t="s">
        <v>2964</v>
      </c>
      <c r="H302" t="s">
        <v>2965</v>
      </c>
      <c r="I302" t="s">
        <v>2966</v>
      </c>
      <c r="J302" s="5" t="str" cm="1">
        <f t="array" ref="J302">IF(SUM(COUNTIF(Text_Preprocessing__2245[[#This Row],[full_text]],{"*makan siang gratis*";"*MBG*";"*makan gratis*";"*makan bergizi gratis*";"*makangratis*";"*makanan gratis*"})),"Relevan","Tidak Relevan")</f>
        <v>Tidak Relevan</v>
      </c>
      <c r="K302" t="s">
        <v>3622</v>
      </c>
    </row>
    <row r="303" spans="1:11" x14ac:dyDescent="0.35">
      <c r="A303">
        <f t="shared" si="4"/>
        <v>302</v>
      </c>
      <c r="B303" t="s">
        <v>2967</v>
      </c>
      <c r="C303" t="s">
        <v>442</v>
      </c>
      <c r="D303" t="s">
        <v>3634</v>
      </c>
      <c r="E303" t="s">
        <v>2968</v>
      </c>
      <c r="F303" t="s">
        <v>2609</v>
      </c>
      <c r="G303" t="s">
        <v>2969</v>
      </c>
      <c r="H303" t="s">
        <v>2969</v>
      </c>
      <c r="I303" t="s">
        <v>2970</v>
      </c>
      <c r="J303" s="5" t="str" cm="1">
        <f t="array" ref="J303">IF(SUM(COUNTIF(Text_Preprocessing__2245[[#This Row],[full_text]],{"*makan siang gratis*";"*MBG*";"*makan gratis*";"*makan bergizi gratis*";"*makangratis*";"*makanan gratis*"})),"Relevan","Tidak Relevan")</f>
        <v>Relevan</v>
      </c>
    </row>
    <row r="304" spans="1:11" x14ac:dyDescent="0.35">
      <c r="A304">
        <f t="shared" si="4"/>
        <v>303</v>
      </c>
      <c r="B304" t="s">
        <v>2971</v>
      </c>
      <c r="C304" t="s">
        <v>531</v>
      </c>
      <c r="D304" t="s">
        <v>3628</v>
      </c>
      <c r="E304" t="s">
        <v>2972</v>
      </c>
      <c r="F304" t="s">
        <v>2782</v>
      </c>
      <c r="G304" t="s">
        <v>2973</v>
      </c>
      <c r="H304" t="s">
        <v>2973</v>
      </c>
      <c r="I304" t="s">
        <v>2974</v>
      </c>
      <c r="J304" s="5" t="str" cm="1">
        <f t="array" ref="J304">IF(SUM(COUNTIF(Text_Preprocessing__2245[[#This Row],[full_text]],{"*makan siang gratis*";"*MBG*";"*makan gratis*";"*makan bergizi gratis*";"*makangratis*";"*makanan gratis*"})),"Relevan","Tidak Relevan")</f>
        <v>Relevan</v>
      </c>
    </row>
    <row r="305" spans="1:11" x14ac:dyDescent="0.35">
      <c r="A305">
        <f t="shared" si="4"/>
        <v>304</v>
      </c>
      <c r="B305" t="s">
        <v>2975</v>
      </c>
      <c r="C305" t="s">
        <v>533</v>
      </c>
      <c r="D305" t="s">
        <v>3628</v>
      </c>
      <c r="E305" t="s">
        <v>2976</v>
      </c>
      <c r="F305" t="s">
        <v>2977</v>
      </c>
      <c r="G305" t="s">
        <v>2978</v>
      </c>
      <c r="H305" t="s">
        <v>2979</v>
      </c>
      <c r="I305" t="s">
        <v>2980</v>
      </c>
      <c r="J305" s="5" t="str" cm="1">
        <f t="array" ref="J305">IF(SUM(COUNTIF(Text_Preprocessing__2245[[#This Row],[full_text]],{"*makan siang gratis*";"*MBG*";"*makan gratis*";"*makan bergizi gratis*";"*makangratis*";"*makanan gratis*"})),"Relevan","Tidak Relevan")</f>
        <v>Tidak Relevan</v>
      </c>
      <c r="K305" t="s">
        <v>3622</v>
      </c>
    </row>
    <row r="306" spans="1:11" x14ac:dyDescent="0.35">
      <c r="A306">
        <f t="shared" si="4"/>
        <v>305</v>
      </c>
      <c r="B306" t="s">
        <v>2981</v>
      </c>
      <c r="C306" t="s">
        <v>535</v>
      </c>
      <c r="D306" t="s">
        <v>3628</v>
      </c>
      <c r="E306" t="s">
        <v>2982</v>
      </c>
      <c r="F306" t="s">
        <v>2977</v>
      </c>
      <c r="G306" t="s">
        <v>2983</v>
      </c>
      <c r="H306" t="s">
        <v>2984</v>
      </c>
      <c r="I306" t="s">
        <v>2985</v>
      </c>
      <c r="J306" s="5" t="str" cm="1">
        <f t="array" ref="J306">IF(SUM(COUNTIF(Text_Preprocessing__2245[[#This Row],[full_text]],{"*makan siang gratis*";"*MBG*";"*makan gratis*";"*makan bergizi gratis*";"*makangratis*";"*makanan gratis*"})),"Relevan","Tidak Relevan")</f>
        <v>Relevan</v>
      </c>
    </row>
    <row r="307" spans="1:11" x14ac:dyDescent="0.35">
      <c r="A307">
        <f t="shared" si="4"/>
        <v>306</v>
      </c>
      <c r="B307" t="s">
        <v>2986</v>
      </c>
      <c r="C307" t="s">
        <v>537</v>
      </c>
      <c r="D307" t="s">
        <v>3628</v>
      </c>
      <c r="E307" t="s">
        <v>2987</v>
      </c>
      <c r="F307" t="s">
        <v>2258</v>
      </c>
      <c r="G307" t="s">
        <v>2988</v>
      </c>
      <c r="H307" t="s">
        <v>2988</v>
      </c>
      <c r="I307" t="s">
        <v>2989</v>
      </c>
      <c r="J307" s="5" t="str" cm="1">
        <f t="array" ref="J307">IF(SUM(COUNTIF(Text_Preprocessing__2245[[#This Row],[full_text]],{"*makan siang gratis*";"*MBG*";"*makan gratis*";"*makan bergizi gratis*";"*makangratis*";"*makanan gratis*"})),"Relevan","Tidak Relevan")</f>
        <v>Relevan</v>
      </c>
    </row>
    <row r="308" spans="1:11" x14ac:dyDescent="0.35">
      <c r="A308">
        <f t="shared" si="4"/>
        <v>307</v>
      </c>
      <c r="B308" t="s">
        <v>2990</v>
      </c>
      <c r="C308" t="s">
        <v>539</v>
      </c>
      <c r="D308" t="s">
        <v>3628</v>
      </c>
      <c r="E308" t="s">
        <v>2991</v>
      </c>
      <c r="F308" t="s">
        <v>2164</v>
      </c>
      <c r="G308" t="s">
        <v>2992</v>
      </c>
      <c r="H308" t="s">
        <v>2993</v>
      </c>
      <c r="I308" t="s">
        <v>2994</v>
      </c>
      <c r="J308" s="5" t="str" cm="1">
        <f t="array" ref="J308">IF(SUM(COUNTIF(Text_Preprocessing__2245[[#This Row],[full_text]],{"*makan siang gratis*";"*MBG*";"*makan gratis*";"*makan bergizi gratis*";"*makangratis*";"*makanan gratis*"})),"Relevan","Tidak Relevan")</f>
        <v>Tidak Relevan</v>
      </c>
      <c r="K308" t="s">
        <v>3622</v>
      </c>
    </row>
    <row r="309" spans="1:11" x14ac:dyDescent="0.35">
      <c r="A309">
        <f t="shared" si="4"/>
        <v>308</v>
      </c>
      <c r="B309" t="s">
        <v>2995</v>
      </c>
      <c r="C309" t="s">
        <v>541</v>
      </c>
      <c r="D309" t="s">
        <v>3628</v>
      </c>
      <c r="E309" t="s">
        <v>2996</v>
      </c>
      <c r="F309" t="s">
        <v>1804</v>
      </c>
      <c r="G309" t="s">
        <v>2996</v>
      </c>
      <c r="H309" t="s">
        <v>2996</v>
      </c>
      <c r="I309" t="s">
        <v>2997</v>
      </c>
      <c r="J309" s="5" t="str" cm="1">
        <f t="array" ref="J309">IF(SUM(COUNTIF(Text_Preprocessing__2245[[#This Row],[full_text]],{"*makan siang gratis*";"*MBG*";"*makan gratis*";"*makan bergizi gratis*";"*makangratis*";"*makanan gratis*"})),"Relevan","Tidak Relevan")</f>
        <v>Relevan</v>
      </c>
    </row>
    <row r="310" spans="1:11" x14ac:dyDescent="0.35">
      <c r="A310">
        <f t="shared" si="4"/>
        <v>309</v>
      </c>
      <c r="B310" t="s">
        <v>2998</v>
      </c>
      <c r="C310" t="s">
        <v>543</v>
      </c>
      <c r="D310" t="s">
        <v>3628</v>
      </c>
      <c r="E310" t="s">
        <v>2999</v>
      </c>
      <c r="F310" t="s">
        <v>2609</v>
      </c>
      <c r="G310" t="s">
        <v>3000</v>
      </c>
      <c r="H310" t="s">
        <v>3000</v>
      </c>
      <c r="I310" t="s">
        <v>3001</v>
      </c>
      <c r="J310" s="5" t="str" cm="1">
        <f t="array" ref="J310">IF(SUM(COUNTIF(Text_Preprocessing__2245[[#This Row],[full_text]],{"*makan siang gratis*";"*MBG*";"*makan gratis*";"*makan bergizi gratis*";"*makangratis*";"*makanan gratis*"})),"Relevan","Tidak Relevan")</f>
        <v>Relevan</v>
      </c>
    </row>
    <row r="311" spans="1:11" x14ac:dyDescent="0.35">
      <c r="A311">
        <f t="shared" si="4"/>
        <v>310</v>
      </c>
      <c r="B311" t="s">
        <v>3002</v>
      </c>
      <c r="C311" t="s">
        <v>545</v>
      </c>
      <c r="D311" t="s">
        <v>3634</v>
      </c>
      <c r="E311" t="s">
        <v>3003</v>
      </c>
      <c r="F311" t="s">
        <v>2082</v>
      </c>
      <c r="G311" t="s">
        <v>3004</v>
      </c>
      <c r="H311" t="s">
        <v>3004</v>
      </c>
      <c r="I311" t="s">
        <v>3005</v>
      </c>
      <c r="J311" s="5" t="str" cm="1">
        <f t="array" ref="J311">IF(SUM(COUNTIF(Text_Preprocessing__2245[[#This Row],[full_text]],{"*makan siang gratis*";"*MBG*";"*makan gratis*";"*makan bergizi gratis*";"*makangratis*";"*makanan gratis*"})),"Relevan","Tidak Relevan")</f>
        <v>Relevan</v>
      </c>
    </row>
    <row r="312" spans="1:11" x14ac:dyDescent="0.35">
      <c r="A312">
        <f t="shared" si="4"/>
        <v>311</v>
      </c>
      <c r="B312" t="s">
        <v>3006</v>
      </c>
      <c r="C312" t="s">
        <v>547</v>
      </c>
      <c r="D312" t="s">
        <v>3628</v>
      </c>
      <c r="E312" t="s">
        <v>3007</v>
      </c>
      <c r="F312" t="s">
        <v>1719</v>
      </c>
      <c r="G312" t="s">
        <v>3008</v>
      </c>
      <c r="H312" t="s">
        <v>3008</v>
      </c>
      <c r="I312" t="s">
        <v>3009</v>
      </c>
      <c r="J312" s="5" t="str" cm="1">
        <f t="array" ref="J312">IF(SUM(COUNTIF(Text_Preprocessing__2245[[#This Row],[full_text]],{"*makan siang gratis*";"*MBG*";"*makan gratis*";"*makan bergizi gratis*";"*makangratis*";"*makanan gratis*"})),"Relevan","Tidak Relevan")</f>
        <v>Relevan</v>
      </c>
    </row>
    <row r="313" spans="1:11" x14ac:dyDescent="0.35">
      <c r="A313">
        <f t="shared" si="4"/>
        <v>312</v>
      </c>
      <c r="B313" t="s">
        <v>3010</v>
      </c>
      <c r="C313" t="s">
        <v>549</v>
      </c>
      <c r="D313" t="s">
        <v>3628</v>
      </c>
      <c r="E313" t="s">
        <v>3011</v>
      </c>
      <c r="F313" t="s">
        <v>3012</v>
      </c>
      <c r="G313" t="s">
        <v>3013</v>
      </c>
      <c r="H313" t="s">
        <v>3013</v>
      </c>
      <c r="I313" t="s">
        <v>3014</v>
      </c>
      <c r="J313" s="5" t="str" cm="1">
        <f t="array" ref="J313">IF(SUM(COUNTIF(Text_Preprocessing__2245[[#This Row],[full_text]],{"*makan siang gratis*";"*MBG*";"*makan gratis*";"*makan bergizi gratis*";"*makangratis*";"*makanan gratis*"})),"Relevan","Tidak Relevan")</f>
        <v>Relevan</v>
      </c>
    </row>
    <row r="314" spans="1:11" x14ac:dyDescent="0.35">
      <c r="A314">
        <f t="shared" si="4"/>
        <v>313</v>
      </c>
      <c r="B314" t="s">
        <v>3015</v>
      </c>
      <c r="C314" t="s">
        <v>551</v>
      </c>
      <c r="D314" t="s">
        <v>3628</v>
      </c>
      <c r="E314" t="s">
        <v>3016</v>
      </c>
      <c r="F314" t="s">
        <v>1844</v>
      </c>
      <c r="G314" t="s">
        <v>3017</v>
      </c>
      <c r="H314" t="s">
        <v>3017</v>
      </c>
      <c r="I314" t="s">
        <v>3018</v>
      </c>
      <c r="J314" s="5" t="str" cm="1">
        <f t="array" ref="J314">IF(SUM(COUNTIF(Text_Preprocessing__2245[[#This Row],[full_text]],{"*makan siang gratis*";"*MBG*";"*makan gratis*";"*makan bergizi gratis*";"*makangratis*";"*makanan gratis*"})),"Relevan","Tidak Relevan")</f>
        <v>Relevan</v>
      </c>
    </row>
    <row r="315" spans="1:11" x14ac:dyDescent="0.35">
      <c r="A315">
        <f t="shared" si="4"/>
        <v>314</v>
      </c>
      <c r="B315" t="s">
        <v>3019</v>
      </c>
      <c r="C315" t="s">
        <v>555</v>
      </c>
      <c r="D315" t="s">
        <v>3628</v>
      </c>
      <c r="E315" t="s">
        <v>3020</v>
      </c>
      <c r="F315" t="s">
        <v>3021</v>
      </c>
      <c r="G315" t="s">
        <v>3022</v>
      </c>
      <c r="H315" t="s">
        <v>3023</v>
      </c>
      <c r="I315" t="s">
        <v>3024</v>
      </c>
      <c r="J315" s="5" t="str" cm="1">
        <f t="array" ref="J315">IF(SUM(COUNTIF(Text_Preprocessing__2245[[#This Row],[full_text]],{"*makan siang gratis*";"*MBG*";"*makan gratis*";"*makan bergizi gratis*";"*makangratis*";"*makanan gratis*"})),"Relevan","Tidak Relevan")</f>
        <v>Relevan</v>
      </c>
    </row>
    <row r="316" spans="1:11" x14ac:dyDescent="0.35">
      <c r="A316">
        <f t="shared" si="4"/>
        <v>315</v>
      </c>
      <c r="B316" t="s">
        <v>3025</v>
      </c>
      <c r="C316" t="s">
        <v>557</v>
      </c>
      <c r="D316" t="s">
        <v>3628</v>
      </c>
      <c r="E316" t="s">
        <v>3026</v>
      </c>
      <c r="F316" t="s">
        <v>2092</v>
      </c>
      <c r="G316" t="s">
        <v>3027</v>
      </c>
      <c r="H316" t="s">
        <v>3028</v>
      </c>
      <c r="I316" t="s">
        <v>3029</v>
      </c>
      <c r="J316" s="5" t="str" cm="1">
        <f t="array" ref="J316">IF(SUM(COUNTIF(Text_Preprocessing__2245[[#This Row],[full_text]],{"*makan siang gratis*";"*MBG*";"*makan gratis*";"*makan bergizi gratis*";"*makangratis*";"*makanan gratis*"})),"Relevan","Tidak Relevan")</f>
        <v>Tidak Relevan</v>
      </c>
      <c r="K316" t="s">
        <v>3622</v>
      </c>
    </row>
    <row r="317" spans="1:11" x14ac:dyDescent="0.35">
      <c r="A317">
        <f t="shared" si="4"/>
        <v>316</v>
      </c>
      <c r="B317" t="s">
        <v>3030</v>
      </c>
      <c r="C317" t="s">
        <v>559</v>
      </c>
      <c r="D317" t="s">
        <v>3632</v>
      </c>
      <c r="E317" t="s">
        <v>3031</v>
      </c>
      <c r="F317" t="s">
        <v>2348</v>
      </c>
      <c r="G317" t="s">
        <v>3032</v>
      </c>
      <c r="H317" t="s">
        <v>3032</v>
      </c>
      <c r="I317" t="s">
        <v>3033</v>
      </c>
      <c r="J317" s="5" t="str" cm="1">
        <f t="array" ref="J317">IF(SUM(COUNTIF(Text_Preprocessing__2245[[#This Row],[full_text]],{"*makan siang gratis*";"*MBG*";"*makan gratis*";"*makan bergizi gratis*";"*makangratis*";"*makanan gratis*"})),"Relevan","Tidak Relevan")</f>
        <v>Relevan</v>
      </c>
    </row>
    <row r="318" spans="1:11" x14ac:dyDescent="0.35">
      <c r="A318">
        <f t="shared" si="4"/>
        <v>317</v>
      </c>
      <c r="B318" t="s">
        <v>3034</v>
      </c>
      <c r="C318" t="s">
        <v>561</v>
      </c>
      <c r="D318" t="s">
        <v>3634</v>
      </c>
      <c r="E318" t="s">
        <v>3035</v>
      </c>
      <c r="F318" t="s">
        <v>3036</v>
      </c>
      <c r="G318" t="s">
        <v>3037</v>
      </c>
      <c r="H318" t="s">
        <v>3037</v>
      </c>
      <c r="I318" t="s">
        <v>3038</v>
      </c>
      <c r="J318" s="5" t="str" cm="1">
        <f t="array" ref="J318">IF(SUM(COUNTIF(Text_Preprocessing__2245[[#This Row],[full_text]],{"*makan siang gratis*";"*MBG*";"*makan gratis*";"*makan bergizi gratis*";"*makangratis*";"*makanan gratis*"})),"Relevan","Tidak Relevan")</f>
        <v>Relevan</v>
      </c>
    </row>
    <row r="319" spans="1:11" x14ac:dyDescent="0.35">
      <c r="A319">
        <f t="shared" si="4"/>
        <v>318</v>
      </c>
      <c r="B319" t="s">
        <v>3039</v>
      </c>
      <c r="C319" t="s">
        <v>563</v>
      </c>
      <c r="D319" t="s">
        <v>3628</v>
      </c>
      <c r="E319" t="s">
        <v>3040</v>
      </c>
      <c r="F319" t="s">
        <v>3041</v>
      </c>
      <c r="G319" t="s">
        <v>3042</v>
      </c>
      <c r="H319" t="s">
        <v>3042</v>
      </c>
      <c r="I319" t="s">
        <v>3043</v>
      </c>
      <c r="J319" s="5" t="str" cm="1">
        <f t="array" ref="J319">IF(SUM(COUNTIF(Text_Preprocessing__2245[[#This Row],[full_text]],{"*makan siang gratis*";"*MBG*";"*makan gratis*";"*makan bergizi gratis*";"*makangratis*";"*makanan gratis*"})),"Relevan","Tidak Relevan")</f>
        <v>Relevan</v>
      </c>
    </row>
    <row r="320" spans="1:11" x14ac:dyDescent="0.35">
      <c r="A320">
        <f t="shared" si="4"/>
        <v>319</v>
      </c>
      <c r="B320" t="s">
        <v>3044</v>
      </c>
      <c r="C320" t="s">
        <v>565</v>
      </c>
      <c r="D320" t="s">
        <v>3628</v>
      </c>
      <c r="E320" t="s">
        <v>3045</v>
      </c>
      <c r="F320" t="s">
        <v>2159</v>
      </c>
      <c r="G320" t="s">
        <v>3046</v>
      </c>
      <c r="H320" t="s">
        <v>3046</v>
      </c>
      <c r="I320" t="s">
        <v>3047</v>
      </c>
      <c r="J320" s="5" t="str" cm="1">
        <f t="array" ref="J320">IF(SUM(COUNTIF(Text_Preprocessing__2245[[#This Row],[full_text]],{"*makan siang gratis*";"*MBG*";"*makan gratis*";"*makan bergizi gratis*";"*makangratis*";"*makanan gratis*"})),"Relevan","Tidak Relevan")</f>
        <v>Relevan</v>
      </c>
    </row>
    <row r="321" spans="1:11" x14ac:dyDescent="0.35">
      <c r="A321">
        <f t="shared" si="4"/>
        <v>320</v>
      </c>
      <c r="B321" t="s">
        <v>3048</v>
      </c>
      <c r="C321" t="s">
        <v>567</v>
      </c>
      <c r="D321" t="s">
        <v>3628</v>
      </c>
      <c r="E321" t="s">
        <v>3049</v>
      </c>
      <c r="F321" t="s">
        <v>2312</v>
      </c>
      <c r="G321" t="s">
        <v>3050</v>
      </c>
      <c r="H321" t="s">
        <v>3050</v>
      </c>
      <c r="I321" t="s">
        <v>3051</v>
      </c>
      <c r="J321" s="5" t="str" cm="1">
        <f t="array" ref="J321">IF(SUM(COUNTIF(Text_Preprocessing__2245[[#This Row],[full_text]],{"*makan siang gratis*";"*MBG*";"*makan gratis*";"*makan bergizi gratis*";"*makangratis*";"*makanan gratis*"})),"Relevan","Tidak Relevan")</f>
        <v>Relevan</v>
      </c>
    </row>
    <row r="322" spans="1:11" x14ac:dyDescent="0.35">
      <c r="A322">
        <f t="shared" si="4"/>
        <v>321</v>
      </c>
      <c r="B322" t="s">
        <v>3052</v>
      </c>
      <c r="C322" t="s">
        <v>569</v>
      </c>
      <c r="D322" t="s">
        <v>3628</v>
      </c>
      <c r="E322" t="s">
        <v>3053</v>
      </c>
      <c r="F322" t="s">
        <v>1629</v>
      </c>
      <c r="G322" t="s">
        <v>3054</v>
      </c>
      <c r="H322" t="s">
        <v>3054</v>
      </c>
      <c r="I322" t="s">
        <v>3055</v>
      </c>
      <c r="J322" s="5" t="str" cm="1">
        <f t="array" ref="J322">IF(SUM(COUNTIF(Text_Preprocessing__2245[[#This Row],[full_text]],{"*makan siang gratis*";"*MBG*";"*makan gratis*";"*makan bergizi gratis*";"*makangratis*";"*makanan gratis*"})),"Relevan","Tidak Relevan")</f>
        <v>Relevan</v>
      </c>
    </row>
    <row r="323" spans="1:11" x14ac:dyDescent="0.35">
      <c r="A323">
        <f t="shared" si="4"/>
        <v>322</v>
      </c>
      <c r="B323" t="s">
        <v>3056</v>
      </c>
      <c r="C323" t="s">
        <v>571</v>
      </c>
      <c r="D323" t="s">
        <v>3628</v>
      </c>
      <c r="E323" t="s">
        <v>3057</v>
      </c>
      <c r="F323" t="s">
        <v>1990</v>
      </c>
      <c r="G323" t="s">
        <v>3058</v>
      </c>
      <c r="H323" t="s">
        <v>3058</v>
      </c>
      <c r="I323" t="s">
        <v>3059</v>
      </c>
      <c r="J323" s="5" t="str" cm="1">
        <f t="array" ref="J323">IF(SUM(COUNTIF(Text_Preprocessing__2245[[#This Row],[full_text]],{"*makan siang gratis*";"*MBG*";"*makan gratis*";"*makan bergizi gratis*";"*makangratis*";"*makanan gratis*"})),"Relevan","Tidak Relevan")</f>
        <v>Relevan</v>
      </c>
    </row>
    <row r="324" spans="1:11" x14ac:dyDescent="0.35">
      <c r="A324">
        <f t="shared" ref="A324:A387" si="5">SUM(A323+1)</f>
        <v>323</v>
      </c>
      <c r="B324" t="s">
        <v>3060</v>
      </c>
      <c r="C324" t="s">
        <v>484</v>
      </c>
      <c r="D324" t="s">
        <v>3628</v>
      </c>
      <c r="E324" t="s">
        <v>3061</v>
      </c>
      <c r="F324" t="s">
        <v>2348</v>
      </c>
      <c r="G324" t="s">
        <v>3062</v>
      </c>
      <c r="H324" t="s">
        <v>3062</v>
      </c>
      <c r="I324" t="s">
        <v>3063</v>
      </c>
      <c r="J324" s="5" t="str" cm="1">
        <f t="array" ref="J324">IF(SUM(COUNTIF(Text_Preprocessing__2245[[#This Row],[full_text]],{"*makan siang gratis*";"*MBG*";"*makan gratis*";"*makan bergizi gratis*";"*makangratis*";"*makanan gratis*"})),"Relevan","Tidak Relevan")</f>
        <v>Relevan</v>
      </c>
    </row>
    <row r="325" spans="1:11" x14ac:dyDescent="0.35">
      <c r="A325">
        <f t="shared" si="5"/>
        <v>324</v>
      </c>
      <c r="B325" t="s">
        <v>3064</v>
      </c>
      <c r="C325" t="s">
        <v>575</v>
      </c>
      <c r="D325" t="s">
        <v>3632</v>
      </c>
      <c r="E325" t="s">
        <v>3065</v>
      </c>
      <c r="F325" t="s">
        <v>2312</v>
      </c>
      <c r="G325" t="s">
        <v>3066</v>
      </c>
      <c r="H325" t="s">
        <v>3066</v>
      </c>
      <c r="I325" t="s">
        <v>3067</v>
      </c>
      <c r="J325" s="5" t="str" cm="1">
        <f t="array" ref="J325">IF(SUM(COUNTIF(Text_Preprocessing__2245[[#This Row],[full_text]],{"*makan siang gratis*";"*MBG*";"*makan gratis*";"*makan bergizi gratis*";"*makangratis*";"*makanan gratis*"})),"Relevan","Tidak Relevan")</f>
        <v>Relevan</v>
      </c>
    </row>
    <row r="326" spans="1:11" x14ac:dyDescent="0.35">
      <c r="A326">
        <f t="shared" si="5"/>
        <v>325</v>
      </c>
      <c r="B326" t="s">
        <v>3068</v>
      </c>
      <c r="C326" t="s">
        <v>577</v>
      </c>
      <c r="D326" t="s">
        <v>3634</v>
      </c>
      <c r="E326" t="s">
        <v>3069</v>
      </c>
      <c r="F326" t="s">
        <v>3070</v>
      </c>
      <c r="G326" t="s">
        <v>3071</v>
      </c>
      <c r="H326" t="s">
        <v>3071</v>
      </c>
      <c r="I326" t="s">
        <v>3072</v>
      </c>
      <c r="J326" s="5" t="str" cm="1">
        <f t="array" ref="J326">IF(SUM(COUNTIF(Text_Preprocessing__2245[[#This Row],[full_text]],{"*makan siang gratis*";"*MBG*";"*makan gratis*";"*makan bergizi gratis*";"*makangratis*";"*makanan gratis*"})),"Relevan","Tidak Relevan")</f>
        <v>Relevan</v>
      </c>
    </row>
    <row r="327" spans="1:11" x14ac:dyDescent="0.35">
      <c r="A327">
        <f t="shared" si="5"/>
        <v>326</v>
      </c>
      <c r="B327" t="s">
        <v>3073</v>
      </c>
      <c r="C327" t="s">
        <v>577</v>
      </c>
      <c r="D327" t="s">
        <v>3634</v>
      </c>
      <c r="E327" t="s">
        <v>3074</v>
      </c>
      <c r="F327" t="s">
        <v>1764</v>
      </c>
      <c r="G327" t="s">
        <v>3075</v>
      </c>
      <c r="H327" t="s">
        <v>3075</v>
      </c>
      <c r="I327" t="s">
        <v>3076</v>
      </c>
      <c r="J327" s="5" t="str" cm="1">
        <f t="array" ref="J327">IF(SUM(COUNTIF(Text_Preprocessing__2245[[#This Row],[full_text]],{"*makan siang gratis*";"*MBG*";"*makan gratis*";"*makan bergizi gratis*";"*makangratis*";"*makanan gratis*"})),"Relevan","Tidak Relevan")</f>
        <v>Relevan</v>
      </c>
    </row>
    <row r="328" spans="1:11" x14ac:dyDescent="0.35">
      <c r="A328">
        <f t="shared" si="5"/>
        <v>327</v>
      </c>
      <c r="B328" t="s">
        <v>3077</v>
      </c>
      <c r="C328" t="s">
        <v>435</v>
      </c>
      <c r="D328" t="s">
        <v>3628</v>
      </c>
      <c r="E328" t="s">
        <v>3078</v>
      </c>
      <c r="F328" t="s">
        <v>3079</v>
      </c>
      <c r="G328" t="s">
        <v>3080</v>
      </c>
      <c r="H328" t="s">
        <v>3080</v>
      </c>
      <c r="I328" t="s">
        <v>3081</v>
      </c>
      <c r="J328" s="5" t="str" cm="1">
        <f t="array" ref="J328">IF(SUM(COUNTIF(Text_Preprocessing__2245[[#This Row],[full_text]],{"*makan siang gratis*";"*MBG*";"*makan gratis*";"*makan bergizi gratis*";"*makangratis*";"*makanan gratis*"})),"Relevan","Tidak Relevan")</f>
        <v>Relevan</v>
      </c>
    </row>
    <row r="329" spans="1:11" x14ac:dyDescent="0.35">
      <c r="A329">
        <f t="shared" si="5"/>
        <v>328</v>
      </c>
      <c r="B329" t="s">
        <v>3082</v>
      </c>
      <c r="C329" t="s">
        <v>76</v>
      </c>
      <c r="D329" t="s">
        <v>3634</v>
      </c>
      <c r="E329" t="s">
        <v>3083</v>
      </c>
      <c r="F329" t="s">
        <v>2796</v>
      </c>
      <c r="G329" t="s">
        <v>3084</v>
      </c>
      <c r="H329" t="s">
        <v>3084</v>
      </c>
      <c r="I329" t="s">
        <v>3085</v>
      </c>
      <c r="J329" s="5" t="str" cm="1">
        <f t="array" ref="J329">IF(SUM(COUNTIF(Text_Preprocessing__2245[[#This Row],[full_text]],{"*makan siang gratis*";"*MBG*";"*makan gratis*";"*makan bergizi gratis*";"*makangratis*";"*makanan gratis*"})),"Relevan","Tidak Relevan")</f>
        <v>Relevan</v>
      </c>
    </row>
    <row r="330" spans="1:11" x14ac:dyDescent="0.35">
      <c r="A330">
        <f t="shared" si="5"/>
        <v>329</v>
      </c>
      <c r="B330" t="s">
        <v>3086</v>
      </c>
      <c r="C330" t="s">
        <v>582</v>
      </c>
      <c r="D330" t="s">
        <v>3628</v>
      </c>
      <c r="E330" t="s">
        <v>3087</v>
      </c>
      <c r="F330" t="s">
        <v>1613</v>
      </c>
      <c r="G330" t="s">
        <v>3088</v>
      </c>
      <c r="H330" t="s">
        <v>3089</v>
      </c>
      <c r="I330" t="s">
        <v>3090</v>
      </c>
      <c r="J330" s="5" t="str" cm="1">
        <f t="array" ref="J330">IF(SUM(COUNTIF(Text_Preprocessing__2245[[#This Row],[full_text]],{"*makan siang gratis*";"*MBG*";"*makan gratis*";"*makan bergizi gratis*";"*makangratis*";"*makanan gratis*"})),"Relevan","Tidak Relevan")</f>
        <v>Relevan</v>
      </c>
    </row>
    <row r="331" spans="1:11" x14ac:dyDescent="0.35">
      <c r="A331">
        <f t="shared" si="5"/>
        <v>330</v>
      </c>
      <c r="B331" t="s">
        <v>3091</v>
      </c>
      <c r="C331" t="s">
        <v>584</v>
      </c>
      <c r="D331" t="s">
        <v>3628</v>
      </c>
      <c r="E331" t="s">
        <v>3092</v>
      </c>
      <c r="F331" t="s">
        <v>3079</v>
      </c>
      <c r="G331" t="s">
        <v>3093</v>
      </c>
      <c r="H331" t="s">
        <v>3093</v>
      </c>
      <c r="I331" t="s">
        <v>3094</v>
      </c>
      <c r="J331" s="5" t="str" cm="1">
        <f t="array" ref="J331">IF(SUM(COUNTIF(Text_Preprocessing__2245[[#This Row],[full_text]],{"*makan siang gratis*";"*MBG*";"*makan gratis*";"*makan bergizi gratis*";"*makangratis*";"*makanan gratis*"})),"Relevan","Tidak Relevan")</f>
        <v>Tidak Relevan</v>
      </c>
      <c r="K331" t="s">
        <v>3622</v>
      </c>
    </row>
    <row r="332" spans="1:11" x14ac:dyDescent="0.35">
      <c r="A332">
        <f t="shared" si="5"/>
        <v>331</v>
      </c>
      <c r="B332" t="s">
        <v>3095</v>
      </c>
      <c r="C332" t="s">
        <v>586</v>
      </c>
      <c r="D332" t="s">
        <v>3628</v>
      </c>
      <c r="E332" t="s">
        <v>3096</v>
      </c>
      <c r="F332" t="s">
        <v>1663</v>
      </c>
      <c r="G332" t="s">
        <v>3097</v>
      </c>
      <c r="H332" t="s">
        <v>3098</v>
      </c>
      <c r="I332" t="s">
        <v>3099</v>
      </c>
      <c r="J332" s="5" t="str" cm="1">
        <f t="array" ref="J332">IF(SUM(COUNTIF(Text_Preprocessing__2245[[#This Row],[full_text]],{"*makan siang gratis*";"*MBG*";"*makan gratis*";"*makan bergizi gratis*";"*makangratis*";"*makanan gratis*"})),"Relevan","Tidak Relevan")</f>
        <v>Tidak Relevan</v>
      </c>
      <c r="K332" t="s">
        <v>3622</v>
      </c>
    </row>
    <row r="333" spans="1:11" x14ac:dyDescent="0.35">
      <c r="A333">
        <f t="shared" si="5"/>
        <v>332</v>
      </c>
      <c r="B333" t="s">
        <v>3100</v>
      </c>
      <c r="C333" t="s">
        <v>588</v>
      </c>
      <c r="D333" t="s">
        <v>3628</v>
      </c>
      <c r="E333" t="s">
        <v>3101</v>
      </c>
      <c r="F333" t="s">
        <v>2558</v>
      </c>
      <c r="G333" t="s">
        <v>3102</v>
      </c>
      <c r="H333" t="s">
        <v>3103</v>
      </c>
      <c r="I333" t="s">
        <v>3104</v>
      </c>
      <c r="J333" s="5" t="str" cm="1">
        <f t="array" ref="J333">IF(SUM(COUNTIF(Text_Preprocessing__2245[[#This Row],[full_text]],{"*makan siang gratis*";"*MBG*";"*makan gratis*";"*makan bergizi gratis*";"*makangratis*";"*makanan gratis*"})),"Relevan","Tidak Relevan")</f>
        <v>Relevan</v>
      </c>
    </row>
    <row r="334" spans="1:11" x14ac:dyDescent="0.35">
      <c r="A334">
        <f t="shared" si="5"/>
        <v>333</v>
      </c>
      <c r="B334" t="s">
        <v>3105</v>
      </c>
      <c r="C334" t="s">
        <v>590</v>
      </c>
      <c r="D334" t="s">
        <v>3628</v>
      </c>
      <c r="E334" t="s">
        <v>3106</v>
      </c>
      <c r="F334" t="s">
        <v>3107</v>
      </c>
      <c r="G334" t="s">
        <v>3108</v>
      </c>
      <c r="H334" t="s">
        <v>3109</v>
      </c>
      <c r="I334" t="s">
        <v>3110</v>
      </c>
      <c r="J334" s="5" t="str" cm="1">
        <f t="array" ref="J334">IF(SUM(COUNTIF(Text_Preprocessing__2245[[#This Row],[full_text]],{"*makan siang gratis*";"*MBG*";"*makan gratis*";"*makan bergizi gratis*";"*makangratis*";"*makanan gratis*"})),"Relevan","Tidak Relevan")</f>
        <v>Relevan</v>
      </c>
    </row>
    <row r="335" spans="1:11" x14ac:dyDescent="0.35">
      <c r="A335">
        <f t="shared" si="5"/>
        <v>334</v>
      </c>
      <c r="B335" t="s">
        <v>3111</v>
      </c>
      <c r="C335" t="s">
        <v>592</v>
      </c>
      <c r="D335" t="s">
        <v>3628</v>
      </c>
      <c r="E335" t="s">
        <v>3112</v>
      </c>
      <c r="F335" t="s">
        <v>3113</v>
      </c>
      <c r="G335" t="s">
        <v>3114</v>
      </c>
      <c r="H335" t="s">
        <v>3114</v>
      </c>
      <c r="I335" t="s">
        <v>3115</v>
      </c>
      <c r="J335" s="5" t="str" cm="1">
        <f t="array" ref="J335">IF(SUM(COUNTIF(Text_Preprocessing__2245[[#This Row],[full_text]],{"*makan siang gratis*";"*MBG*";"*makan gratis*";"*makan bergizi gratis*";"*makangratis*";"*makanan gratis*"})),"Relevan","Tidak Relevan")</f>
        <v>Relevan</v>
      </c>
    </row>
    <row r="336" spans="1:11" x14ac:dyDescent="0.35">
      <c r="A336">
        <f t="shared" si="5"/>
        <v>335</v>
      </c>
      <c r="B336" t="s">
        <v>3116</v>
      </c>
      <c r="C336" t="s">
        <v>594</v>
      </c>
      <c r="D336" t="s">
        <v>3629</v>
      </c>
      <c r="E336" t="s">
        <v>3117</v>
      </c>
      <c r="F336" t="s">
        <v>3118</v>
      </c>
      <c r="G336" t="s">
        <v>3119</v>
      </c>
      <c r="H336" t="s">
        <v>3119</v>
      </c>
      <c r="I336" t="s">
        <v>3120</v>
      </c>
      <c r="J336" s="5" t="str" cm="1">
        <f t="array" ref="J336">IF(SUM(COUNTIF(Text_Preprocessing__2245[[#This Row],[full_text]],{"*makan siang gratis*";"*MBG*";"*makan gratis*";"*makan bergizi gratis*";"*makangratis*";"*makanan gratis*"})),"Relevan","Tidak Relevan")</f>
        <v>Relevan</v>
      </c>
    </row>
    <row r="337" spans="1:10" x14ac:dyDescent="0.35">
      <c r="A337">
        <f t="shared" si="5"/>
        <v>336</v>
      </c>
      <c r="B337" t="s">
        <v>3121</v>
      </c>
      <c r="C337" t="s">
        <v>596</v>
      </c>
      <c r="D337" t="s">
        <v>3628</v>
      </c>
      <c r="E337" t="s">
        <v>3122</v>
      </c>
      <c r="F337" t="s">
        <v>1853</v>
      </c>
      <c r="G337" t="s">
        <v>3123</v>
      </c>
      <c r="H337" t="s">
        <v>3123</v>
      </c>
      <c r="I337" t="s">
        <v>3124</v>
      </c>
      <c r="J337" s="5" t="str" cm="1">
        <f t="array" ref="J337">IF(SUM(COUNTIF(Text_Preprocessing__2245[[#This Row],[full_text]],{"*makan siang gratis*";"*MBG*";"*makan gratis*";"*makan bergizi gratis*";"*makangratis*";"*makanan gratis*"})),"Relevan","Tidak Relevan")</f>
        <v>Relevan</v>
      </c>
    </row>
    <row r="338" spans="1:10" x14ac:dyDescent="0.35">
      <c r="A338">
        <f t="shared" si="5"/>
        <v>337</v>
      </c>
      <c r="B338" t="s">
        <v>3125</v>
      </c>
      <c r="C338" t="s">
        <v>598</v>
      </c>
      <c r="D338" t="s">
        <v>3628</v>
      </c>
      <c r="E338" t="s">
        <v>3126</v>
      </c>
      <c r="F338" t="s">
        <v>2229</v>
      </c>
      <c r="G338" t="s">
        <v>3127</v>
      </c>
      <c r="H338" t="s">
        <v>3127</v>
      </c>
      <c r="I338" t="s">
        <v>3128</v>
      </c>
      <c r="J338" s="5" t="str" cm="1">
        <f t="array" ref="J338">IF(SUM(COUNTIF(Text_Preprocessing__2245[[#This Row],[full_text]],{"*makan siang gratis*";"*MBG*";"*makan gratis*";"*makan bergizi gratis*";"*makangratis*";"*makanan gratis*"})),"Relevan","Tidak Relevan")</f>
        <v>Relevan</v>
      </c>
    </row>
    <row r="339" spans="1:10" x14ac:dyDescent="0.35">
      <c r="A339">
        <f t="shared" si="5"/>
        <v>338</v>
      </c>
      <c r="B339" t="s">
        <v>3129</v>
      </c>
      <c r="C339" t="s">
        <v>600</v>
      </c>
      <c r="D339" t="s">
        <v>3628</v>
      </c>
      <c r="E339" t="s">
        <v>3130</v>
      </c>
      <c r="F339" t="s">
        <v>3131</v>
      </c>
      <c r="G339" t="s">
        <v>3130</v>
      </c>
      <c r="H339" t="s">
        <v>3130</v>
      </c>
      <c r="I339" t="s">
        <v>3132</v>
      </c>
      <c r="J339" s="5" t="str" cm="1">
        <f t="array" ref="J339">IF(SUM(COUNTIF(Text_Preprocessing__2245[[#This Row],[full_text]],{"*makan siang gratis*";"*MBG*";"*makan gratis*";"*makan bergizi gratis*";"*makangratis*";"*makanan gratis*"})),"Relevan","Tidak Relevan")</f>
        <v>Relevan</v>
      </c>
    </row>
    <row r="340" spans="1:10" x14ac:dyDescent="0.35">
      <c r="A340">
        <f t="shared" si="5"/>
        <v>339</v>
      </c>
      <c r="B340" t="s">
        <v>3133</v>
      </c>
      <c r="C340" t="s">
        <v>602</v>
      </c>
      <c r="D340" t="s">
        <v>3628</v>
      </c>
      <c r="E340" t="s">
        <v>3134</v>
      </c>
      <c r="F340" t="s">
        <v>2862</v>
      </c>
      <c r="G340" t="s">
        <v>3135</v>
      </c>
      <c r="H340" t="s">
        <v>3135</v>
      </c>
      <c r="I340" t="s">
        <v>3136</v>
      </c>
      <c r="J340" s="5" t="str" cm="1">
        <f t="array" ref="J340">IF(SUM(COUNTIF(Text_Preprocessing__2245[[#This Row],[full_text]],{"*makan siang gratis*";"*MBG*";"*makan gratis*";"*makan bergizi gratis*";"*makangratis*";"*makanan gratis*"})),"Relevan","Tidak Relevan")</f>
        <v>Relevan</v>
      </c>
    </row>
    <row r="341" spans="1:10" x14ac:dyDescent="0.35">
      <c r="A341">
        <f t="shared" si="5"/>
        <v>340</v>
      </c>
      <c r="B341" t="s">
        <v>3137</v>
      </c>
      <c r="C341" t="s">
        <v>604</v>
      </c>
      <c r="D341" t="s">
        <v>3628</v>
      </c>
      <c r="E341" t="s">
        <v>3138</v>
      </c>
      <c r="F341" t="s">
        <v>2558</v>
      </c>
      <c r="G341" t="s">
        <v>3139</v>
      </c>
      <c r="H341" t="s">
        <v>3139</v>
      </c>
      <c r="I341" t="s">
        <v>3140</v>
      </c>
      <c r="J341" s="5" t="str" cm="1">
        <f t="array" ref="J341">IF(SUM(COUNTIF(Text_Preprocessing__2245[[#This Row],[full_text]],{"*makan siang gratis*";"*MBG*";"*makan gratis*";"*makan bergizi gratis*";"*makangratis*";"*makanan gratis*"})),"Relevan","Tidak Relevan")</f>
        <v>Relevan</v>
      </c>
    </row>
    <row r="342" spans="1:10" x14ac:dyDescent="0.35">
      <c r="A342">
        <f t="shared" si="5"/>
        <v>341</v>
      </c>
      <c r="B342" t="s">
        <v>3141</v>
      </c>
      <c r="C342" t="s">
        <v>606</v>
      </c>
      <c r="D342" t="s">
        <v>3628</v>
      </c>
      <c r="E342" t="s">
        <v>3142</v>
      </c>
      <c r="F342" t="s">
        <v>2154</v>
      </c>
      <c r="G342" t="s">
        <v>3143</v>
      </c>
      <c r="H342" t="s">
        <v>3144</v>
      </c>
      <c r="I342" t="s">
        <v>3145</v>
      </c>
      <c r="J342" s="5" t="str" cm="1">
        <f t="array" ref="J342">IF(SUM(COUNTIF(Text_Preprocessing__2245[[#This Row],[full_text]],{"*makan siang gratis*";"*MBG*";"*makan gratis*";"*makan bergizi gratis*";"*makangratis*";"*makanan gratis*"})),"Relevan","Tidak Relevan")</f>
        <v>Relevan</v>
      </c>
    </row>
    <row r="343" spans="1:10" x14ac:dyDescent="0.35">
      <c r="A343">
        <f t="shared" si="5"/>
        <v>342</v>
      </c>
      <c r="B343" t="s">
        <v>3146</v>
      </c>
      <c r="C343" t="s">
        <v>608</v>
      </c>
      <c r="D343" t="s">
        <v>3628</v>
      </c>
      <c r="E343" t="s">
        <v>3147</v>
      </c>
      <c r="F343" t="s">
        <v>1785</v>
      </c>
      <c r="G343" t="s">
        <v>3148</v>
      </c>
      <c r="H343" t="s">
        <v>3148</v>
      </c>
      <c r="I343" t="s">
        <v>3149</v>
      </c>
      <c r="J343" s="5" t="str" cm="1">
        <f t="array" ref="J343">IF(SUM(COUNTIF(Text_Preprocessing__2245[[#This Row],[full_text]],{"*makan siang gratis*";"*MBG*";"*makan gratis*";"*makan bergizi gratis*";"*makangratis*";"*makanan gratis*"})),"Relevan","Tidak Relevan")</f>
        <v>Relevan</v>
      </c>
    </row>
    <row r="344" spans="1:10" x14ac:dyDescent="0.35">
      <c r="A344">
        <f t="shared" si="5"/>
        <v>343</v>
      </c>
      <c r="B344" t="s">
        <v>3150</v>
      </c>
      <c r="C344" t="s">
        <v>610</v>
      </c>
      <c r="D344" t="s">
        <v>3628</v>
      </c>
      <c r="E344" t="s">
        <v>3151</v>
      </c>
      <c r="F344" t="s">
        <v>1764</v>
      </c>
      <c r="G344" t="s">
        <v>3152</v>
      </c>
      <c r="H344" t="s">
        <v>3152</v>
      </c>
      <c r="I344" t="s">
        <v>3153</v>
      </c>
      <c r="J344" s="5" t="str" cm="1">
        <f t="array" ref="J344">IF(SUM(COUNTIF(Text_Preprocessing__2245[[#This Row],[full_text]],{"*makan siang gratis*";"*MBG*";"*makan gratis*";"*makan bergizi gratis*";"*makangratis*";"*makanan gratis*"})),"Relevan","Tidak Relevan")</f>
        <v>Relevan</v>
      </c>
    </row>
    <row r="345" spans="1:10" x14ac:dyDescent="0.35">
      <c r="A345">
        <f t="shared" si="5"/>
        <v>344</v>
      </c>
      <c r="B345" t="s">
        <v>3154</v>
      </c>
      <c r="C345" t="s">
        <v>612</v>
      </c>
      <c r="D345" t="s">
        <v>3628</v>
      </c>
      <c r="E345" t="s">
        <v>3155</v>
      </c>
      <c r="F345" t="s">
        <v>1799</v>
      </c>
      <c r="G345" t="s">
        <v>3156</v>
      </c>
      <c r="H345" t="s">
        <v>3156</v>
      </c>
      <c r="I345" t="s">
        <v>3157</v>
      </c>
      <c r="J345" s="5" t="str" cm="1">
        <f t="array" ref="J345">IF(SUM(COUNTIF(Text_Preprocessing__2245[[#This Row],[full_text]],{"*makan siang gratis*";"*MBG*";"*makan gratis*";"*makan bergizi gratis*";"*makangratis*";"*makanan gratis*"})),"Relevan","Tidak Relevan")</f>
        <v>Relevan</v>
      </c>
    </row>
    <row r="346" spans="1:10" x14ac:dyDescent="0.35">
      <c r="A346">
        <f t="shared" si="5"/>
        <v>345</v>
      </c>
      <c r="B346" t="s">
        <v>3158</v>
      </c>
      <c r="C346" t="s">
        <v>614</v>
      </c>
      <c r="D346" t="s">
        <v>3628</v>
      </c>
      <c r="E346" t="s">
        <v>3159</v>
      </c>
      <c r="F346" t="s">
        <v>1799</v>
      </c>
      <c r="G346" t="s">
        <v>3160</v>
      </c>
      <c r="H346" t="s">
        <v>3160</v>
      </c>
      <c r="I346" t="s">
        <v>3161</v>
      </c>
      <c r="J346" s="5" t="str" cm="1">
        <f t="array" ref="J346">IF(SUM(COUNTIF(Text_Preprocessing__2245[[#This Row],[full_text]],{"*makan siang gratis*";"*MBG*";"*makan gratis*";"*makan bergizi gratis*";"*makangratis*";"*makanan gratis*"})),"Relevan","Tidak Relevan")</f>
        <v>Relevan</v>
      </c>
    </row>
    <row r="347" spans="1:10" x14ac:dyDescent="0.35">
      <c r="A347">
        <f t="shared" si="5"/>
        <v>346</v>
      </c>
      <c r="B347" t="s">
        <v>3162</v>
      </c>
      <c r="C347" t="s">
        <v>614</v>
      </c>
      <c r="D347" t="s">
        <v>3628</v>
      </c>
      <c r="E347" t="s">
        <v>3163</v>
      </c>
      <c r="F347" t="s">
        <v>1829</v>
      </c>
      <c r="G347" t="s">
        <v>3164</v>
      </c>
      <c r="H347" t="s">
        <v>3164</v>
      </c>
      <c r="I347" t="s">
        <v>3165</v>
      </c>
      <c r="J347" s="5" t="str" cm="1">
        <f t="array" ref="J347">IF(SUM(COUNTIF(Text_Preprocessing__2245[[#This Row],[full_text]],{"*makan siang gratis*";"*MBG*";"*makan gratis*";"*makan bergizi gratis*";"*makangratis*";"*makanan gratis*"})),"Relevan","Tidak Relevan")</f>
        <v>Relevan</v>
      </c>
    </row>
    <row r="348" spans="1:10" x14ac:dyDescent="0.35">
      <c r="A348">
        <f t="shared" si="5"/>
        <v>347</v>
      </c>
      <c r="B348" t="s">
        <v>3166</v>
      </c>
      <c r="C348" t="s">
        <v>617</v>
      </c>
      <c r="D348" t="s">
        <v>3628</v>
      </c>
      <c r="E348" t="s">
        <v>3167</v>
      </c>
      <c r="F348" t="s">
        <v>2505</v>
      </c>
      <c r="G348" t="s">
        <v>3168</v>
      </c>
      <c r="H348" t="s">
        <v>3168</v>
      </c>
      <c r="I348" t="s">
        <v>3169</v>
      </c>
      <c r="J348" s="5" t="str" cm="1">
        <f t="array" ref="J348">IF(SUM(COUNTIF(Text_Preprocessing__2245[[#This Row],[full_text]],{"*makan siang gratis*";"*MBG*";"*makan gratis*";"*makan bergizi gratis*";"*makangratis*";"*makanan gratis*"})),"Relevan","Tidak Relevan")</f>
        <v>Relevan</v>
      </c>
    </row>
    <row r="349" spans="1:10" x14ac:dyDescent="0.35">
      <c r="A349">
        <f t="shared" si="5"/>
        <v>348</v>
      </c>
      <c r="B349" t="s">
        <v>3170</v>
      </c>
      <c r="C349" t="s">
        <v>221</v>
      </c>
      <c r="D349" t="s">
        <v>3634</v>
      </c>
      <c r="E349" t="s">
        <v>3171</v>
      </c>
      <c r="F349" t="s">
        <v>1804</v>
      </c>
      <c r="G349" t="s">
        <v>3171</v>
      </c>
      <c r="H349" t="s">
        <v>3171</v>
      </c>
      <c r="I349" t="s">
        <v>3172</v>
      </c>
      <c r="J349" s="5" t="str" cm="1">
        <f t="array" ref="J349">IF(SUM(COUNTIF(Text_Preprocessing__2245[[#This Row],[full_text]],{"*makan siang gratis*";"*MBG*";"*makan gratis*";"*makan bergizi gratis*";"*makangratis*";"*makanan gratis*"})),"Relevan","Tidak Relevan")</f>
        <v>Relevan</v>
      </c>
    </row>
    <row r="350" spans="1:10" x14ac:dyDescent="0.35">
      <c r="A350">
        <f t="shared" si="5"/>
        <v>349</v>
      </c>
      <c r="B350" t="s">
        <v>3173</v>
      </c>
      <c r="C350" t="s">
        <v>620</v>
      </c>
      <c r="D350" t="s">
        <v>3628</v>
      </c>
      <c r="E350" t="s">
        <v>3174</v>
      </c>
      <c r="F350" t="s">
        <v>2604</v>
      </c>
      <c r="G350" t="s">
        <v>3175</v>
      </c>
      <c r="H350" t="s">
        <v>3175</v>
      </c>
      <c r="I350" t="s">
        <v>3176</v>
      </c>
      <c r="J350" s="5" t="str" cm="1">
        <f t="array" ref="J350">IF(SUM(COUNTIF(Text_Preprocessing__2245[[#This Row],[full_text]],{"*makan siang gratis*";"*MBG*";"*makan gratis*";"*makan bergizi gratis*";"*makangratis*";"*makanan gratis*"})),"Relevan","Tidak Relevan")</f>
        <v>Relevan</v>
      </c>
    </row>
    <row r="351" spans="1:10" x14ac:dyDescent="0.35">
      <c r="A351">
        <f t="shared" si="5"/>
        <v>350</v>
      </c>
      <c r="B351" t="s">
        <v>3177</v>
      </c>
      <c r="C351" t="s">
        <v>460</v>
      </c>
      <c r="D351" t="s">
        <v>3628</v>
      </c>
      <c r="E351" t="s">
        <v>3178</v>
      </c>
      <c r="F351" t="s">
        <v>1844</v>
      </c>
      <c r="G351" t="s">
        <v>3179</v>
      </c>
      <c r="H351" t="s">
        <v>3179</v>
      </c>
      <c r="I351" t="s">
        <v>3180</v>
      </c>
      <c r="J351" s="5" t="str" cm="1">
        <f t="array" ref="J351">IF(SUM(COUNTIF(Text_Preprocessing__2245[[#This Row],[full_text]],{"*makan siang gratis*";"*MBG*";"*makan gratis*";"*makan bergizi gratis*";"*makangratis*";"*makanan gratis*"})),"Relevan","Tidak Relevan")</f>
        <v>Relevan</v>
      </c>
    </row>
    <row r="352" spans="1:10" x14ac:dyDescent="0.35">
      <c r="A352">
        <f t="shared" si="5"/>
        <v>351</v>
      </c>
      <c r="B352" t="s">
        <v>3181</v>
      </c>
      <c r="C352" t="s">
        <v>460</v>
      </c>
      <c r="D352" t="s">
        <v>3628</v>
      </c>
      <c r="E352" t="s">
        <v>3182</v>
      </c>
      <c r="F352" t="s">
        <v>1730</v>
      </c>
      <c r="G352" t="s">
        <v>3183</v>
      </c>
      <c r="H352" t="s">
        <v>3183</v>
      </c>
      <c r="I352" t="s">
        <v>3184</v>
      </c>
      <c r="J352" s="5" t="str" cm="1">
        <f t="array" ref="J352">IF(SUM(COUNTIF(Text_Preprocessing__2245[[#This Row],[full_text]],{"*makan siang gratis*";"*MBG*";"*makan gratis*";"*makan bergizi gratis*";"*makangratis*";"*makanan gratis*"})),"Relevan","Tidak Relevan")</f>
        <v>Relevan</v>
      </c>
    </row>
    <row r="353" spans="1:11" x14ac:dyDescent="0.35">
      <c r="A353">
        <f t="shared" si="5"/>
        <v>352</v>
      </c>
      <c r="B353" t="s">
        <v>3185</v>
      </c>
      <c r="C353" t="s">
        <v>460</v>
      </c>
      <c r="D353" t="s">
        <v>3628</v>
      </c>
      <c r="E353" t="s">
        <v>3186</v>
      </c>
      <c r="F353" t="s">
        <v>1929</v>
      </c>
      <c r="G353" t="s">
        <v>3187</v>
      </c>
      <c r="H353" t="s">
        <v>3187</v>
      </c>
      <c r="I353" t="s">
        <v>3188</v>
      </c>
      <c r="J353" s="5" t="str" cm="1">
        <f t="array" ref="J353">IF(SUM(COUNTIF(Text_Preprocessing__2245[[#This Row],[full_text]],{"*makan siang gratis*";"*MBG*";"*makan gratis*";"*makan bergizi gratis*";"*makangratis*";"*makanan gratis*"})),"Relevan","Tidak Relevan")</f>
        <v>Relevan</v>
      </c>
    </row>
    <row r="354" spans="1:11" x14ac:dyDescent="0.35">
      <c r="A354">
        <f t="shared" si="5"/>
        <v>353</v>
      </c>
      <c r="B354" t="s">
        <v>3189</v>
      </c>
      <c r="C354" t="s">
        <v>460</v>
      </c>
      <c r="D354" t="s">
        <v>3628</v>
      </c>
      <c r="E354" t="s">
        <v>3190</v>
      </c>
      <c r="F354" t="s">
        <v>1929</v>
      </c>
      <c r="G354" t="s">
        <v>3191</v>
      </c>
      <c r="H354" t="s">
        <v>3191</v>
      </c>
      <c r="I354" t="s">
        <v>3192</v>
      </c>
      <c r="J354" s="5" t="str" cm="1">
        <f t="array" ref="J354">IF(SUM(COUNTIF(Text_Preprocessing__2245[[#This Row],[full_text]],{"*makan siang gratis*";"*MBG*";"*makan gratis*";"*makan bergizi gratis*";"*makangratis*";"*makanan gratis*"})),"Relevan","Tidak Relevan")</f>
        <v>Relevan</v>
      </c>
    </row>
    <row r="355" spans="1:11" x14ac:dyDescent="0.35">
      <c r="A355">
        <f t="shared" si="5"/>
        <v>354</v>
      </c>
      <c r="B355" t="s">
        <v>3193</v>
      </c>
      <c r="C355" t="s">
        <v>620</v>
      </c>
      <c r="D355" t="s">
        <v>3628</v>
      </c>
      <c r="E355" t="s">
        <v>3194</v>
      </c>
      <c r="F355" t="s">
        <v>1719</v>
      </c>
      <c r="G355" t="s">
        <v>3195</v>
      </c>
      <c r="H355" t="s">
        <v>3195</v>
      </c>
      <c r="I355" t="s">
        <v>3196</v>
      </c>
      <c r="J355" s="5" t="str" cm="1">
        <f t="array" ref="J355">IF(SUM(COUNTIF(Text_Preprocessing__2245[[#This Row],[full_text]],{"*makan siang gratis*";"*MBG*";"*makan gratis*";"*makan bergizi gratis*";"*makangratis*";"*makanan gratis*"})),"Relevan","Tidak Relevan")</f>
        <v>Relevan</v>
      </c>
    </row>
    <row r="356" spans="1:11" x14ac:dyDescent="0.35">
      <c r="A356">
        <f t="shared" si="5"/>
        <v>355</v>
      </c>
      <c r="B356" t="s">
        <v>3197</v>
      </c>
      <c r="C356" t="s">
        <v>460</v>
      </c>
      <c r="D356" t="s">
        <v>3628</v>
      </c>
      <c r="E356" t="s">
        <v>3198</v>
      </c>
      <c r="F356" t="s">
        <v>1730</v>
      </c>
      <c r="G356" t="s">
        <v>3199</v>
      </c>
      <c r="H356" t="s">
        <v>3199</v>
      </c>
      <c r="I356" t="s">
        <v>3200</v>
      </c>
      <c r="J356" s="5" t="str" cm="1">
        <f t="array" ref="J356">IF(SUM(COUNTIF(Text_Preprocessing__2245[[#This Row],[full_text]],{"*makan siang gratis*";"*MBG*";"*makan gratis*";"*makan bergizi gratis*";"*makangratis*";"*makanan gratis*"})),"Relevan","Tidak Relevan")</f>
        <v>Relevan</v>
      </c>
    </row>
    <row r="357" spans="1:11" x14ac:dyDescent="0.35">
      <c r="A357">
        <f t="shared" si="5"/>
        <v>356</v>
      </c>
      <c r="B357" t="s">
        <v>3201</v>
      </c>
      <c r="C357" t="s">
        <v>93</v>
      </c>
      <c r="D357" t="s">
        <v>3634</v>
      </c>
      <c r="E357" t="s">
        <v>3202</v>
      </c>
      <c r="F357" t="s">
        <v>2215</v>
      </c>
      <c r="G357" t="s">
        <v>3203</v>
      </c>
      <c r="H357" t="s">
        <v>3203</v>
      </c>
      <c r="I357" t="s">
        <v>3204</v>
      </c>
      <c r="J357" s="5" t="str" cm="1">
        <f t="array" ref="J357">IF(SUM(COUNTIF(Text_Preprocessing__2245[[#This Row],[full_text]],{"*makan siang gratis*";"*MBG*";"*makan gratis*";"*makan bergizi gratis*";"*makangratis*";"*makanan gratis*"})),"Relevan","Tidak Relevan")</f>
        <v>Relevan</v>
      </c>
    </row>
    <row r="358" spans="1:11" x14ac:dyDescent="0.35">
      <c r="A358">
        <f t="shared" si="5"/>
        <v>357</v>
      </c>
      <c r="B358" t="s">
        <v>3205</v>
      </c>
      <c r="C358" t="s">
        <v>629</v>
      </c>
      <c r="D358" t="s">
        <v>3628</v>
      </c>
      <c r="E358" t="s">
        <v>3206</v>
      </c>
      <c r="F358" t="s">
        <v>1730</v>
      </c>
      <c r="G358" t="s">
        <v>3207</v>
      </c>
      <c r="H358" t="s">
        <v>3207</v>
      </c>
      <c r="I358" t="s">
        <v>3208</v>
      </c>
      <c r="J358" s="5" t="str" cm="1">
        <f t="array" ref="J358">IF(SUM(COUNTIF(Text_Preprocessing__2245[[#This Row],[full_text]],{"*makan siang gratis*";"*MBG*";"*makan gratis*";"*makan bergizi gratis*";"*makangratis*";"*makanan gratis*"})),"Relevan","Tidak Relevan")</f>
        <v>Relevan</v>
      </c>
    </row>
    <row r="359" spans="1:11" x14ac:dyDescent="0.35">
      <c r="A359">
        <f t="shared" si="5"/>
        <v>358</v>
      </c>
      <c r="B359" t="s">
        <v>3209</v>
      </c>
      <c r="C359" t="s">
        <v>629</v>
      </c>
      <c r="D359" t="s">
        <v>3628</v>
      </c>
      <c r="E359" t="s">
        <v>3210</v>
      </c>
      <c r="F359" t="s">
        <v>1692</v>
      </c>
      <c r="G359" t="s">
        <v>3211</v>
      </c>
      <c r="H359" t="s">
        <v>3211</v>
      </c>
      <c r="I359" t="s">
        <v>3212</v>
      </c>
      <c r="J359" s="5" t="str" cm="1">
        <f t="array" ref="J359">IF(SUM(COUNTIF(Text_Preprocessing__2245[[#This Row],[full_text]],{"*makan siang gratis*";"*MBG*";"*makan gratis*";"*makan bergizi gratis*";"*makangratis*";"*makanan gratis*"})),"Relevan","Tidak Relevan")</f>
        <v>Relevan</v>
      </c>
    </row>
    <row r="360" spans="1:11" x14ac:dyDescent="0.35">
      <c r="A360">
        <f t="shared" si="5"/>
        <v>359</v>
      </c>
      <c r="B360" t="s">
        <v>3213</v>
      </c>
      <c r="C360" t="s">
        <v>629</v>
      </c>
      <c r="D360" t="s">
        <v>3628</v>
      </c>
      <c r="E360" t="s">
        <v>3214</v>
      </c>
      <c r="F360" t="s">
        <v>1929</v>
      </c>
      <c r="G360" t="s">
        <v>3215</v>
      </c>
      <c r="H360" t="s">
        <v>3215</v>
      </c>
      <c r="I360" t="s">
        <v>3216</v>
      </c>
      <c r="J360" s="5" t="str" cm="1">
        <f t="array" ref="J360">IF(SUM(COUNTIF(Text_Preprocessing__2245[[#This Row],[full_text]],{"*makan siang gratis*";"*MBG*";"*makan gratis*";"*makan bergizi gratis*";"*makangratis*";"*makanan gratis*"})),"Relevan","Tidak Relevan")</f>
        <v>Relevan</v>
      </c>
    </row>
    <row r="361" spans="1:11" x14ac:dyDescent="0.35">
      <c r="A361">
        <f t="shared" si="5"/>
        <v>360</v>
      </c>
      <c r="B361" t="s">
        <v>3217</v>
      </c>
      <c r="C361" t="s">
        <v>629</v>
      </c>
      <c r="D361" t="s">
        <v>3628</v>
      </c>
      <c r="E361" t="s">
        <v>3218</v>
      </c>
      <c r="F361" t="s">
        <v>1730</v>
      </c>
      <c r="G361" t="s">
        <v>3219</v>
      </c>
      <c r="H361" t="s">
        <v>3219</v>
      </c>
      <c r="I361" t="s">
        <v>3220</v>
      </c>
      <c r="J361" s="5" t="str" cm="1">
        <f t="array" ref="J361">IF(SUM(COUNTIF(Text_Preprocessing__2245[[#This Row],[full_text]],{"*makan siang gratis*";"*MBG*";"*makan gratis*";"*makan bergizi gratis*";"*makangratis*";"*makanan gratis*"})),"Relevan","Tidak Relevan")</f>
        <v>Relevan</v>
      </c>
    </row>
    <row r="362" spans="1:11" x14ac:dyDescent="0.35">
      <c r="A362">
        <f t="shared" si="5"/>
        <v>361</v>
      </c>
      <c r="B362" t="s">
        <v>3221</v>
      </c>
      <c r="C362" t="s">
        <v>634</v>
      </c>
      <c r="D362" t="s">
        <v>3628</v>
      </c>
      <c r="E362" t="s">
        <v>3222</v>
      </c>
      <c r="F362" t="s">
        <v>2748</v>
      </c>
      <c r="G362" t="s">
        <v>3223</v>
      </c>
      <c r="H362" t="s">
        <v>3223</v>
      </c>
      <c r="I362" t="s">
        <v>3224</v>
      </c>
      <c r="J362" s="5" t="str" cm="1">
        <f t="array" ref="J362">IF(SUM(COUNTIF(Text_Preprocessing__2245[[#This Row],[full_text]],{"*makan siang gratis*";"*MBG*";"*makan gratis*";"*makan bergizi gratis*";"*makangratis*";"*makanan gratis*"})),"Relevan","Tidak Relevan")</f>
        <v>Tidak Relevan</v>
      </c>
      <c r="K362" t="s">
        <v>3622</v>
      </c>
    </row>
    <row r="363" spans="1:11" x14ac:dyDescent="0.35">
      <c r="A363">
        <f t="shared" si="5"/>
        <v>362</v>
      </c>
      <c r="B363" t="s">
        <v>3225</v>
      </c>
      <c r="C363" t="s">
        <v>636</v>
      </c>
      <c r="D363" t="s">
        <v>3628</v>
      </c>
      <c r="E363" t="s">
        <v>3226</v>
      </c>
      <c r="F363" t="s">
        <v>3227</v>
      </c>
      <c r="G363" t="s">
        <v>3228</v>
      </c>
      <c r="H363" t="s">
        <v>3228</v>
      </c>
      <c r="I363" t="s">
        <v>3229</v>
      </c>
      <c r="J363" s="5" t="str" cm="1">
        <f t="array" ref="J363">IF(SUM(COUNTIF(Text_Preprocessing__2245[[#This Row],[full_text]],{"*makan siang gratis*";"*MBG*";"*makan gratis*";"*makan bergizi gratis*";"*makangratis*";"*makanan gratis*"})),"Relevan","Tidak Relevan")</f>
        <v>Tidak Relevan</v>
      </c>
      <c r="K363" t="s">
        <v>3622</v>
      </c>
    </row>
    <row r="364" spans="1:11" x14ac:dyDescent="0.35">
      <c r="A364">
        <f t="shared" si="5"/>
        <v>363</v>
      </c>
      <c r="B364" t="s">
        <v>3230</v>
      </c>
      <c r="C364" t="s">
        <v>638</v>
      </c>
      <c r="D364" t="s">
        <v>3628</v>
      </c>
      <c r="E364" t="s">
        <v>3231</v>
      </c>
      <c r="F364" t="s">
        <v>2743</v>
      </c>
      <c r="G364" t="s">
        <v>3232</v>
      </c>
      <c r="H364" t="s">
        <v>3232</v>
      </c>
      <c r="I364" t="s">
        <v>3233</v>
      </c>
      <c r="J364" s="5" t="str" cm="1">
        <f t="array" ref="J364">IF(SUM(COUNTIF(Text_Preprocessing__2245[[#This Row],[full_text]],{"*makan siang gratis*";"*MBG*";"*makan gratis*";"*makan bergizi gratis*";"*makangratis*";"*makanan gratis*"})),"Relevan","Tidak Relevan")</f>
        <v>Relevan</v>
      </c>
    </row>
    <row r="365" spans="1:11" x14ac:dyDescent="0.35">
      <c r="A365">
        <f t="shared" si="5"/>
        <v>364</v>
      </c>
      <c r="B365" t="s">
        <v>3234</v>
      </c>
      <c r="C365" t="s">
        <v>330</v>
      </c>
      <c r="D365" t="s">
        <v>3628</v>
      </c>
      <c r="E365" t="s">
        <v>3235</v>
      </c>
      <c r="F365" t="s">
        <v>1629</v>
      </c>
      <c r="G365" t="s">
        <v>3236</v>
      </c>
      <c r="H365" t="s">
        <v>3236</v>
      </c>
      <c r="I365" t="s">
        <v>3237</v>
      </c>
      <c r="J365" s="5" t="str" cm="1">
        <f t="array" ref="J365">IF(SUM(COUNTIF(Text_Preprocessing__2245[[#This Row],[full_text]],{"*makan siang gratis*";"*MBG*";"*makan gratis*";"*makan bergizi gratis*";"*makangratis*";"*makanan gratis*"})),"Relevan","Tidak Relevan")</f>
        <v>Relevan</v>
      </c>
    </row>
    <row r="366" spans="1:11" x14ac:dyDescent="0.35">
      <c r="A366">
        <f t="shared" si="5"/>
        <v>365</v>
      </c>
      <c r="B366" t="s">
        <v>3238</v>
      </c>
      <c r="C366" t="s">
        <v>641</v>
      </c>
      <c r="D366" t="s">
        <v>3628</v>
      </c>
      <c r="E366" t="s">
        <v>3239</v>
      </c>
      <c r="F366" t="s">
        <v>1893</v>
      </c>
      <c r="G366" t="s">
        <v>3240</v>
      </c>
      <c r="H366" t="s">
        <v>3240</v>
      </c>
      <c r="I366" t="s">
        <v>3241</v>
      </c>
      <c r="J366" s="5" t="str" cm="1">
        <f t="array" ref="J366">IF(SUM(COUNTIF(Text_Preprocessing__2245[[#This Row],[full_text]],{"*makan siang gratis*";"*MBG*";"*makan gratis*";"*makan bergizi gratis*";"*makangratis*";"*makanan gratis*"})),"Relevan","Tidak Relevan")</f>
        <v>Relevan</v>
      </c>
    </row>
    <row r="367" spans="1:11" x14ac:dyDescent="0.35">
      <c r="A367">
        <f t="shared" si="5"/>
        <v>366</v>
      </c>
      <c r="B367" t="s">
        <v>3242</v>
      </c>
      <c r="C367" t="s">
        <v>643</v>
      </c>
      <c r="D367" t="s">
        <v>3628</v>
      </c>
      <c r="E367" t="s">
        <v>3243</v>
      </c>
      <c r="F367" t="s">
        <v>3244</v>
      </c>
      <c r="G367" t="s">
        <v>3245</v>
      </c>
      <c r="H367" t="s">
        <v>3246</v>
      </c>
      <c r="I367" t="s">
        <v>3247</v>
      </c>
      <c r="J367" s="5" t="str" cm="1">
        <f t="array" ref="J367">IF(SUM(COUNTIF(Text_Preprocessing__2245[[#This Row],[full_text]],{"*makan siang gratis*";"*MBG*";"*makan gratis*";"*makan bergizi gratis*";"*makangratis*";"*makanan gratis*"})),"Relevan","Tidak Relevan")</f>
        <v>Relevan</v>
      </c>
    </row>
    <row r="368" spans="1:11" x14ac:dyDescent="0.35">
      <c r="A368">
        <f t="shared" si="5"/>
        <v>367</v>
      </c>
      <c r="B368" t="s">
        <v>3248</v>
      </c>
      <c r="C368" t="s">
        <v>645</v>
      </c>
      <c r="D368" t="s">
        <v>3628</v>
      </c>
      <c r="E368" t="s">
        <v>3249</v>
      </c>
      <c r="F368" t="s">
        <v>1799</v>
      </c>
      <c r="G368" t="s">
        <v>3250</v>
      </c>
      <c r="H368" t="s">
        <v>3250</v>
      </c>
      <c r="I368" t="s">
        <v>3251</v>
      </c>
      <c r="J368" s="5" t="str" cm="1">
        <f t="array" ref="J368">IF(SUM(COUNTIF(Text_Preprocessing__2245[[#This Row],[full_text]],{"*makan siang gratis*";"*MBG*";"*makan gratis*";"*makan bergizi gratis*";"*makangratis*";"*makanan gratis*"})),"Relevan","Tidak Relevan")</f>
        <v>Relevan</v>
      </c>
    </row>
    <row r="369" spans="1:11" x14ac:dyDescent="0.35">
      <c r="A369">
        <f t="shared" si="5"/>
        <v>368</v>
      </c>
      <c r="B369" t="s">
        <v>3252</v>
      </c>
      <c r="C369" t="s">
        <v>647</v>
      </c>
      <c r="D369" t="s">
        <v>3628</v>
      </c>
      <c r="E369" t="s">
        <v>3253</v>
      </c>
      <c r="F369" t="s">
        <v>1624</v>
      </c>
      <c r="G369" t="s">
        <v>3254</v>
      </c>
      <c r="H369" t="s">
        <v>3254</v>
      </c>
      <c r="I369" t="s">
        <v>3255</v>
      </c>
      <c r="J369" s="5" t="str" cm="1">
        <f t="array" ref="J369">IF(SUM(COUNTIF(Text_Preprocessing__2245[[#This Row],[full_text]],{"*makan siang gratis*";"*MBG*";"*makan gratis*";"*makan bergizi gratis*";"*makangratis*";"*makanan gratis*"})),"Relevan","Tidak Relevan")</f>
        <v>Relevan</v>
      </c>
    </row>
    <row r="370" spans="1:11" x14ac:dyDescent="0.35">
      <c r="A370">
        <f t="shared" si="5"/>
        <v>369</v>
      </c>
      <c r="B370" t="s">
        <v>3256</v>
      </c>
      <c r="C370" t="s">
        <v>649</v>
      </c>
      <c r="D370" t="s">
        <v>3632</v>
      </c>
      <c r="E370" t="s">
        <v>3257</v>
      </c>
      <c r="F370" t="s">
        <v>3258</v>
      </c>
      <c r="G370" t="s">
        <v>3259</v>
      </c>
      <c r="H370" t="s">
        <v>3259</v>
      </c>
      <c r="I370" t="s">
        <v>3260</v>
      </c>
      <c r="J370" s="5" t="str" cm="1">
        <f t="array" ref="J370">IF(SUM(COUNTIF(Text_Preprocessing__2245[[#This Row],[full_text]],{"*makan siang gratis*";"*MBG*";"*makan gratis*";"*makan bergizi gratis*";"*makangratis*";"*makanan gratis*"})),"Relevan","Tidak Relevan")</f>
        <v>Relevan</v>
      </c>
    </row>
    <row r="371" spans="1:11" x14ac:dyDescent="0.35">
      <c r="A371">
        <f t="shared" si="5"/>
        <v>370</v>
      </c>
      <c r="B371" t="s">
        <v>3261</v>
      </c>
      <c r="C371" t="s">
        <v>651</v>
      </c>
      <c r="D371" t="s">
        <v>3628</v>
      </c>
      <c r="E371" t="s">
        <v>3262</v>
      </c>
      <c r="F371" t="s">
        <v>3263</v>
      </c>
      <c r="G371" t="s">
        <v>3264</v>
      </c>
      <c r="H371" t="s">
        <v>3264</v>
      </c>
      <c r="I371" t="s">
        <v>3265</v>
      </c>
      <c r="J371" s="5" t="str" cm="1">
        <f t="array" ref="J371">IF(SUM(COUNTIF(Text_Preprocessing__2245[[#This Row],[full_text]],{"*makan siang gratis*";"*MBG*";"*makan gratis*";"*makan bergizi gratis*";"*makangratis*";"*makanan gratis*"})),"Relevan","Tidak Relevan")</f>
        <v>Relevan</v>
      </c>
    </row>
    <row r="372" spans="1:11" x14ac:dyDescent="0.35">
      <c r="A372">
        <f t="shared" si="5"/>
        <v>371</v>
      </c>
      <c r="B372" t="s">
        <v>3266</v>
      </c>
      <c r="C372" t="s">
        <v>653</v>
      </c>
      <c r="D372" t="s">
        <v>3628</v>
      </c>
      <c r="E372" t="s">
        <v>3267</v>
      </c>
      <c r="F372" t="s">
        <v>1785</v>
      </c>
      <c r="G372" t="s">
        <v>3268</v>
      </c>
      <c r="H372" t="s">
        <v>3268</v>
      </c>
      <c r="I372" t="s">
        <v>3269</v>
      </c>
      <c r="J372" s="5" t="str" cm="1">
        <f t="array" ref="J372">IF(SUM(COUNTIF(Text_Preprocessing__2245[[#This Row],[full_text]],{"*makan siang gratis*";"*MBG*";"*makan gratis*";"*makan bergizi gratis*";"*makangratis*";"*makanan gratis*"})),"Relevan","Tidak Relevan")</f>
        <v>Relevan</v>
      </c>
    </row>
    <row r="373" spans="1:11" x14ac:dyDescent="0.35">
      <c r="A373">
        <f t="shared" si="5"/>
        <v>372</v>
      </c>
      <c r="B373" t="s">
        <v>3270</v>
      </c>
      <c r="C373" t="s">
        <v>655</v>
      </c>
      <c r="D373" t="s">
        <v>3628</v>
      </c>
      <c r="E373" t="s">
        <v>3271</v>
      </c>
      <c r="F373" t="s">
        <v>1652</v>
      </c>
      <c r="G373" t="s">
        <v>3272</v>
      </c>
      <c r="H373" t="s">
        <v>3272</v>
      </c>
      <c r="I373" t="s">
        <v>3273</v>
      </c>
      <c r="J373" s="5" t="str" cm="1">
        <f t="array" ref="J373">IF(SUM(COUNTIF(Text_Preprocessing__2245[[#This Row],[full_text]],{"*makan siang gratis*";"*MBG*";"*makan gratis*";"*makan bergizi gratis*";"*makangratis*";"*makanan gratis*"})),"Relevan","Tidak Relevan")</f>
        <v>Relevan</v>
      </c>
    </row>
    <row r="374" spans="1:11" x14ac:dyDescent="0.35">
      <c r="A374">
        <f t="shared" si="5"/>
        <v>373</v>
      </c>
      <c r="B374" t="s">
        <v>3278</v>
      </c>
      <c r="C374" t="s">
        <v>274</v>
      </c>
      <c r="D374" t="s">
        <v>3628</v>
      </c>
      <c r="E374" t="s">
        <v>3279</v>
      </c>
      <c r="F374" t="s">
        <v>2154</v>
      </c>
      <c r="G374" t="s">
        <v>3280</v>
      </c>
      <c r="H374" t="s">
        <v>3280</v>
      </c>
      <c r="I374" t="s">
        <v>3281</v>
      </c>
      <c r="J374" s="5" t="str" cm="1">
        <f t="array" ref="J374">IF(SUM(COUNTIF(Text_Preprocessing__2245[[#This Row],[full_text]],{"*makan siang gratis*";"*MBG*";"*makan gratis*";"*makan bergizi gratis*";"*makangratis*";"*makanan gratis*"})),"Relevan","Tidak Relevan")</f>
        <v>Relevan</v>
      </c>
    </row>
    <row r="375" spans="1:11" x14ac:dyDescent="0.35">
      <c r="A375">
        <f t="shared" si="5"/>
        <v>374</v>
      </c>
      <c r="B375" t="s">
        <v>3282</v>
      </c>
      <c r="C375" t="s">
        <v>660</v>
      </c>
      <c r="D375" t="s">
        <v>3628</v>
      </c>
      <c r="E375" t="s">
        <v>3283</v>
      </c>
      <c r="F375" t="s">
        <v>2114</v>
      </c>
      <c r="G375" t="s">
        <v>3284</v>
      </c>
      <c r="H375" t="s">
        <v>3284</v>
      </c>
      <c r="I375" t="s">
        <v>3285</v>
      </c>
      <c r="J375" s="5" t="str" cm="1">
        <f t="array" ref="J375">IF(SUM(COUNTIF(Text_Preprocessing__2245[[#This Row],[full_text]],{"*makan siang gratis*";"*MBG*";"*makan gratis*";"*makan bergizi gratis*";"*makangratis*";"*makanan gratis*"})),"Relevan","Tidak Relevan")</f>
        <v>Relevan</v>
      </c>
    </row>
    <row r="376" spans="1:11" x14ac:dyDescent="0.35">
      <c r="A376">
        <f t="shared" si="5"/>
        <v>375</v>
      </c>
      <c r="B376" t="s">
        <v>3286</v>
      </c>
      <c r="C376" t="s">
        <v>662</v>
      </c>
      <c r="D376" t="s">
        <v>3628</v>
      </c>
      <c r="E376" t="s">
        <v>3287</v>
      </c>
      <c r="F376" t="s">
        <v>1906</v>
      </c>
      <c r="G376" t="s">
        <v>3288</v>
      </c>
      <c r="H376" t="s">
        <v>3288</v>
      </c>
      <c r="I376" t="s">
        <v>3289</v>
      </c>
      <c r="J376" s="5" t="str" cm="1">
        <f t="array" ref="J376">IF(SUM(COUNTIF(Text_Preprocessing__2245[[#This Row],[full_text]],{"*makan siang gratis*";"*MBG*";"*makan gratis*";"*makan bergizi gratis*";"*makangratis*";"*makanan gratis*"})),"Relevan","Tidak Relevan")</f>
        <v>Relevan</v>
      </c>
    </row>
    <row r="377" spans="1:11" x14ac:dyDescent="0.35">
      <c r="A377">
        <f t="shared" si="5"/>
        <v>376</v>
      </c>
      <c r="B377" t="s">
        <v>3290</v>
      </c>
      <c r="C377" t="s">
        <v>664</v>
      </c>
      <c r="D377" t="s">
        <v>3628</v>
      </c>
      <c r="E377" t="s">
        <v>3291</v>
      </c>
      <c r="F377" t="s">
        <v>2109</v>
      </c>
      <c r="G377" t="s">
        <v>3292</v>
      </c>
      <c r="H377" t="s">
        <v>3292</v>
      </c>
      <c r="I377" t="s">
        <v>3293</v>
      </c>
      <c r="J377" s="5" t="str" cm="1">
        <f t="array" ref="J377">IF(SUM(COUNTIF(Text_Preprocessing__2245[[#This Row],[full_text]],{"*makan siang gratis*";"*MBG*";"*makan gratis*";"*makan bergizi gratis*";"*makangratis*";"*makanan gratis*"})),"Relevan","Tidak Relevan")</f>
        <v>Relevan</v>
      </c>
    </row>
    <row r="378" spans="1:11" x14ac:dyDescent="0.35">
      <c r="A378">
        <f t="shared" si="5"/>
        <v>377</v>
      </c>
      <c r="B378" t="s">
        <v>3294</v>
      </c>
      <c r="C378" t="s">
        <v>666</v>
      </c>
      <c r="D378" t="s">
        <v>3628</v>
      </c>
      <c r="E378" t="s">
        <v>3295</v>
      </c>
      <c r="F378" t="s">
        <v>1785</v>
      </c>
      <c r="G378" t="s">
        <v>3296</v>
      </c>
      <c r="H378" t="s">
        <v>3296</v>
      </c>
      <c r="I378" t="s">
        <v>3297</v>
      </c>
      <c r="J378" s="5" t="str" cm="1">
        <f t="array" ref="J378">IF(SUM(COUNTIF(Text_Preprocessing__2245[[#This Row],[full_text]],{"*makan siang gratis*";"*MBG*";"*makan gratis*";"*makan bergizi gratis*";"*makangratis*";"*makanan gratis*"})),"Relevan","Tidak Relevan")</f>
        <v>Relevan</v>
      </c>
    </row>
    <row r="379" spans="1:11" x14ac:dyDescent="0.35">
      <c r="A379">
        <f t="shared" si="5"/>
        <v>378</v>
      </c>
      <c r="B379" t="s">
        <v>3298</v>
      </c>
      <c r="C379" t="s">
        <v>668</v>
      </c>
      <c r="D379" t="s">
        <v>3628</v>
      </c>
      <c r="E379" t="s">
        <v>3299</v>
      </c>
      <c r="F379" t="s">
        <v>1674</v>
      </c>
      <c r="G379" t="s">
        <v>3300</v>
      </c>
      <c r="H379" t="s">
        <v>3300</v>
      </c>
      <c r="I379" t="s">
        <v>3301</v>
      </c>
      <c r="J379" s="5" t="str" cm="1">
        <f t="array" ref="J379">IF(SUM(COUNTIF(Text_Preprocessing__2245[[#This Row],[full_text]],{"*makan siang gratis*";"*MBG*";"*makan gratis*";"*makan bergizi gratis*";"*makangratis*";"*makanan gratis*"})),"Relevan","Tidak Relevan")</f>
        <v>Relevan</v>
      </c>
    </row>
    <row r="380" spans="1:11" x14ac:dyDescent="0.35">
      <c r="A380">
        <f t="shared" si="5"/>
        <v>379</v>
      </c>
      <c r="B380" t="s">
        <v>3302</v>
      </c>
      <c r="C380" t="s">
        <v>671</v>
      </c>
      <c r="D380" t="s">
        <v>3628</v>
      </c>
      <c r="E380" t="s">
        <v>3303</v>
      </c>
      <c r="F380" t="s">
        <v>1809</v>
      </c>
      <c r="G380" t="s">
        <v>3303</v>
      </c>
      <c r="H380" t="s">
        <v>3303</v>
      </c>
      <c r="I380" t="s">
        <v>3304</v>
      </c>
      <c r="J380" s="5" t="str" cm="1">
        <f t="array" ref="J380">IF(SUM(COUNTIF(Text_Preprocessing__2245[[#This Row],[full_text]],{"*makan siang gratis*";"*MBG*";"*makan gratis*";"*makan bergizi gratis*";"*makangratis*";"*makanan gratis*"})),"Relevan","Tidak Relevan")</f>
        <v>Tidak Relevan</v>
      </c>
      <c r="K380" t="s">
        <v>3622</v>
      </c>
    </row>
    <row r="381" spans="1:11" x14ac:dyDescent="0.35">
      <c r="A381">
        <f t="shared" si="5"/>
        <v>380</v>
      </c>
      <c r="B381" t="s">
        <v>3305</v>
      </c>
      <c r="C381" t="s">
        <v>673</v>
      </c>
      <c r="D381" t="s">
        <v>3628</v>
      </c>
      <c r="E381" t="s">
        <v>3306</v>
      </c>
      <c r="F381" t="s">
        <v>2387</v>
      </c>
      <c r="G381" t="s">
        <v>3307</v>
      </c>
      <c r="H381" t="s">
        <v>3308</v>
      </c>
      <c r="I381" t="s">
        <v>3309</v>
      </c>
      <c r="J381" s="5" t="str" cm="1">
        <f t="array" ref="J381">IF(SUM(COUNTIF(Text_Preprocessing__2245[[#This Row],[full_text]],{"*makan siang gratis*";"*MBG*";"*makan gratis*";"*makan bergizi gratis*";"*makangratis*";"*makanan gratis*"})),"Relevan","Tidak Relevan")</f>
        <v>Relevan</v>
      </c>
    </row>
    <row r="382" spans="1:11" x14ac:dyDescent="0.35">
      <c r="A382">
        <f t="shared" si="5"/>
        <v>381</v>
      </c>
      <c r="B382" t="s">
        <v>3310</v>
      </c>
      <c r="C382" t="s">
        <v>675</v>
      </c>
      <c r="D382" t="s">
        <v>3628</v>
      </c>
      <c r="E382" t="s">
        <v>3311</v>
      </c>
      <c r="F382" t="s">
        <v>1785</v>
      </c>
      <c r="G382" t="s">
        <v>3312</v>
      </c>
      <c r="H382" t="s">
        <v>3312</v>
      </c>
      <c r="I382" t="s">
        <v>3313</v>
      </c>
      <c r="J382" s="5" t="str" cm="1">
        <f t="array" ref="J382">IF(SUM(COUNTIF(Text_Preprocessing__2245[[#This Row],[full_text]],{"*makan siang gratis*";"*MBG*";"*makan gratis*";"*makan bergizi gratis*";"*makangratis*";"*makanan gratis*"})),"Relevan","Tidak Relevan")</f>
        <v>Relevan</v>
      </c>
    </row>
    <row r="383" spans="1:11" x14ac:dyDescent="0.35">
      <c r="A383">
        <f t="shared" si="5"/>
        <v>382</v>
      </c>
      <c r="B383" t="s">
        <v>3314</v>
      </c>
      <c r="C383" t="s">
        <v>677</v>
      </c>
      <c r="D383" t="s">
        <v>3628</v>
      </c>
      <c r="E383" t="s">
        <v>3315</v>
      </c>
      <c r="F383" t="s">
        <v>1990</v>
      </c>
      <c r="G383" t="s">
        <v>3316</v>
      </c>
      <c r="H383" t="s">
        <v>3316</v>
      </c>
      <c r="I383" t="s">
        <v>3317</v>
      </c>
      <c r="J383" s="5" t="str" cm="1">
        <f t="array" ref="J383">IF(SUM(COUNTIF(Text_Preprocessing__2245[[#This Row],[full_text]],{"*makan siang gratis*";"*MBG*";"*makan gratis*";"*makan bergizi gratis*";"*makangratis*";"*makanan gratis*"})),"Relevan","Tidak Relevan")</f>
        <v>Relevan</v>
      </c>
    </row>
    <row r="384" spans="1:11" x14ac:dyDescent="0.35">
      <c r="A384">
        <f t="shared" si="5"/>
        <v>383</v>
      </c>
      <c r="B384" t="s">
        <v>3318</v>
      </c>
      <c r="C384" t="s">
        <v>679</v>
      </c>
      <c r="D384" t="s">
        <v>3628</v>
      </c>
      <c r="E384" t="s">
        <v>3319</v>
      </c>
      <c r="F384" t="s">
        <v>1758</v>
      </c>
      <c r="G384" t="s">
        <v>3320</v>
      </c>
      <c r="H384" t="s">
        <v>3321</v>
      </c>
      <c r="I384" t="s">
        <v>3322</v>
      </c>
      <c r="J384" s="5" t="str" cm="1">
        <f t="array" ref="J384">IF(SUM(COUNTIF(Text_Preprocessing__2245[[#This Row],[full_text]],{"*makan siang gratis*";"*MBG*";"*makan gratis*";"*makan bergizi gratis*";"*makangratis*";"*makanan gratis*"})),"Relevan","Tidak Relevan")</f>
        <v>Relevan</v>
      </c>
    </row>
    <row r="385" spans="1:11" x14ac:dyDescent="0.35">
      <c r="A385">
        <f t="shared" si="5"/>
        <v>384</v>
      </c>
      <c r="B385" t="s">
        <v>3323</v>
      </c>
      <c r="C385" t="s">
        <v>681</v>
      </c>
      <c r="D385" t="s">
        <v>3628</v>
      </c>
      <c r="E385" t="s">
        <v>3324</v>
      </c>
      <c r="F385" t="s">
        <v>1844</v>
      </c>
      <c r="G385" t="s">
        <v>3325</v>
      </c>
      <c r="H385" t="s">
        <v>3325</v>
      </c>
      <c r="I385" t="s">
        <v>3326</v>
      </c>
      <c r="J385" s="5" t="str" cm="1">
        <f t="array" ref="J385">IF(SUM(COUNTIF(Text_Preprocessing__2245[[#This Row],[full_text]],{"*makan siang gratis*";"*MBG*";"*makan gratis*";"*makan bergizi gratis*";"*makangratis*";"*makanan gratis*"})),"Relevan","Tidak Relevan")</f>
        <v>Tidak Relevan</v>
      </c>
      <c r="K385" t="s">
        <v>3622</v>
      </c>
    </row>
    <row r="386" spans="1:11" x14ac:dyDescent="0.35">
      <c r="A386">
        <f t="shared" si="5"/>
        <v>385</v>
      </c>
      <c r="B386" t="s">
        <v>3327</v>
      </c>
      <c r="C386" t="s">
        <v>683</v>
      </c>
      <c r="D386" t="s">
        <v>3628</v>
      </c>
      <c r="E386" t="s">
        <v>3328</v>
      </c>
      <c r="F386" t="s">
        <v>3329</v>
      </c>
      <c r="G386" t="s">
        <v>3330</v>
      </c>
      <c r="H386" t="s">
        <v>3330</v>
      </c>
      <c r="I386" t="s">
        <v>3331</v>
      </c>
      <c r="J386" s="5" t="str" cm="1">
        <f t="array" ref="J386">IF(SUM(COUNTIF(Text_Preprocessing__2245[[#This Row],[full_text]],{"*makan siang gratis*";"*MBG*";"*makan gratis*";"*makan bergizi gratis*";"*makangratis*";"*makanan gratis*"})),"Relevan","Tidak Relevan")</f>
        <v>Relevan</v>
      </c>
    </row>
    <row r="387" spans="1:11" x14ac:dyDescent="0.35">
      <c r="A387">
        <f t="shared" si="5"/>
        <v>386</v>
      </c>
      <c r="B387" t="s">
        <v>3332</v>
      </c>
      <c r="C387" t="s">
        <v>685</v>
      </c>
      <c r="D387" t="s">
        <v>3628</v>
      </c>
      <c r="E387" t="s">
        <v>3333</v>
      </c>
      <c r="F387" t="s">
        <v>1607</v>
      </c>
      <c r="G387" t="s">
        <v>3334</v>
      </c>
      <c r="H387" t="s">
        <v>3335</v>
      </c>
      <c r="I387" t="s">
        <v>3336</v>
      </c>
      <c r="J387" s="5" t="str" cm="1">
        <f t="array" ref="J387">IF(SUM(COUNTIF(Text_Preprocessing__2245[[#This Row],[full_text]],{"*makan siang gratis*";"*MBG*";"*makan gratis*";"*makan bergizi gratis*";"*makangratis*";"*makanan gratis*"})),"Relevan","Tidak Relevan")</f>
        <v>Relevan</v>
      </c>
    </row>
    <row r="388" spans="1:11" x14ac:dyDescent="0.35">
      <c r="A388">
        <f t="shared" ref="A388:A451" si="6">SUM(A387+1)</f>
        <v>387</v>
      </c>
      <c r="B388" t="s">
        <v>3337</v>
      </c>
      <c r="C388" t="s">
        <v>687</v>
      </c>
      <c r="D388" t="s">
        <v>3634</v>
      </c>
      <c r="E388" t="s">
        <v>3338</v>
      </c>
      <c r="F388" t="s">
        <v>2229</v>
      </c>
      <c r="G388" t="s">
        <v>3339</v>
      </c>
      <c r="H388" t="s">
        <v>3339</v>
      </c>
      <c r="I388" t="s">
        <v>3340</v>
      </c>
      <c r="J388" s="5" t="str" cm="1">
        <f t="array" ref="J388">IF(SUM(COUNTIF(Text_Preprocessing__2245[[#This Row],[full_text]],{"*makan siang gratis*";"*MBG*";"*makan gratis*";"*makan bergizi gratis*";"*makangratis*";"*makanan gratis*"})),"Relevan","Tidak Relevan")</f>
        <v>Relevan</v>
      </c>
    </row>
    <row r="389" spans="1:11" x14ac:dyDescent="0.35">
      <c r="A389">
        <f t="shared" si="6"/>
        <v>388</v>
      </c>
      <c r="B389" t="s">
        <v>3341</v>
      </c>
      <c r="C389" t="s">
        <v>689</v>
      </c>
      <c r="D389" t="s">
        <v>3628</v>
      </c>
      <c r="E389" t="s">
        <v>3342</v>
      </c>
      <c r="F389" t="s">
        <v>2748</v>
      </c>
      <c r="G389" t="s">
        <v>3343</v>
      </c>
      <c r="H389" t="s">
        <v>3343</v>
      </c>
      <c r="I389" t="s">
        <v>3344</v>
      </c>
      <c r="J389" s="5" t="str" cm="1">
        <f t="array" ref="J389">IF(SUM(COUNTIF(Text_Preprocessing__2245[[#This Row],[full_text]],{"*makan siang gratis*";"*MBG*";"*makan gratis*";"*makan bergizi gratis*";"*makangratis*";"*makanan gratis*"})),"Relevan","Tidak Relevan")</f>
        <v>Relevan</v>
      </c>
    </row>
    <row r="390" spans="1:11" x14ac:dyDescent="0.35">
      <c r="A390">
        <f t="shared" si="6"/>
        <v>389</v>
      </c>
      <c r="B390" t="s">
        <v>3345</v>
      </c>
      <c r="C390" t="s">
        <v>691</v>
      </c>
      <c r="D390" t="s">
        <v>3628</v>
      </c>
      <c r="E390" t="s">
        <v>3346</v>
      </c>
      <c r="F390" t="s">
        <v>1730</v>
      </c>
      <c r="G390" t="s">
        <v>3347</v>
      </c>
      <c r="H390" t="s">
        <v>3348</v>
      </c>
      <c r="I390" t="s">
        <v>3349</v>
      </c>
      <c r="J390" s="5" t="str" cm="1">
        <f t="array" ref="J390">IF(SUM(COUNTIF(Text_Preprocessing__2245[[#This Row],[full_text]],{"*makan siang gratis*";"*MBG*";"*makan gratis*";"*makan bergizi gratis*";"*makangratis*";"*makanan gratis*"})),"Relevan","Tidak Relevan")</f>
        <v>Relevan</v>
      </c>
    </row>
    <row r="391" spans="1:11" x14ac:dyDescent="0.35">
      <c r="A391">
        <f t="shared" si="6"/>
        <v>390</v>
      </c>
      <c r="B391" t="s">
        <v>3350</v>
      </c>
      <c r="C391" t="s">
        <v>693</v>
      </c>
      <c r="D391" t="s">
        <v>3628</v>
      </c>
      <c r="E391" t="s">
        <v>3351</v>
      </c>
      <c r="F391" t="s">
        <v>2558</v>
      </c>
      <c r="G391" t="s">
        <v>3352</v>
      </c>
      <c r="H391" t="s">
        <v>3353</v>
      </c>
      <c r="I391" t="s">
        <v>3354</v>
      </c>
      <c r="J391" s="5" t="str" cm="1">
        <f t="array" ref="J391">IF(SUM(COUNTIF(Text_Preprocessing__2245[[#This Row],[full_text]],{"*makan siang gratis*";"*MBG*";"*makan gratis*";"*makan bergizi gratis*";"*makangratis*";"*makanan gratis*"})),"Relevan","Tidak Relevan")</f>
        <v>Relevan</v>
      </c>
    </row>
    <row r="392" spans="1:11" x14ac:dyDescent="0.35">
      <c r="A392">
        <f t="shared" si="6"/>
        <v>391</v>
      </c>
      <c r="B392" t="s">
        <v>3359</v>
      </c>
      <c r="C392" t="s">
        <v>697</v>
      </c>
      <c r="D392" t="s">
        <v>3628</v>
      </c>
      <c r="E392" t="s">
        <v>3360</v>
      </c>
      <c r="F392" t="s">
        <v>2862</v>
      </c>
      <c r="G392" t="s">
        <v>3361</v>
      </c>
      <c r="H392" t="s">
        <v>3361</v>
      </c>
      <c r="I392" t="s">
        <v>3362</v>
      </c>
      <c r="J392" s="5" t="str" cm="1">
        <f t="array" ref="J392">IF(SUM(COUNTIF(Text_Preprocessing__2245[[#This Row],[full_text]],{"*makan siang gratis*";"*MBG*";"*makan gratis*";"*makan bergizi gratis*";"*makangratis*";"*makanan gratis*"})),"Relevan","Tidak Relevan")</f>
        <v>Relevan</v>
      </c>
    </row>
    <row r="393" spans="1:11" x14ac:dyDescent="0.35">
      <c r="A393">
        <f t="shared" si="6"/>
        <v>392</v>
      </c>
      <c r="B393" t="s">
        <v>3355</v>
      </c>
      <c r="C393" t="s">
        <v>699</v>
      </c>
      <c r="D393" t="s">
        <v>3628</v>
      </c>
      <c r="E393" t="s">
        <v>3356</v>
      </c>
      <c r="F393" t="s">
        <v>3357</v>
      </c>
      <c r="G393" t="s">
        <v>3356</v>
      </c>
      <c r="H393" t="s">
        <v>3356</v>
      </c>
      <c r="I393" t="s">
        <v>3358</v>
      </c>
      <c r="J393" s="5" t="str" cm="1">
        <f t="array" ref="J393">IF(SUM(COUNTIF(Text_Preprocessing__2245[[#This Row],[full_text]],{"*makan siang gratis*";"*MBG*";"*makan gratis*";"*makan bergizi gratis*";"*makangratis*";"*makanan gratis*"})),"Relevan","Tidak Relevan")</f>
        <v>Relevan</v>
      </c>
    </row>
    <row r="394" spans="1:11" x14ac:dyDescent="0.35">
      <c r="A394">
        <f t="shared" si="6"/>
        <v>393</v>
      </c>
      <c r="B394" t="s">
        <v>3363</v>
      </c>
      <c r="C394" t="s">
        <v>701</v>
      </c>
      <c r="D394" t="s">
        <v>3628</v>
      </c>
      <c r="E394" t="s">
        <v>3364</v>
      </c>
      <c r="F394" t="s">
        <v>3365</v>
      </c>
      <c r="G394" t="s">
        <v>3364</v>
      </c>
      <c r="H394" t="s">
        <v>3366</v>
      </c>
      <c r="I394" t="s">
        <v>3367</v>
      </c>
      <c r="J394" s="5" t="str" cm="1">
        <f t="array" ref="J394">IF(SUM(COUNTIF(Text_Preprocessing__2245[[#This Row],[full_text]],{"*makan siang gratis*";"*MBG*";"*makan gratis*";"*makan bergizi gratis*";"*makangratis*";"*makanan gratis*"})),"Relevan","Tidak Relevan")</f>
        <v>Relevan</v>
      </c>
    </row>
    <row r="395" spans="1:11" x14ac:dyDescent="0.35">
      <c r="A395">
        <f t="shared" si="6"/>
        <v>394</v>
      </c>
      <c r="B395" t="s">
        <v>3368</v>
      </c>
      <c r="C395" t="s">
        <v>703</v>
      </c>
      <c r="D395" t="s">
        <v>3628</v>
      </c>
      <c r="E395" t="s">
        <v>3369</v>
      </c>
      <c r="F395" t="s">
        <v>2299</v>
      </c>
      <c r="G395" t="s">
        <v>3370</v>
      </c>
      <c r="H395" t="s">
        <v>3371</v>
      </c>
      <c r="I395" t="s">
        <v>3372</v>
      </c>
      <c r="J395" s="5" t="str" cm="1">
        <f t="array" ref="J395">IF(SUM(COUNTIF(Text_Preprocessing__2245[[#This Row],[full_text]],{"*makan siang gratis*";"*MBG*";"*makan gratis*";"*makan bergizi gratis*";"*makangratis*";"*makanan gratis*"})),"Relevan","Tidak Relevan")</f>
        <v>Relevan</v>
      </c>
    </row>
    <row r="396" spans="1:11" x14ac:dyDescent="0.35">
      <c r="A396">
        <f t="shared" si="6"/>
        <v>395</v>
      </c>
      <c r="B396" t="s">
        <v>3373</v>
      </c>
      <c r="C396" t="s">
        <v>705</v>
      </c>
      <c r="D396" t="s">
        <v>3628</v>
      </c>
      <c r="E396" t="s">
        <v>3374</v>
      </c>
      <c r="F396" t="s">
        <v>3131</v>
      </c>
      <c r="G396" t="s">
        <v>3374</v>
      </c>
      <c r="H396" t="s">
        <v>3374</v>
      </c>
      <c r="I396" t="s">
        <v>3375</v>
      </c>
      <c r="J396" s="5" t="str" cm="1">
        <f t="array" ref="J396">IF(SUM(COUNTIF(Text_Preprocessing__2245[[#This Row],[full_text]],{"*makan siang gratis*";"*MBG*";"*makan gratis*";"*makan bergizi gratis*";"*makangratis*";"*makanan gratis*"})),"Relevan","Tidak Relevan")</f>
        <v>Relevan</v>
      </c>
    </row>
    <row r="397" spans="1:11" x14ac:dyDescent="0.35">
      <c r="A397">
        <f t="shared" si="6"/>
        <v>396</v>
      </c>
      <c r="B397" t="s">
        <v>3376</v>
      </c>
      <c r="C397" t="s">
        <v>703</v>
      </c>
      <c r="D397" t="s">
        <v>3628</v>
      </c>
      <c r="E397" t="s">
        <v>3377</v>
      </c>
      <c r="F397" t="s">
        <v>2041</v>
      </c>
      <c r="G397" t="s">
        <v>3378</v>
      </c>
      <c r="H397" t="s">
        <v>3378</v>
      </c>
      <c r="I397" t="s">
        <v>3379</v>
      </c>
      <c r="J397" s="5" t="str" cm="1">
        <f t="array" ref="J397">IF(SUM(COUNTIF(Text_Preprocessing__2245[[#This Row],[full_text]],{"*makan siang gratis*";"*MBG*";"*makan gratis*";"*makan bergizi gratis*";"*makangratis*";"*makanan gratis*"})),"Relevan","Tidak Relevan")</f>
        <v>Relevan</v>
      </c>
    </row>
    <row r="398" spans="1:11" x14ac:dyDescent="0.35">
      <c r="A398">
        <f t="shared" si="6"/>
        <v>397</v>
      </c>
      <c r="B398" t="s">
        <v>3380</v>
      </c>
      <c r="C398" t="s">
        <v>157</v>
      </c>
      <c r="D398" t="s">
        <v>3629</v>
      </c>
      <c r="E398" t="s">
        <v>3381</v>
      </c>
      <c r="F398" t="s">
        <v>2149</v>
      </c>
      <c r="G398" t="s">
        <v>3382</v>
      </c>
      <c r="H398" t="s">
        <v>3382</v>
      </c>
      <c r="I398" t="s">
        <v>3383</v>
      </c>
      <c r="J398" s="5" t="str" cm="1">
        <f t="array" ref="J398">IF(SUM(COUNTIF(Text_Preprocessing__2245[[#This Row],[full_text]],{"*makan siang gratis*";"*MBG*";"*makan gratis*";"*makan bergizi gratis*";"*makangratis*";"*makanan gratis*"})),"Relevan","Tidak Relevan")</f>
        <v>Relevan</v>
      </c>
    </row>
    <row r="399" spans="1:11" x14ac:dyDescent="0.35">
      <c r="A399">
        <f t="shared" si="6"/>
        <v>398</v>
      </c>
      <c r="B399" t="s">
        <v>3384</v>
      </c>
      <c r="C399" t="s">
        <v>711</v>
      </c>
      <c r="D399" t="s">
        <v>3628</v>
      </c>
      <c r="E399" t="s">
        <v>3385</v>
      </c>
      <c r="F399" t="s">
        <v>1735</v>
      </c>
      <c r="G399" t="s">
        <v>3386</v>
      </c>
      <c r="H399" t="s">
        <v>3386</v>
      </c>
      <c r="I399" t="s">
        <v>3387</v>
      </c>
      <c r="J399" s="5" t="str" cm="1">
        <f t="array" ref="J399">IF(SUM(COUNTIF(Text_Preprocessing__2245[[#This Row],[full_text]],{"*makan siang gratis*";"*MBG*";"*makan gratis*";"*makan bergizi gratis*";"*makangratis*";"*makanan gratis*"})),"Relevan","Tidak Relevan")</f>
        <v>Relevan</v>
      </c>
    </row>
    <row r="400" spans="1:11" x14ac:dyDescent="0.35">
      <c r="A400">
        <f t="shared" si="6"/>
        <v>399</v>
      </c>
      <c r="B400" t="s">
        <v>3388</v>
      </c>
      <c r="C400" t="s">
        <v>713</v>
      </c>
      <c r="D400" t="s">
        <v>3628</v>
      </c>
      <c r="E400" t="s">
        <v>3389</v>
      </c>
      <c r="F400" t="s">
        <v>1730</v>
      </c>
      <c r="G400" t="s">
        <v>3390</v>
      </c>
      <c r="H400" t="s">
        <v>3390</v>
      </c>
      <c r="I400" t="s">
        <v>3391</v>
      </c>
      <c r="J400" s="5" t="str" cm="1">
        <f t="array" ref="J400">IF(SUM(COUNTIF(Text_Preprocessing__2245[[#This Row],[full_text]],{"*makan siang gratis*";"*MBG*";"*makan gratis*";"*makan bergizi gratis*";"*makangratis*";"*makanan gratis*"})),"Relevan","Tidak Relevan")</f>
        <v>Relevan</v>
      </c>
    </row>
    <row r="401" spans="1:11" x14ac:dyDescent="0.35">
      <c r="A401">
        <f t="shared" si="6"/>
        <v>400</v>
      </c>
      <c r="B401" t="s">
        <v>3392</v>
      </c>
      <c r="C401" t="s">
        <v>715</v>
      </c>
      <c r="D401" t="s">
        <v>3628</v>
      </c>
      <c r="E401" t="s">
        <v>3393</v>
      </c>
      <c r="F401" t="s">
        <v>2210</v>
      </c>
      <c r="G401" t="s">
        <v>3394</v>
      </c>
      <c r="H401" t="s">
        <v>3395</v>
      </c>
      <c r="I401" t="s">
        <v>3396</v>
      </c>
      <c r="J401" s="5" t="str" cm="1">
        <f t="array" ref="J401">IF(SUM(COUNTIF(Text_Preprocessing__2245[[#This Row],[full_text]],{"*makan siang gratis*";"*MBG*";"*makan gratis*";"*makan bergizi gratis*";"*makangratis*";"*makanan gratis*"})),"Relevan","Tidak Relevan")</f>
        <v>Tidak Relevan</v>
      </c>
      <c r="K401" t="s">
        <v>3622</v>
      </c>
    </row>
    <row r="402" spans="1:11" x14ac:dyDescent="0.35">
      <c r="A402">
        <f t="shared" si="6"/>
        <v>401</v>
      </c>
      <c r="B402" t="s">
        <v>3397</v>
      </c>
      <c r="C402" t="s">
        <v>76</v>
      </c>
      <c r="D402" t="s">
        <v>3634</v>
      </c>
      <c r="E402" t="s">
        <v>3398</v>
      </c>
      <c r="F402" t="s">
        <v>1853</v>
      </c>
      <c r="G402" t="s">
        <v>3399</v>
      </c>
      <c r="H402" t="s">
        <v>3399</v>
      </c>
      <c r="I402" t="s">
        <v>3400</v>
      </c>
      <c r="J402" s="5" t="str" cm="1">
        <f t="array" ref="J402">IF(SUM(COUNTIF(Text_Preprocessing__2245[[#This Row],[full_text]],{"*makan siang gratis*";"*MBG*";"*makan gratis*";"*makan bergizi gratis*";"*makangratis*";"*makanan gratis*"})),"Relevan","Tidak Relevan")</f>
        <v>Relevan</v>
      </c>
    </row>
    <row r="403" spans="1:11" x14ac:dyDescent="0.35">
      <c r="A403">
        <f t="shared" si="6"/>
        <v>402</v>
      </c>
      <c r="B403" t="s">
        <v>3401</v>
      </c>
      <c r="C403" t="s">
        <v>718</v>
      </c>
      <c r="D403" t="s">
        <v>3628</v>
      </c>
      <c r="E403" t="s">
        <v>3402</v>
      </c>
      <c r="F403" t="s">
        <v>2748</v>
      </c>
      <c r="G403" t="s">
        <v>3403</v>
      </c>
      <c r="H403" t="s">
        <v>3403</v>
      </c>
      <c r="I403" t="s">
        <v>3404</v>
      </c>
      <c r="J403" s="5" t="str" cm="1">
        <f t="array" ref="J403">IF(SUM(COUNTIF(Text_Preprocessing__2245[[#This Row],[full_text]],{"*makan siang gratis*";"*MBG*";"*makan gratis*";"*makan bergizi gratis*";"*makangratis*";"*makanan gratis*"})),"Relevan","Tidak Relevan")</f>
        <v>Relevan</v>
      </c>
    </row>
    <row r="404" spans="1:11" x14ac:dyDescent="0.35">
      <c r="A404">
        <f t="shared" si="6"/>
        <v>403</v>
      </c>
      <c r="B404" t="s">
        <v>3405</v>
      </c>
      <c r="C404" t="s">
        <v>105</v>
      </c>
      <c r="D404" t="s">
        <v>3634</v>
      </c>
      <c r="E404" t="s">
        <v>3406</v>
      </c>
      <c r="F404" t="s">
        <v>2599</v>
      </c>
      <c r="G404" t="s">
        <v>3407</v>
      </c>
      <c r="H404" t="s">
        <v>3407</v>
      </c>
      <c r="I404" t="s">
        <v>3408</v>
      </c>
      <c r="J404" s="5" t="str" cm="1">
        <f t="array" ref="J404">IF(SUM(COUNTIF(Text_Preprocessing__2245[[#This Row],[full_text]],{"*makan siang gratis*";"*MBG*";"*makan gratis*";"*makan bergizi gratis*";"*makangratis*";"*makanan gratis*"})),"Relevan","Tidak Relevan")</f>
        <v>Relevan</v>
      </c>
    </row>
    <row r="405" spans="1:11" x14ac:dyDescent="0.35">
      <c r="A405">
        <f t="shared" si="6"/>
        <v>404</v>
      </c>
      <c r="B405" t="s">
        <v>3409</v>
      </c>
      <c r="C405" t="s">
        <v>721</v>
      </c>
      <c r="D405" t="s">
        <v>3628</v>
      </c>
      <c r="E405" t="s">
        <v>3410</v>
      </c>
      <c r="F405" t="s">
        <v>2143</v>
      </c>
      <c r="G405" t="s">
        <v>3411</v>
      </c>
      <c r="H405" t="s">
        <v>3411</v>
      </c>
      <c r="I405" t="s">
        <v>3412</v>
      </c>
      <c r="J405" s="5" t="str" cm="1">
        <f t="array" ref="J405">IF(SUM(COUNTIF(Text_Preprocessing__2245[[#This Row],[full_text]],{"*makan siang gratis*";"*MBG*";"*makan gratis*";"*makan bergizi gratis*";"*makangratis*";"*makanan gratis*"})),"Relevan","Tidak Relevan")</f>
        <v>Relevan</v>
      </c>
    </row>
    <row r="406" spans="1:11" x14ac:dyDescent="0.35">
      <c r="A406">
        <f t="shared" si="6"/>
        <v>405</v>
      </c>
      <c r="B406" t="s">
        <v>3413</v>
      </c>
      <c r="C406" t="s">
        <v>653</v>
      </c>
      <c r="D406" t="s">
        <v>3628</v>
      </c>
      <c r="E406" t="s">
        <v>3414</v>
      </c>
      <c r="F406" t="s">
        <v>2640</v>
      </c>
      <c r="G406" t="s">
        <v>3415</v>
      </c>
      <c r="H406" t="s">
        <v>3415</v>
      </c>
      <c r="I406" t="s">
        <v>3416</v>
      </c>
      <c r="J406" s="5" t="str" cm="1">
        <f t="array" ref="J406">IF(SUM(COUNTIF(Text_Preprocessing__2245[[#This Row],[full_text]],{"*makan siang gratis*";"*MBG*";"*makan gratis*";"*makan bergizi gratis*";"*makangratis*";"*makanan gratis*"})),"Relevan","Tidak Relevan")</f>
        <v>Relevan</v>
      </c>
    </row>
    <row r="407" spans="1:11" x14ac:dyDescent="0.35">
      <c r="A407">
        <f t="shared" si="6"/>
        <v>406</v>
      </c>
      <c r="B407" t="s">
        <v>3417</v>
      </c>
      <c r="C407" t="s">
        <v>510</v>
      </c>
      <c r="D407" t="s">
        <v>3628</v>
      </c>
      <c r="E407" t="s">
        <v>3418</v>
      </c>
      <c r="F407" t="s">
        <v>2640</v>
      </c>
      <c r="G407" t="s">
        <v>3419</v>
      </c>
      <c r="H407" t="s">
        <v>3419</v>
      </c>
      <c r="I407" t="s">
        <v>3420</v>
      </c>
      <c r="J407" s="5" t="str" cm="1">
        <f t="array" ref="J407">IF(SUM(COUNTIF(Text_Preprocessing__2245[[#This Row],[full_text]],{"*makan siang gratis*";"*MBG*";"*makan gratis*";"*makan bergizi gratis*";"*makangratis*";"*makanan gratis*"})),"Relevan","Tidak Relevan")</f>
        <v>Relevan</v>
      </c>
    </row>
    <row r="408" spans="1:11" x14ac:dyDescent="0.35">
      <c r="A408">
        <f t="shared" si="6"/>
        <v>407</v>
      </c>
      <c r="B408" t="s">
        <v>3421</v>
      </c>
      <c r="C408" t="s">
        <v>172</v>
      </c>
      <c r="D408" t="s">
        <v>3634</v>
      </c>
      <c r="E408" t="s">
        <v>3422</v>
      </c>
      <c r="F408" t="s">
        <v>2109</v>
      </c>
      <c r="G408" t="s">
        <v>3423</v>
      </c>
      <c r="H408" t="s">
        <v>3423</v>
      </c>
      <c r="I408" t="s">
        <v>3424</v>
      </c>
      <c r="J408" s="5" t="str" cm="1">
        <f t="array" ref="J408">IF(SUM(COUNTIF(Text_Preprocessing__2245[[#This Row],[full_text]],{"*makan siang gratis*";"*MBG*";"*makan gratis*";"*makan bergizi gratis*";"*makangratis*";"*makanan gratis*"})),"Relevan","Tidak Relevan")</f>
        <v>Relevan</v>
      </c>
    </row>
    <row r="409" spans="1:11" x14ac:dyDescent="0.35">
      <c r="A409">
        <f t="shared" si="6"/>
        <v>408</v>
      </c>
      <c r="B409" t="s">
        <v>3425</v>
      </c>
      <c r="C409" t="s">
        <v>726</v>
      </c>
      <c r="D409" t="s">
        <v>3628</v>
      </c>
      <c r="E409" t="s">
        <v>3426</v>
      </c>
      <c r="F409" t="s">
        <v>1844</v>
      </c>
      <c r="G409" t="s">
        <v>3427</v>
      </c>
      <c r="H409" t="s">
        <v>3428</v>
      </c>
      <c r="I409" t="s">
        <v>3429</v>
      </c>
      <c r="J409" s="5" t="str" cm="1">
        <f t="array" ref="J409">IF(SUM(COUNTIF(Text_Preprocessing__2245[[#This Row],[full_text]],{"*makan siang gratis*";"*MBG*";"*makan gratis*";"*makan bergizi gratis*";"*makangratis*";"*makanan gratis*"})),"Relevan","Tidak Relevan")</f>
        <v>Relevan</v>
      </c>
    </row>
    <row r="410" spans="1:11" x14ac:dyDescent="0.35">
      <c r="A410">
        <f t="shared" si="6"/>
        <v>409</v>
      </c>
      <c r="B410" t="s">
        <v>3430</v>
      </c>
      <c r="C410" t="s">
        <v>565</v>
      </c>
      <c r="D410" t="s">
        <v>3628</v>
      </c>
      <c r="E410" t="s">
        <v>3431</v>
      </c>
      <c r="F410" t="s">
        <v>2082</v>
      </c>
      <c r="G410" t="s">
        <v>3432</v>
      </c>
      <c r="H410" t="s">
        <v>3432</v>
      </c>
      <c r="I410" t="s">
        <v>3433</v>
      </c>
      <c r="J410" s="5" t="str" cm="1">
        <f t="array" ref="J410">IF(SUM(COUNTIF(Text_Preprocessing__2245[[#This Row],[full_text]],{"*makan siang gratis*";"*MBG*";"*makan gratis*";"*makan bergizi gratis*";"*makangratis*";"*makanan gratis*"})),"Relevan","Tidak Relevan")</f>
        <v>Relevan</v>
      </c>
    </row>
    <row r="411" spans="1:11" x14ac:dyDescent="0.35">
      <c r="A411">
        <f t="shared" si="6"/>
        <v>410</v>
      </c>
      <c r="B411" t="s">
        <v>3434</v>
      </c>
      <c r="C411" t="s">
        <v>442</v>
      </c>
      <c r="D411" t="s">
        <v>3634</v>
      </c>
      <c r="E411" t="s">
        <v>3435</v>
      </c>
      <c r="F411" t="s">
        <v>1629</v>
      </c>
      <c r="G411" t="s">
        <v>3436</v>
      </c>
      <c r="H411" t="s">
        <v>3436</v>
      </c>
      <c r="I411" t="s">
        <v>3437</v>
      </c>
      <c r="J411" s="5" t="str" cm="1">
        <f t="array" ref="J411">IF(SUM(COUNTIF(Text_Preprocessing__2245[[#This Row],[full_text]],{"*makan siang gratis*";"*MBG*";"*makan gratis*";"*makan bergizi gratis*";"*makangratis*";"*makanan gratis*"})),"Relevan","Tidak Relevan")</f>
        <v>Relevan</v>
      </c>
    </row>
    <row r="412" spans="1:11" x14ac:dyDescent="0.35">
      <c r="A412">
        <f t="shared" si="6"/>
        <v>411</v>
      </c>
      <c r="B412" t="s">
        <v>3438</v>
      </c>
      <c r="C412" t="s">
        <v>730</v>
      </c>
      <c r="D412" t="s">
        <v>3628</v>
      </c>
      <c r="E412" t="s">
        <v>3439</v>
      </c>
      <c r="F412" t="s">
        <v>2253</v>
      </c>
      <c r="G412" t="s">
        <v>3440</v>
      </c>
      <c r="H412" t="s">
        <v>3441</v>
      </c>
      <c r="I412" t="s">
        <v>3442</v>
      </c>
      <c r="J412" s="5" t="str" cm="1">
        <f t="array" ref="J412">IF(SUM(COUNTIF(Text_Preprocessing__2245[[#This Row],[full_text]],{"*makan siang gratis*";"*MBG*";"*makan gratis*";"*makan bergizi gratis*";"*makangratis*";"*makanan gratis*"})),"Relevan","Tidak Relevan")</f>
        <v>Relevan</v>
      </c>
    </row>
    <row r="413" spans="1:11" x14ac:dyDescent="0.35">
      <c r="A413">
        <f t="shared" si="6"/>
        <v>412</v>
      </c>
      <c r="B413" t="s">
        <v>3443</v>
      </c>
      <c r="C413" t="s">
        <v>732</v>
      </c>
      <c r="D413" t="s">
        <v>3628</v>
      </c>
      <c r="E413" t="s">
        <v>3444</v>
      </c>
      <c r="F413" t="s">
        <v>3445</v>
      </c>
      <c r="G413" t="s">
        <v>3446</v>
      </c>
      <c r="H413" t="s">
        <v>3446</v>
      </c>
      <c r="I413" t="s">
        <v>3447</v>
      </c>
      <c r="J413" s="5" t="str" cm="1">
        <f t="array" ref="J413">IF(SUM(COUNTIF(Text_Preprocessing__2245[[#This Row],[full_text]],{"*makan siang gratis*";"*MBG*";"*makan gratis*";"*makan bergizi gratis*";"*makangratis*";"*makanan gratis*"})),"Relevan","Tidak Relevan")</f>
        <v>Relevan</v>
      </c>
    </row>
    <row r="414" spans="1:11" x14ac:dyDescent="0.35">
      <c r="A414">
        <f t="shared" si="6"/>
        <v>413</v>
      </c>
      <c r="B414" t="s">
        <v>3448</v>
      </c>
      <c r="C414" t="s">
        <v>734</v>
      </c>
      <c r="D414" t="s">
        <v>3628</v>
      </c>
      <c r="E414" t="s">
        <v>3449</v>
      </c>
      <c r="F414" t="s">
        <v>1799</v>
      </c>
      <c r="G414" t="s">
        <v>3450</v>
      </c>
      <c r="H414" t="s">
        <v>3450</v>
      </c>
      <c r="I414" t="s">
        <v>3451</v>
      </c>
      <c r="J414" s="5" t="str" cm="1">
        <f t="array" ref="J414">IF(SUM(COUNTIF(Text_Preprocessing__2245[[#This Row],[full_text]],{"*makan siang gratis*";"*MBG*";"*makan gratis*";"*makan bergizi gratis*";"*makangratis*";"*makanan gratis*"})),"Relevan","Tidak Relevan")</f>
        <v>Relevan</v>
      </c>
    </row>
    <row r="415" spans="1:11" x14ac:dyDescent="0.35">
      <c r="A415">
        <f t="shared" si="6"/>
        <v>414</v>
      </c>
      <c r="B415" t="s">
        <v>3452</v>
      </c>
      <c r="C415" t="s">
        <v>703</v>
      </c>
      <c r="D415" t="s">
        <v>3628</v>
      </c>
      <c r="E415" t="s">
        <v>3453</v>
      </c>
      <c r="F415" t="s">
        <v>3454</v>
      </c>
      <c r="G415" t="s">
        <v>3455</v>
      </c>
      <c r="H415" t="s">
        <v>3455</v>
      </c>
      <c r="I415" t="s">
        <v>3456</v>
      </c>
      <c r="J415" s="5" t="str" cm="1">
        <f t="array" ref="J415">IF(SUM(COUNTIF(Text_Preprocessing__2245[[#This Row],[full_text]],{"*makan siang gratis*";"*MBG*";"*makan gratis*";"*makan bergizi gratis*";"*makangratis*";"*makanan gratis*"})),"Relevan","Tidak Relevan")</f>
        <v>Relevan</v>
      </c>
    </row>
    <row r="416" spans="1:11" x14ac:dyDescent="0.35">
      <c r="A416">
        <f t="shared" si="6"/>
        <v>415</v>
      </c>
      <c r="B416" t="s">
        <v>3457</v>
      </c>
      <c r="C416" t="s">
        <v>737</v>
      </c>
      <c r="D416" t="s">
        <v>3628</v>
      </c>
      <c r="E416" t="s">
        <v>3458</v>
      </c>
      <c r="F416" t="s">
        <v>3459</v>
      </c>
      <c r="G416" t="s">
        <v>3460</v>
      </c>
      <c r="H416" t="s">
        <v>3460</v>
      </c>
      <c r="I416" t="s">
        <v>3461</v>
      </c>
      <c r="J416" s="5" t="str" cm="1">
        <f t="array" ref="J416">IF(SUM(COUNTIF(Text_Preprocessing__2245[[#This Row],[full_text]],{"*makan siang gratis*";"*MBG*";"*makan gratis*";"*makan bergizi gratis*";"*makangratis*";"*makanan gratis*"})),"Relevan","Tidak Relevan")</f>
        <v>Relevan</v>
      </c>
    </row>
    <row r="417" spans="1:11" x14ac:dyDescent="0.35">
      <c r="A417">
        <f t="shared" si="6"/>
        <v>416</v>
      </c>
      <c r="B417" t="s">
        <v>3462</v>
      </c>
      <c r="C417" t="s">
        <v>739</v>
      </c>
      <c r="D417" t="s">
        <v>3628</v>
      </c>
      <c r="E417" t="s">
        <v>3463</v>
      </c>
      <c r="F417" t="s">
        <v>1607</v>
      </c>
      <c r="G417" t="s">
        <v>3464</v>
      </c>
      <c r="H417" t="s">
        <v>3464</v>
      </c>
      <c r="I417" t="s">
        <v>3465</v>
      </c>
      <c r="J417" s="5" t="str" cm="1">
        <f t="array" ref="J417">IF(SUM(COUNTIF(Text_Preprocessing__2245[[#This Row],[full_text]],{"*makan siang gratis*";"*MBG*";"*makan gratis*";"*makan bergizi gratis*";"*makangratis*";"*makanan gratis*"})),"Relevan","Tidak Relevan")</f>
        <v>Relevan</v>
      </c>
    </row>
    <row r="418" spans="1:11" x14ac:dyDescent="0.35">
      <c r="A418">
        <f t="shared" si="6"/>
        <v>417</v>
      </c>
      <c r="B418" t="s">
        <v>3466</v>
      </c>
      <c r="C418" t="s">
        <v>739</v>
      </c>
      <c r="D418" t="s">
        <v>3628</v>
      </c>
      <c r="E418" t="s">
        <v>3467</v>
      </c>
      <c r="F418" t="s">
        <v>3468</v>
      </c>
      <c r="G418" t="s">
        <v>3469</v>
      </c>
      <c r="H418" t="s">
        <v>3469</v>
      </c>
      <c r="I418" t="s">
        <v>3470</v>
      </c>
      <c r="J418" s="5" t="str" cm="1">
        <f t="array" ref="J418">IF(SUM(COUNTIF(Text_Preprocessing__2245[[#This Row],[full_text]],{"*makan siang gratis*";"*MBG*";"*makan gratis*";"*makan bergizi gratis*";"*makangratis*";"*makanan gratis*"})),"Relevan","Tidak Relevan")</f>
        <v>Relevan</v>
      </c>
    </row>
    <row r="419" spans="1:11" x14ac:dyDescent="0.35">
      <c r="A419">
        <f t="shared" si="6"/>
        <v>418</v>
      </c>
      <c r="B419" t="s">
        <v>3471</v>
      </c>
      <c r="C419" t="s">
        <v>742</v>
      </c>
      <c r="D419" t="s">
        <v>3628</v>
      </c>
      <c r="E419" t="s">
        <v>3472</v>
      </c>
      <c r="F419" t="s">
        <v>1686</v>
      </c>
      <c r="G419" t="s">
        <v>3473</v>
      </c>
      <c r="H419" t="s">
        <v>3473</v>
      </c>
      <c r="I419" t="s">
        <v>3474</v>
      </c>
      <c r="J419" s="5" t="str" cm="1">
        <f t="array" ref="J419">IF(SUM(COUNTIF(Text_Preprocessing__2245[[#This Row],[full_text]],{"*makan siang gratis*";"*MBG*";"*makan gratis*";"*makan bergizi gratis*";"*makangratis*";"*makanan gratis*"})),"Relevan","Tidak Relevan")</f>
        <v>Relevan</v>
      </c>
    </row>
    <row r="420" spans="1:11" x14ac:dyDescent="0.35">
      <c r="A420">
        <f t="shared" si="6"/>
        <v>419</v>
      </c>
      <c r="B420" t="s">
        <v>3475</v>
      </c>
      <c r="C420" t="s">
        <v>379</v>
      </c>
      <c r="D420" t="s">
        <v>3632</v>
      </c>
      <c r="E420" t="s">
        <v>3476</v>
      </c>
      <c r="F420" t="s">
        <v>2159</v>
      </c>
      <c r="G420" t="s">
        <v>3477</v>
      </c>
      <c r="H420" t="s">
        <v>3477</v>
      </c>
      <c r="I420" t="s">
        <v>3478</v>
      </c>
      <c r="J420" s="5" t="str" cm="1">
        <f t="array" ref="J420">IF(SUM(COUNTIF(Text_Preprocessing__2245[[#This Row],[full_text]],{"*makan siang gratis*";"*MBG*";"*makan gratis*";"*makan bergizi gratis*";"*makangratis*";"*makanan gratis*"})),"Relevan","Tidak Relevan")</f>
        <v>Relevan</v>
      </c>
    </row>
    <row r="421" spans="1:11" x14ac:dyDescent="0.35">
      <c r="A421">
        <f t="shared" si="6"/>
        <v>420</v>
      </c>
      <c r="B421" t="s">
        <v>3479</v>
      </c>
      <c r="C421" t="s">
        <v>746</v>
      </c>
      <c r="D421" t="s">
        <v>3628</v>
      </c>
      <c r="E421" t="s">
        <v>3480</v>
      </c>
      <c r="F421" t="s">
        <v>3481</v>
      </c>
      <c r="G421" t="s">
        <v>3482</v>
      </c>
      <c r="H421" t="s">
        <v>3482</v>
      </c>
      <c r="I421" t="s">
        <v>3483</v>
      </c>
      <c r="J421" s="5" t="str" cm="1">
        <f t="array" ref="J421">IF(SUM(COUNTIF(Text_Preprocessing__2245[[#This Row],[full_text]],{"*makan siang gratis*";"*MBG*";"*makan gratis*";"*makan bergizi gratis*";"*makangratis*";"*makanan gratis*"})),"Relevan","Tidak Relevan")</f>
        <v>Relevan</v>
      </c>
    </row>
    <row r="422" spans="1:11" x14ac:dyDescent="0.35">
      <c r="A422">
        <f t="shared" si="6"/>
        <v>421</v>
      </c>
      <c r="B422" t="s">
        <v>3484</v>
      </c>
      <c r="C422" t="s">
        <v>748</v>
      </c>
      <c r="D422" t="s">
        <v>3628</v>
      </c>
      <c r="E422" t="s">
        <v>3485</v>
      </c>
      <c r="F422" t="s">
        <v>2069</v>
      </c>
      <c r="G422" t="s">
        <v>3486</v>
      </c>
      <c r="H422" t="s">
        <v>3487</v>
      </c>
      <c r="I422" t="s">
        <v>3488</v>
      </c>
      <c r="J422" s="5" t="str" cm="1">
        <f t="array" ref="J422">IF(SUM(COUNTIF(Text_Preprocessing__2245[[#This Row],[full_text]],{"*makan siang gratis*";"*MBG*";"*makan gratis*";"*makan bergizi gratis*";"*makangratis*";"*makanan gratis*"})),"Relevan","Tidak Relevan")</f>
        <v>Relevan</v>
      </c>
    </row>
    <row r="423" spans="1:11" x14ac:dyDescent="0.35">
      <c r="A423">
        <f t="shared" si="6"/>
        <v>422</v>
      </c>
      <c r="B423" t="s">
        <v>3489</v>
      </c>
      <c r="C423" t="s">
        <v>750</v>
      </c>
      <c r="D423" t="s">
        <v>3628</v>
      </c>
      <c r="E423" t="s">
        <v>3490</v>
      </c>
      <c r="F423" t="s">
        <v>1990</v>
      </c>
      <c r="G423" t="s">
        <v>3491</v>
      </c>
      <c r="H423" t="s">
        <v>3491</v>
      </c>
      <c r="I423" t="s">
        <v>3492</v>
      </c>
      <c r="J423" s="5" t="str" cm="1">
        <f t="array" ref="J423">IF(SUM(COUNTIF(Text_Preprocessing__2245[[#This Row],[full_text]],{"*makan siang gratis*";"*MBG*";"*makan gratis*";"*makan bergizi gratis*";"*makangratis*";"*makanan gratis*"})),"Relevan","Tidak Relevan")</f>
        <v>Relevan</v>
      </c>
    </row>
    <row r="424" spans="1:11" x14ac:dyDescent="0.35">
      <c r="A424">
        <f t="shared" si="6"/>
        <v>423</v>
      </c>
      <c r="B424" t="s">
        <v>3493</v>
      </c>
      <c r="C424" t="s">
        <v>752</v>
      </c>
      <c r="D424" t="s">
        <v>3628</v>
      </c>
      <c r="E424" t="s">
        <v>3494</v>
      </c>
      <c r="F424" t="s">
        <v>2229</v>
      </c>
      <c r="G424" t="s">
        <v>3495</v>
      </c>
      <c r="H424" t="s">
        <v>3495</v>
      </c>
      <c r="I424" t="s">
        <v>3496</v>
      </c>
      <c r="J424" s="5" t="str" cm="1">
        <f t="array" ref="J424">IF(SUM(COUNTIF(Text_Preprocessing__2245[[#This Row],[full_text]],{"*makan siang gratis*";"*MBG*";"*makan gratis*";"*makan bergizi gratis*";"*makangratis*";"*makanan gratis*"})),"Relevan","Tidak Relevan")</f>
        <v>Tidak Relevan</v>
      </c>
      <c r="K424" t="s">
        <v>3622</v>
      </c>
    </row>
    <row r="425" spans="1:11" x14ac:dyDescent="0.35">
      <c r="A425">
        <f t="shared" si="6"/>
        <v>424</v>
      </c>
      <c r="B425" t="s">
        <v>3497</v>
      </c>
      <c r="C425" t="s">
        <v>754</v>
      </c>
      <c r="D425" t="s">
        <v>3628</v>
      </c>
      <c r="E425" t="s">
        <v>3498</v>
      </c>
      <c r="F425" t="s">
        <v>2609</v>
      </c>
      <c r="G425" t="s">
        <v>3499</v>
      </c>
      <c r="H425" t="s">
        <v>3500</v>
      </c>
      <c r="I425" t="s">
        <v>3501</v>
      </c>
      <c r="J425" s="5" t="str" cm="1">
        <f t="array" ref="J425">IF(SUM(COUNTIF(Text_Preprocessing__2245[[#This Row],[full_text]],{"*makan siang gratis*";"*MBG*";"*makan gratis*";"*makan bergizi gratis*";"*makangratis*";"*makanan gratis*"})),"Relevan","Tidak Relevan")</f>
        <v>Relevan</v>
      </c>
    </row>
    <row r="426" spans="1:11" x14ac:dyDescent="0.35">
      <c r="A426">
        <f t="shared" si="6"/>
        <v>425</v>
      </c>
      <c r="B426" t="s">
        <v>3502</v>
      </c>
      <c r="C426" t="s">
        <v>754</v>
      </c>
      <c r="D426" t="s">
        <v>3628</v>
      </c>
      <c r="E426" t="s">
        <v>3503</v>
      </c>
      <c r="F426" t="s">
        <v>2299</v>
      </c>
      <c r="G426" t="s">
        <v>3504</v>
      </c>
      <c r="H426" t="s">
        <v>3505</v>
      </c>
      <c r="I426" t="s">
        <v>3506</v>
      </c>
      <c r="J426" s="5" t="str" cm="1">
        <f t="array" ref="J426">IF(SUM(COUNTIF(Text_Preprocessing__2245[[#This Row],[full_text]],{"*makan siang gratis*";"*MBG*";"*makan gratis*";"*makan bergizi gratis*";"*makangratis*";"*makanan gratis*"})),"Relevan","Tidak Relevan")</f>
        <v>Tidak Relevan</v>
      </c>
      <c r="K426" t="s">
        <v>3622</v>
      </c>
    </row>
    <row r="427" spans="1:11" x14ac:dyDescent="0.35">
      <c r="A427">
        <f t="shared" si="6"/>
        <v>426</v>
      </c>
      <c r="B427" t="s">
        <v>3507</v>
      </c>
      <c r="C427" t="s">
        <v>757</v>
      </c>
      <c r="D427" t="s">
        <v>3628</v>
      </c>
      <c r="E427" t="s">
        <v>3508</v>
      </c>
      <c r="F427" t="s">
        <v>2782</v>
      </c>
      <c r="G427" t="s">
        <v>3509</v>
      </c>
      <c r="H427" t="s">
        <v>3510</v>
      </c>
      <c r="I427" t="s">
        <v>3511</v>
      </c>
      <c r="J427" s="5" t="str" cm="1">
        <f t="array" ref="J427">IF(SUM(COUNTIF(Text_Preprocessing__2245[[#This Row],[full_text]],{"*makan siang gratis*";"*MBG*";"*makan gratis*";"*makan bergizi gratis*";"*makangratis*";"*makanan gratis*"})),"Relevan","Tidak Relevan")</f>
        <v>Relevan</v>
      </c>
    </row>
    <row r="428" spans="1:11" x14ac:dyDescent="0.35">
      <c r="A428">
        <f t="shared" si="6"/>
        <v>427</v>
      </c>
      <c r="B428" t="s">
        <v>3512</v>
      </c>
      <c r="C428" t="s">
        <v>442</v>
      </c>
      <c r="D428" t="s">
        <v>3634</v>
      </c>
      <c r="E428" t="s">
        <v>3513</v>
      </c>
      <c r="F428" t="s">
        <v>1652</v>
      </c>
      <c r="G428" t="s">
        <v>3514</v>
      </c>
      <c r="H428" t="s">
        <v>3514</v>
      </c>
      <c r="I428" t="s">
        <v>3515</v>
      </c>
      <c r="J428" s="5" t="str" cm="1">
        <f t="array" ref="J428">IF(SUM(COUNTIF(Text_Preprocessing__2245[[#This Row],[full_text]],{"*makan siang gratis*";"*MBG*";"*makan gratis*";"*makan bergizi gratis*";"*makangratis*";"*makanan gratis*"})),"Relevan","Tidak Relevan")</f>
        <v>Relevan</v>
      </c>
    </row>
    <row r="429" spans="1:11" x14ac:dyDescent="0.35">
      <c r="A429">
        <f t="shared" si="6"/>
        <v>428</v>
      </c>
      <c r="B429" t="s">
        <v>3516</v>
      </c>
      <c r="C429" t="s">
        <v>760</v>
      </c>
      <c r="D429" t="s">
        <v>3628</v>
      </c>
      <c r="E429" t="s">
        <v>3517</v>
      </c>
      <c r="F429" t="s">
        <v>1624</v>
      </c>
      <c r="G429" t="s">
        <v>3518</v>
      </c>
      <c r="H429" t="s">
        <v>3519</v>
      </c>
      <c r="I429" t="s">
        <v>3520</v>
      </c>
      <c r="J429" s="5" t="str" cm="1">
        <f t="array" ref="J429">IF(SUM(COUNTIF(Text_Preprocessing__2245[[#This Row],[full_text]],{"*makan siang gratis*";"*MBG*";"*makan gratis*";"*makan bergizi gratis*";"*makangratis*";"*makanan gratis*"})),"Relevan","Tidak Relevan")</f>
        <v>Relevan</v>
      </c>
    </row>
    <row r="430" spans="1:11" x14ac:dyDescent="0.35">
      <c r="A430">
        <f t="shared" si="6"/>
        <v>429</v>
      </c>
      <c r="B430" t="s">
        <v>3521</v>
      </c>
      <c r="C430" t="s">
        <v>762</v>
      </c>
      <c r="D430" t="s">
        <v>3628</v>
      </c>
      <c r="E430" t="s">
        <v>3522</v>
      </c>
      <c r="F430" t="s">
        <v>2272</v>
      </c>
      <c r="G430" t="s">
        <v>3523</v>
      </c>
      <c r="H430" t="s">
        <v>3523</v>
      </c>
      <c r="I430" t="s">
        <v>3524</v>
      </c>
      <c r="J430" s="5" t="str" cm="1">
        <f t="array" ref="J430">IF(SUM(COUNTIF(Text_Preprocessing__2245[[#This Row],[full_text]],{"*makan siang gratis*";"*MBG*";"*makan gratis*";"*makan bergizi gratis*";"*makangratis*";"*makanan gratis*"})),"Relevan","Tidak Relevan")</f>
        <v>Relevan</v>
      </c>
    </row>
    <row r="431" spans="1:11" x14ac:dyDescent="0.35">
      <c r="A431">
        <f t="shared" si="6"/>
        <v>430</v>
      </c>
      <c r="B431" t="s">
        <v>3525</v>
      </c>
      <c r="C431" t="s">
        <v>764</v>
      </c>
      <c r="D431" t="s">
        <v>3628</v>
      </c>
      <c r="E431" t="s">
        <v>3526</v>
      </c>
      <c r="F431" t="s">
        <v>1707</v>
      </c>
      <c r="G431" t="s">
        <v>3527</v>
      </c>
      <c r="H431" t="s">
        <v>3527</v>
      </c>
      <c r="I431" t="s">
        <v>3528</v>
      </c>
      <c r="J431" s="5" t="str" cm="1">
        <f t="array" ref="J431">IF(SUM(COUNTIF(Text_Preprocessing__2245[[#This Row],[full_text]],{"*makan siang gratis*";"*MBG*";"*makan gratis*";"*makan bergizi gratis*";"*makangratis*";"*makanan gratis*"})),"Relevan","Tidak Relevan")</f>
        <v>Relevan</v>
      </c>
    </row>
    <row r="432" spans="1:11" x14ac:dyDescent="0.35">
      <c r="A432">
        <f t="shared" si="6"/>
        <v>431</v>
      </c>
      <c r="B432" t="s">
        <v>3529</v>
      </c>
      <c r="C432" t="s">
        <v>766</v>
      </c>
      <c r="D432" t="s">
        <v>3632</v>
      </c>
      <c r="E432" t="s">
        <v>3530</v>
      </c>
      <c r="F432" t="s">
        <v>1758</v>
      </c>
      <c r="G432" t="s">
        <v>3531</v>
      </c>
      <c r="H432" t="s">
        <v>3531</v>
      </c>
      <c r="I432" t="s">
        <v>3532</v>
      </c>
      <c r="J432" s="5" t="str" cm="1">
        <f t="array" ref="J432">IF(SUM(COUNTIF(Text_Preprocessing__2245[[#This Row],[full_text]],{"*makan siang gratis*";"*MBG*";"*makan gratis*";"*makan bergizi gratis*";"*makangratis*";"*makanan gratis*"})),"Relevan","Tidak Relevan")</f>
        <v>Relevan</v>
      </c>
    </row>
    <row r="433" spans="1:11" x14ac:dyDescent="0.35">
      <c r="A433">
        <f t="shared" si="6"/>
        <v>432</v>
      </c>
      <c r="B433" t="s">
        <v>3533</v>
      </c>
      <c r="C433" t="s">
        <v>561</v>
      </c>
      <c r="D433" t="s">
        <v>3634</v>
      </c>
      <c r="E433" t="s">
        <v>3534</v>
      </c>
      <c r="F433" t="s">
        <v>2335</v>
      </c>
      <c r="G433" t="s">
        <v>3535</v>
      </c>
      <c r="H433" t="s">
        <v>3535</v>
      </c>
      <c r="I433" t="s">
        <v>3536</v>
      </c>
      <c r="J433" s="5" t="str" cm="1">
        <f t="array" ref="J433">IF(SUM(COUNTIF(Text_Preprocessing__2245[[#This Row],[full_text]],{"*makan siang gratis*";"*MBG*";"*makan gratis*";"*makan bergizi gratis*";"*makangratis*";"*makanan gratis*"})),"Relevan","Tidak Relevan")</f>
        <v>Relevan</v>
      </c>
    </row>
    <row r="434" spans="1:11" x14ac:dyDescent="0.35">
      <c r="A434">
        <f t="shared" si="6"/>
        <v>433</v>
      </c>
      <c r="B434" t="s">
        <v>3537</v>
      </c>
      <c r="C434" t="s">
        <v>76</v>
      </c>
      <c r="D434" t="s">
        <v>3634</v>
      </c>
      <c r="E434" t="s">
        <v>3538</v>
      </c>
      <c r="F434" t="s">
        <v>3539</v>
      </c>
      <c r="G434" t="s">
        <v>3540</v>
      </c>
      <c r="H434" t="s">
        <v>3540</v>
      </c>
      <c r="I434" t="s">
        <v>3541</v>
      </c>
      <c r="J434" s="5" t="str" cm="1">
        <f t="array" ref="J434">IF(SUM(COUNTIF(Text_Preprocessing__2245[[#This Row],[full_text]],{"*makan siang gratis*";"*MBG*";"*makan gratis*";"*makan bergizi gratis*";"*makangratis*";"*makanan gratis*"})),"Relevan","Tidak Relevan")</f>
        <v>Relevan</v>
      </c>
    </row>
    <row r="435" spans="1:11" x14ac:dyDescent="0.35">
      <c r="A435">
        <f t="shared" si="6"/>
        <v>434</v>
      </c>
      <c r="B435" t="s">
        <v>3542</v>
      </c>
      <c r="C435" t="s">
        <v>772</v>
      </c>
      <c r="D435" t="s">
        <v>3628</v>
      </c>
      <c r="E435" t="s">
        <v>3543</v>
      </c>
      <c r="F435" t="s">
        <v>1888</v>
      </c>
      <c r="G435" t="s">
        <v>3544</v>
      </c>
      <c r="H435" t="s">
        <v>3544</v>
      </c>
      <c r="I435" t="s">
        <v>3545</v>
      </c>
      <c r="J435" s="5" t="str" cm="1">
        <f t="array" ref="J435">IF(SUM(COUNTIF(Text_Preprocessing__2245[[#This Row],[full_text]],{"*makan siang gratis*";"*MBG*";"*makan gratis*";"*makan bergizi gratis*";"*makangratis*";"*makanan gratis*"})),"Relevan","Tidak Relevan")</f>
        <v>Relevan</v>
      </c>
    </row>
    <row r="436" spans="1:11" x14ac:dyDescent="0.35">
      <c r="A436">
        <f t="shared" si="6"/>
        <v>435</v>
      </c>
      <c r="B436" t="s">
        <v>3546</v>
      </c>
      <c r="C436" t="s">
        <v>772</v>
      </c>
      <c r="D436" t="s">
        <v>3628</v>
      </c>
      <c r="E436" t="s">
        <v>3547</v>
      </c>
      <c r="F436" t="s">
        <v>3548</v>
      </c>
      <c r="G436" t="s">
        <v>3549</v>
      </c>
      <c r="H436" t="s">
        <v>3549</v>
      </c>
      <c r="I436" t="s">
        <v>3550</v>
      </c>
      <c r="J436" s="5" t="str" cm="1">
        <f t="array" ref="J436">IF(SUM(COUNTIF(Text_Preprocessing__2245[[#This Row],[full_text]],{"*makan siang gratis*";"*MBG*";"*makan gratis*";"*makan bergizi gratis*";"*makangratis*";"*makanan gratis*"})),"Relevan","Tidak Relevan")</f>
        <v>Relevan</v>
      </c>
    </row>
    <row r="437" spans="1:11" x14ac:dyDescent="0.35">
      <c r="A437">
        <f t="shared" si="6"/>
        <v>436</v>
      </c>
      <c r="B437" t="s">
        <v>3551</v>
      </c>
      <c r="C437" t="s">
        <v>772</v>
      </c>
      <c r="D437" t="s">
        <v>3628</v>
      </c>
      <c r="E437" t="s">
        <v>3552</v>
      </c>
      <c r="F437" t="s">
        <v>2234</v>
      </c>
      <c r="G437" t="s">
        <v>3553</v>
      </c>
      <c r="H437" t="s">
        <v>3553</v>
      </c>
      <c r="I437" t="s">
        <v>3554</v>
      </c>
      <c r="J437" s="5" t="str" cm="1">
        <f t="array" ref="J437">IF(SUM(COUNTIF(Text_Preprocessing__2245[[#This Row],[full_text]],{"*makan siang gratis*";"*MBG*";"*makan gratis*";"*makan bergizi gratis*";"*makangratis*";"*makanan gratis*"})),"Relevan","Tidak Relevan")</f>
        <v>Relevan</v>
      </c>
    </row>
    <row r="438" spans="1:11" x14ac:dyDescent="0.35">
      <c r="A438">
        <f t="shared" si="6"/>
        <v>437</v>
      </c>
      <c r="B438" t="s">
        <v>3555</v>
      </c>
      <c r="C438" t="s">
        <v>772</v>
      </c>
      <c r="D438" t="s">
        <v>3628</v>
      </c>
      <c r="E438" t="s">
        <v>3556</v>
      </c>
      <c r="F438" t="s">
        <v>1844</v>
      </c>
      <c r="G438" t="s">
        <v>3557</v>
      </c>
      <c r="H438" t="s">
        <v>3557</v>
      </c>
      <c r="I438" t="s">
        <v>3558</v>
      </c>
      <c r="J438" s="5" t="str" cm="1">
        <f t="array" ref="J438">IF(SUM(COUNTIF(Text_Preprocessing__2245[[#This Row],[full_text]],{"*makan siang gratis*";"*MBG*";"*makan gratis*";"*makan bergizi gratis*";"*makangratis*";"*makanan gratis*"})),"Relevan","Tidak Relevan")</f>
        <v>Relevan</v>
      </c>
    </row>
    <row r="439" spans="1:11" x14ac:dyDescent="0.35">
      <c r="A439">
        <f t="shared" si="6"/>
        <v>438</v>
      </c>
      <c r="B439" t="s">
        <v>3559</v>
      </c>
      <c r="C439" t="s">
        <v>772</v>
      </c>
      <c r="D439" t="s">
        <v>3628</v>
      </c>
      <c r="E439" t="s">
        <v>3560</v>
      </c>
      <c r="F439" t="s">
        <v>3561</v>
      </c>
      <c r="G439" t="s">
        <v>3562</v>
      </c>
      <c r="H439" t="s">
        <v>3562</v>
      </c>
      <c r="I439" t="s">
        <v>3563</v>
      </c>
      <c r="J439" s="5" t="str" cm="1">
        <f t="array" ref="J439">IF(SUM(COUNTIF(Text_Preprocessing__2245[[#This Row],[full_text]],{"*makan siang gratis*";"*MBG*";"*makan gratis*";"*makan bergizi gratis*";"*makangratis*";"*makanan gratis*"})),"Relevan","Tidak Relevan")</f>
        <v>Relevan</v>
      </c>
    </row>
    <row r="440" spans="1:11" x14ac:dyDescent="0.35">
      <c r="A440">
        <f t="shared" si="6"/>
        <v>439</v>
      </c>
      <c r="B440" t="s">
        <v>3564</v>
      </c>
      <c r="C440" t="s">
        <v>594</v>
      </c>
      <c r="D440" t="s">
        <v>3629</v>
      </c>
      <c r="E440" t="s">
        <v>3565</v>
      </c>
      <c r="F440" t="s">
        <v>2977</v>
      </c>
      <c r="G440" t="s">
        <v>3566</v>
      </c>
      <c r="H440" t="s">
        <v>3566</v>
      </c>
      <c r="I440" t="s">
        <v>3567</v>
      </c>
      <c r="J440" s="5" t="str" cm="1">
        <f t="array" ref="J440">IF(SUM(COUNTIF(Text_Preprocessing__2245[[#This Row],[full_text]],{"*makan siang gratis*";"*MBG*";"*makan gratis*";"*makan bergizi gratis*";"*makangratis*";"*makanan gratis*"})),"Relevan","Tidak Relevan")</f>
        <v>Relevan</v>
      </c>
    </row>
    <row r="441" spans="1:11" x14ac:dyDescent="0.35">
      <c r="A441">
        <f t="shared" si="6"/>
        <v>440</v>
      </c>
      <c r="B441" t="s">
        <v>3568</v>
      </c>
      <c r="C441" t="s">
        <v>781</v>
      </c>
      <c r="D441" t="s">
        <v>3628</v>
      </c>
      <c r="E441" t="s">
        <v>3569</v>
      </c>
      <c r="F441" t="s">
        <v>1618</v>
      </c>
      <c r="G441" t="s">
        <v>3570</v>
      </c>
      <c r="H441" t="s">
        <v>3571</v>
      </c>
      <c r="I441" t="s">
        <v>3572</v>
      </c>
      <c r="J441" s="5" t="str" cm="1">
        <f t="array" ref="J441">IF(SUM(COUNTIF(Text_Preprocessing__2245[[#This Row],[full_text]],{"*makan siang gratis*";"*MBG*";"*makan gratis*";"*makan bergizi gratis*";"*makangratis*";"*makanan gratis*"})),"Relevan","Tidak Relevan")</f>
        <v>Tidak Relevan</v>
      </c>
      <c r="K441" t="s">
        <v>3622</v>
      </c>
    </row>
    <row r="442" spans="1:11" x14ac:dyDescent="0.35">
      <c r="A442">
        <f t="shared" si="6"/>
        <v>441</v>
      </c>
      <c r="B442" t="s">
        <v>3573</v>
      </c>
      <c r="C442" t="s">
        <v>783</v>
      </c>
      <c r="D442" t="s">
        <v>3628</v>
      </c>
      <c r="E442" t="s">
        <v>3574</v>
      </c>
      <c r="F442" t="s">
        <v>3575</v>
      </c>
      <c r="G442" t="s">
        <v>3576</v>
      </c>
      <c r="H442" t="s">
        <v>3576</v>
      </c>
      <c r="I442" t="s">
        <v>3577</v>
      </c>
      <c r="J442" s="5" t="str" cm="1">
        <f t="array" ref="J442">IF(SUM(COUNTIF(Text_Preprocessing__2245[[#This Row],[full_text]],{"*makan siang gratis*";"*MBG*";"*makan gratis*";"*makan bergizi gratis*";"*makangratis*";"*makanan gratis*"})),"Relevan","Tidak Relevan")</f>
        <v>Relevan</v>
      </c>
    </row>
    <row r="443" spans="1:11" x14ac:dyDescent="0.35">
      <c r="A443">
        <f t="shared" si="6"/>
        <v>442</v>
      </c>
      <c r="B443" t="s">
        <v>3578</v>
      </c>
      <c r="C443" t="s">
        <v>785</v>
      </c>
      <c r="D443" t="s">
        <v>3628</v>
      </c>
      <c r="E443" t="s">
        <v>3579</v>
      </c>
      <c r="F443" t="s">
        <v>2229</v>
      </c>
      <c r="G443" t="s">
        <v>3580</v>
      </c>
      <c r="H443" t="s">
        <v>3580</v>
      </c>
      <c r="I443" t="s">
        <v>3581</v>
      </c>
      <c r="J443" s="5" t="str" cm="1">
        <f t="array" ref="J443">IF(SUM(COUNTIF(Text_Preprocessing__2245[[#This Row],[full_text]],{"*makan siang gratis*";"*MBG*";"*makan gratis*";"*makan bergizi gratis*";"*makangratis*";"*makanan gratis*"})),"Relevan","Tidak Relevan")</f>
        <v>Relevan</v>
      </c>
    </row>
    <row r="444" spans="1:11" x14ac:dyDescent="0.35">
      <c r="A444">
        <f t="shared" si="6"/>
        <v>443</v>
      </c>
      <c r="B444" t="s">
        <v>3582</v>
      </c>
      <c r="C444" t="s">
        <v>785</v>
      </c>
      <c r="D444" t="s">
        <v>3628</v>
      </c>
      <c r="E444" t="s">
        <v>3583</v>
      </c>
      <c r="F444" t="s">
        <v>1929</v>
      </c>
      <c r="G444" t="s">
        <v>3584</v>
      </c>
      <c r="H444" t="s">
        <v>3584</v>
      </c>
      <c r="I444" t="s">
        <v>3585</v>
      </c>
      <c r="J444" s="5" t="str" cm="1">
        <f t="array" ref="J444">IF(SUM(COUNTIF(Text_Preprocessing__2245[[#This Row],[full_text]],{"*makan siang gratis*";"*MBG*";"*makan gratis*";"*makan bergizi gratis*";"*makangratis*";"*makanan gratis*"})),"Relevan","Tidak Relevan")</f>
        <v>Relevan</v>
      </c>
    </row>
    <row r="445" spans="1:11" x14ac:dyDescent="0.35">
      <c r="A445">
        <f t="shared" si="6"/>
        <v>444</v>
      </c>
      <c r="B445" t="s">
        <v>3586</v>
      </c>
      <c r="C445" t="s">
        <v>788</v>
      </c>
      <c r="D445" t="s">
        <v>3628</v>
      </c>
      <c r="E445" t="s">
        <v>3587</v>
      </c>
      <c r="F445" t="s">
        <v>3588</v>
      </c>
      <c r="G445" t="s">
        <v>3589</v>
      </c>
      <c r="H445" t="s">
        <v>3590</v>
      </c>
      <c r="I445" t="s">
        <v>3590</v>
      </c>
      <c r="J445" s="5" t="str" cm="1">
        <f t="array" ref="J445">IF(SUM(COUNTIF(Text_Preprocessing__2245[[#This Row],[full_text]],{"*makan siang gratis*";"*MBG*";"*makan gratis*";"*makan bergizi gratis*";"*makangratis*";"*makanan gratis*"})),"Relevan","Tidak Relevan")</f>
        <v>Relevan</v>
      </c>
    </row>
    <row r="446" spans="1:11" x14ac:dyDescent="0.35">
      <c r="A446">
        <f t="shared" si="6"/>
        <v>445</v>
      </c>
      <c r="B446" t="s">
        <v>3591</v>
      </c>
      <c r="C446" t="s">
        <v>790</v>
      </c>
      <c r="D446" t="s">
        <v>3629</v>
      </c>
      <c r="E446" t="s">
        <v>3592</v>
      </c>
      <c r="F446" t="s">
        <v>3593</v>
      </c>
      <c r="G446" t="s">
        <v>3594</v>
      </c>
      <c r="H446" t="s">
        <v>3595</v>
      </c>
      <c r="I446" t="s">
        <v>3596</v>
      </c>
      <c r="J446" s="5" t="str" cm="1">
        <f t="array" ref="J446">IF(SUM(COUNTIF(Text_Preprocessing__2245[[#This Row],[full_text]],{"*makan siang gratis*";"*MBG*";"*makan gratis*";"*makan bergizi gratis*";"*makangratis*";"*makanan gratis*"})),"Relevan","Tidak Relevan")</f>
        <v>Relevan</v>
      </c>
    </row>
    <row r="447" spans="1:11" x14ac:dyDescent="0.35">
      <c r="A447">
        <f t="shared" si="6"/>
        <v>446</v>
      </c>
      <c r="B447" t="s">
        <v>3597</v>
      </c>
      <c r="C447" t="s">
        <v>792</v>
      </c>
      <c r="D447" t="s">
        <v>3628</v>
      </c>
      <c r="E447" t="s">
        <v>3598</v>
      </c>
      <c r="F447" t="s">
        <v>1929</v>
      </c>
      <c r="G447" t="s">
        <v>3599</v>
      </c>
      <c r="H447" t="s">
        <v>3599</v>
      </c>
      <c r="I447" t="s">
        <v>3600</v>
      </c>
      <c r="J447" s="5" t="str" cm="1">
        <f t="array" ref="J447">IF(SUM(COUNTIF(Text_Preprocessing__2245[[#This Row],[full_text]],{"*makan siang gratis*";"*MBG*";"*makan gratis*";"*makan bergizi gratis*";"*makangratis*";"*makanan gratis*"})),"Relevan","Tidak Relevan")</f>
        <v>Relevan</v>
      </c>
    </row>
    <row r="448" spans="1:11" x14ac:dyDescent="0.35">
      <c r="A448">
        <f t="shared" si="6"/>
        <v>447</v>
      </c>
      <c r="B448" t="s">
        <v>3601</v>
      </c>
      <c r="C448" t="s">
        <v>794</v>
      </c>
      <c r="D448" t="s">
        <v>3628</v>
      </c>
      <c r="E448" t="s">
        <v>3602</v>
      </c>
      <c r="F448" t="s">
        <v>2186</v>
      </c>
      <c r="G448" t="s">
        <v>3603</v>
      </c>
      <c r="H448" t="s">
        <v>3603</v>
      </c>
      <c r="I448" t="s">
        <v>3604</v>
      </c>
      <c r="J448" s="5" t="str" cm="1">
        <f t="array" ref="J448">IF(SUM(COUNTIF(Text_Preprocessing__2245[[#This Row],[full_text]],{"*makan siang gratis*";"*MBG*";"*makan gratis*";"*makan bergizi gratis*";"*makangratis*";"*makanan gratis*"})),"Relevan","Tidak Relevan")</f>
        <v>Relevan</v>
      </c>
    </row>
    <row r="449" spans="1:10" x14ac:dyDescent="0.35">
      <c r="A449">
        <f t="shared" si="6"/>
        <v>448</v>
      </c>
      <c r="B449" t="s">
        <v>3605</v>
      </c>
      <c r="C449" t="s">
        <v>796</v>
      </c>
      <c r="D449" t="s">
        <v>3628</v>
      </c>
      <c r="E449" t="s">
        <v>3606</v>
      </c>
      <c r="F449" t="s">
        <v>1741</v>
      </c>
      <c r="G449" t="s">
        <v>3607</v>
      </c>
      <c r="H449" t="s">
        <v>3607</v>
      </c>
      <c r="I449" t="s">
        <v>3608</v>
      </c>
      <c r="J449" s="5" t="str" cm="1">
        <f t="array" ref="J449">IF(SUM(COUNTIF(Text_Preprocessing__2245[[#This Row],[full_text]],{"*makan siang gratis*";"*MBG*";"*makan gratis*";"*makan bergizi gratis*";"*makangratis*";"*makanan gratis*"})),"Relevan","Tidak Relevan")</f>
        <v>Relevan</v>
      </c>
    </row>
    <row r="450" spans="1:10" x14ac:dyDescent="0.35">
      <c r="A450">
        <f t="shared" si="6"/>
        <v>449</v>
      </c>
      <c r="B450" t="s">
        <v>3609</v>
      </c>
      <c r="C450" t="s">
        <v>798</v>
      </c>
      <c r="D450" t="s">
        <v>3628</v>
      </c>
      <c r="E450" t="s">
        <v>3610</v>
      </c>
      <c r="F450" t="s">
        <v>2604</v>
      </c>
      <c r="G450" t="s">
        <v>3611</v>
      </c>
      <c r="H450" t="s">
        <v>3611</v>
      </c>
      <c r="I450" t="s">
        <v>3612</v>
      </c>
      <c r="J450" s="5" t="str" cm="1">
        <f t="array" ref="J450">IF(SUM(COUNTIF(Text_Preprocessing__2245[[#This Row],[full_text]],{"*makan siang gratis*";"*MBG*";"*makan gratis*";"*makan bergizi gratis*";"*makangratis*";"*makanan gratis*"})),"Relevan","Tidak Relevan")</f>
        <v>Relevan</v>
      </c>
    </row>
    <row r="451" spans="1:10" x14ac:dyDescent="0.35">
      <c r="A451">
        <f t="shared" si="6"/>
        <v>450</v>
      </c>
      <c r="B451" t="s">
        <v>3613</v>
      </c>
      <c r="C451" t="s">
        <v>798</v>
      </c>
      <c r="D451" t="s">
        <v>3628</v>
      </c>
      <c r="E451" t="s">
        <v>3614</v>
      </c>
      <c r="F451" t="s">
        <v>1735</v>
      </c>
      <c r="G451" t="s">
        <v>3615</v>
      </c>
      <c r="H451" t="s">
        <v>3615</v>
      </c>
      <c r="I451" t="s">
        <v>3616</v>
      </c>
      <c r="J451" s="5" t="str" cm="1">
        <f t="array" ref="J451">IF(SUM(COUNTIF(Text_Preprocessing__2245[[#This Row],[full_text]],{"*makan siang gratis*";"*MBG*";"*makan gratis*";"*makan bergizi gratis*";"*makangratis*";"*makanan gratis*"})),"Relevan","Tidak Relevan")</f>
        <v>Relevan</v>
      </c>
    </row>
    <row r="452" spans="1:10" x14ac:dyDescent="0.35">
      <c r="A452">
        <f t="shared" ref="A452" si="7">SUM(A451+1)</f>
        <v>451</v>
      </c>
      <c r="B452" t="s">
        <v>3617</v>
      </c>
      <c r="C452" t="s">
        <v>801</v>
      </c>
      <c r="D452" t="s">
        <v>3634</v>
      </c>
      <c r="E452" t="s">
        <v>3618</v>
      </c>
      <c r="F452" t="s">
        <v>1785</v>
      </c>
      <c r="G452" t="s">
        <v>3619</v>
      </c>
      <c r="H452" t="s">
        <v>3619</v>
      </c>
      <c r="I452" t="s">
        <v>3620</v>
      </c>
      <c r="J452" s="5" t="str" cm="1">
        <f t="array" ref="J452">IF(SUM(COUNTIF(Text_Preprocessing__2245[[#This Row],[full_text]],{"*makan siang gratis*";"*MBG*";"*makan gratis*";"*makan bergizi gratis*";"*makangratis*";"*makanan gratis*"})),"Relevan","Tidak Relevan")</f>
        <v>Relevan</v>
      </c>
    </row>
  </sheetData>
  <conditionalFormatting sqref="B2:B452">
    <cfRule type="duplicateValues" dxfId="3" priority="29"/>
  </conditionalFormatting>
  <conditionalFormatting sqref="C1:C1048576">
    <cfRule type="duplicateValues" dxfId="2" priority="1"/>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32E5-31DA-480B-A10E-7C23ADFDE3EE}">
  <dimension ref="A1:U317"/>
  <sheetViews>
    <sheetView topLeftCell="I299" zoomScale="95" workbookViewId="0">
      <selection activeCell="I317" sqref="I317"/>
    </sheetView>
  </sheetViews>
  <sheetFormatPr defaultRowHeight="14.5" x14ac:dyDescent="0.35"/>
  <cols>
    <col min="1" max="1" width="5.453125" bestFit="1" customWidth="1"/>
    <col min="2" max="2" width="80.7265625" bestFit="1" customWidth="1"/>
    <col min="3" max="3" width="17.1796875" bestFit="1" customWidth="1"/>
    <col min="4" max="4" width="25.1796875" bestFit="1" customWidth="1"/>
    <col min="5" max="5" width="80.7265625" bestFit="1" customWidth="1"/>
    <col min="6" max="6" width="38.90625" bestFit="1" customWidth="1"/>
    <col min="7" max="9" width="80.7265625" bestFit="1" customWidth="1"/>
    <col min="10" max="10" width="12.26953125" bestFit="1" customWidth="1"/>
    <col min="11" max="11" width="25.1796875" bestFit="1" customWidth="1"/>
    <col min="12" max="12" width="9.7265625" bestFit="1" customWidth="1"/>
    <col min="13" max="13" width="7.36328125" bestFit="1" customWidth="1"/>
    <col min="14" max="14" width="12.26953125" bestFit="1" customWidth="1"/>
    <col min="16" max="16" width="17.08984375" bestFit="1" customWidth="1"/>
    <col min="17" max="17" width="9.6328125" bestFit="1" customWidth="1"/>
    <col min="18" max="18" width="16.54296875" bestFit="1" customWidth="1"/>
    <col min="19" max="19" width="6.6328125" bestFit="1" customWidth="1"/>
    <col min="20" max="20" width="21.7265625" bestFit="1" customWidth="1"/>
    <col min="21" max="21" width="5" bestFit="1" customWidth="1"/>
  </cols>
  <sheetData>
    <row r="1" spans="1:21" x14ac:dyDescent="0.35">
      <c r="A1" t="s">
        <v>0</v>
      </c>
      <c r="B1" t="s">
        <v>1</v>
      </c>
      <c r="C1" t="s">
        <v>2</v>
      </c>
      <c r="D1" t="s">
        <v>3627</v>
      </c>
      <c r="E1" t="s">
        <v>1589</v>
      </c>
      <c r="F1" t="s">
        <v>1590</v>
      </c>
      <c r="G1" t="s">
        <v>1591</v>
      </c>
      <c r="H1" t="s">
        <v>1592</v>
      </c>
      <c r="I1" t="s">
        <v>1593</v>
      </c>
      <c r="J1" t="s">
        <v>1588</v>
      </c>
      <c r="K1" t="s">
        <v>3621</v>
      </c>
    </row>
    <row r="2" spans="1:21" x14ac:dyDescent="0.35">
      <c r="A2">
        <v>1</v>
      </c>
      <c r="B2" t="s">
        <v>1599</v>
      </c>
      <c r="C2" t="s">
        <v>6</v>
      </c>
      <c r="D2" t="s">
        <v>3628</v>
      </c>
      <c r="E2" t="s">
        <v>1600</v>
      </c>
      <c r="F2" t="s">
        <v>1601</v>
      </c>
      <c r="G2" t="s">
        <v>1602</v>
      </c>
      <c r="H2" t="s">
        <v>1603</v>
      </c>
      <c r="I2" t="s">
        <v>1604</v>
      </c>
      <c r="J2" s="5" t="str" cm="1">
        <f t="array" ref="J2">IF(SUM(COUNTIF(Text_Preprocessing__22458[[#This Row],[full_text]],{"*makan siang gratis*";"*MBG*";"*makan gratis*";"*makan bergizi gratis*";"*makangratis*";"*makanan gratis*"})),"Relevan","Tidak Relevan")</f>
        <v>Relevan</v>
      </c>
    </row>
    <row r="3" spans="1:21" x14ac:dyDescent="0.35">
      <c r="A3">
        <f t="shared" ref="A3:A66" si="0">SUM(A2+1)</f>
        <v>2</v>
      </c>
      <c r="B3" t="s">
        <v>1605</v>
      </c>
      <c r="C3" t="s">
        <v>8</v>
      </c>
      <c r="D3" t="s">
        <v>3628</v>
      </c>
      <c r="E3" t="s">
        <v>1606</v>
      </c>
      <c r="F3" t="s">
        <v>1607</v>
      </c>
      <c r="G3" t="s">
        <v>1608</v>
      </c>
      <c r="H3" t="s">
        <v>1609</v>
      </c>
      <c r="I3" t="s">
        <v>1610</v>
      </c>
      <c r="J3" s="5" t="str" cm="1">
        <f t="array" ref="J3">IF(SUM(COUNTIF(Text_Preprocessing__22458[[#This Row],[full_text]],{"*makan siang gratis*";"*MBG*";"*makan gratis*";"*makan bergizi gratis*";"*makangratis*";"*makanan gratis*"})),"Relevan","Tidak Relevan")</f>
        <v>Relevan</v>
      </c>
    </row>
    <row r="4" spans="1:21" x14ac:dyDescent="0.35">
      <c r="A4">
        <f t="shared" si="0"/>
        <v>3</v>
      </c>
      <c r="B4" t="s">
        <v>1611</v>
      </c>
      <c r="C4" t="s">
        <v>10</v>
      </c>
      <c r="D4" t="s">
        <v>3628</v>
      </c>
      <c r="E4" t="s">
        <v>1612</v>
      </c>
      <c r="F4" t="s">
        <v>1613</v>
      </c>
      <c r="G4" t="s">
        <v>1614</v>
      </c>
      <c r="H4" t="s">
        <v>1614</v>
      </c>
      <c r="I4" t="s">
        <v>1615</v>
      </c>
      <c r="J4" s="5" t="str" cm="1">
        <f t="array" ref="J4">IF(SUM(COUNTIF(Text_Preprocessing__22458[[#This Row],[full_text]],{"*makan siang gratis*";"*MBG*";"*makan gratis*";"*makan bergizi gratis*";"*makangratis*";"*makanan gratis*"})),"Relevan","Tidak Relevan")</f>
        <v>Relevan</v>
      </c>
    </row>
    <row r="5" spans="1:21" x14ac:dyDescent="0.35">
      <c r="A5">
        <f t="shared" si="0"/>
        <v>4</v>
      </c>
      <c r="B5" t="s">
        <v>1616</v>
      </c>
      <c r="C5" t="s">
        <v>12</v>
      </c>
      <c r="D5" t="s">
        <v>3628</v>
      </c>
      <c r="E5" t="s">
        <v>1617</v>
      </c>
      <c r="F5" t="s">
        <v>1618</v>
      </c>
      <c r="G5" t="s">
        <v>1619</v>
      </c>
      <c r="H5" t="s">
        <v>1620</v>
      </c>
      <c r="I5" t="s">
        <v>1621</v>
      </c>
      <c r="J5" s="5" t="str" cm="1">
        <f t="array" ref="J5">IF(SUM(COUNTIF(Text_Preprocessing__22458[[#This Row],[full_text]],{"*makan siang gratis*";"*MBG*";"*makan gratis*";"*makan bergizi gratis*";"*makangratis*";"*makanan gratis*"})),"Relevan","Tidak Relevan")</f>
        <v>Relevan</v>
      </c>
    </row>
    <row r="6" spans="1:21" x14ac:dyDescent="0.35">
      <c r="A6">
        <f t="shared" si="0"/>
        <v>5</v>
      </c>
      <c r="B6" t="s">
        <v>1622</v>
      </c>
      <c r="C6" t="s">
        <v>14</v>
      </c>
      <c r="D6" t="s">
        <v>3628</v>
      </c>
      <c r="E6" t="s">
        <v>1623</v>
      </c>
      <c r="F6" t="s">
        <v>1624</v>
      </c>
      <c r="G6" t="s">
        <v>1625</v>
      </c>
      <c r="H6" t="s">
        <v>1625</v>
      </c>
      <c r="I6" t="s">
        <v>1626</v>
      </c>
      <c r="J6" s="5" t="str" cm="1">
        <f t="array" ref="J6">IF(SUM(COUNTIF(Text_Preprocessing__22458[[#This Row],[full_text]],{"*makan siang gratis*";"*MBG*";"*makan gratis*";"*makan bergizi gratis*";"*makangratis*";"*makanan gratis*"})),"Relevan","Tidak Relevan")</f>
        <v>Relevan</v>
      </c>
    </row>
    <row r="7" spans="1:21" x14ac:dyDescent="0.35">
      <c r="A7">
        <f t="shared" si="0"/>
        <v>6</v>
      </c>
      <c r="B7" t="s">
        <v>1627</v>
      </c>
      <c r="C7" t="s">
        <v>16</v>
      </c>
      <c r="D7" t="s">
        <v>3628</v>
      </c>
      <c r="E7" t="s">
        <v>1628</v>
      </c>
      <c r="F7" t="s">
        <v>1629</v>
      </c>
      <c r="G7" t="s">
        <v>1630</v>
      </c>
      <c r="H7" t="s">
        <v>1630</v>
      </c>
      <c r="I7" t="s">
        <v>1631</v>
      </c>
      <c r="J7" s="5" t="str" cm="1">
        <f t="array" ref="J7">IF(SUM(COUNTIF(Text_Preprocessing__22458[[#This Row],[full_text]],{"*makan siang gratis*";"*MBG*";"*makan gratis*";"*makan bergizi gratis*";"*makangratis*";"*makanan gratis*"})),"Relevan","Tidak Relevan")</f>
        <v>Relevan</v>
      </c>
    </row>
    <row r="8" spans="1:21" x14ac:dyDescent="0.35">
      <c r="A8">
        <f t="shared" si="0"/>
        <v>7</v>
      </c>
      <c r="B8" t="s">
        <v>1632</v>
      </c>
      <c r="C8" t="s">
        <v>18</v>
      </c>
      <c r="D8" t="s">
        <v>3628</v>
      </c>
      <c r="E8" t="s">
        <v>1633</v>
      </c>
      <c r="F8" t="s">
        <v>1634</v>
      </c>
      <c r="G8" t="s">
        <v>1635</v>
      </c>
      <c r="H8" t="s">
        <v>1636</v>
      </c>
      <c r="I8" t="s">
        <v>1637</v>
      </c>
      <c r="J8" s="5" t="str" cm="1">
        <f t="array" ref="J8">IF(SUM(COUNTIF(Text_Preprocessing__22458[[#This Row],[full_text]],{"*makan siang gratis*";"*MBG*";"*makan gratis*";"*makan bergizi gratis*";"*makangratis*";"*makanan gratis*"})),"Relevan","Tidak Relevan")</f>
        <v>Tidak Relevan</v>
      </c>
      <c r="K8" t="s">
        <v>3622</v>
      </c>
    </row>
    <row r="9" spans="1:21" x14ac:dyDescent="0.35">
      <c r="A9">
        <f t="shared" si="0"/>
        <v>8</v>
      </c>
      <c r="B9" t="s">
        <v>1638</v>
      </c>
      <c r="C9" t="s">
        <v>20</v>
      </c>
      <c r="D9" t="s">
        <v>3628</v>
      </c>
      <c r="E9" t="s">
        <v>1639</v>
      </c>
      <c r="F9" t="s">
        <v>1640</v>
      </c>
      <c r="G9" t="s">
        <v>1641</v>
      </c>
      <c r="H9" t="s">
        <v>1642</v>
      </c>
      <c r="I9" t="s">
        <v>1643</v>
      </c>
      <c r="J9" s="5" t="str" cm="1">
        <f t="array" ref="J9">IF(SUM(COUNTIF(Text_Preprocessing__22458[[#This Row],[full_text]],{"*makan siang gratis*";"*MBG*";"*makan gratis*";"*makan bergizi gratis*";"*makangratis*";"*makanan gratis*"})),"Relevan","Tidak Relevan")</f>
        <v>Tidak Relevan</v>
      </c>
      <c r="K9" t="s">
        <v>3622</v>
      </c>
    </row>
    <row r="10" spans="1:21" x14ac:dyDescent="0.35">
      <c r="A10">
        <f t="shared" si="0"/>
        <v>9</v>
      </c>
      <c r="B10" t="s">
        <v>1644</v>
      </c>
      <c r="C10" t="s">
        <v>22</v>
      </c>
      <c r="D10" t="s">
        <v>3628</v>
      </c>
      <c r="E10" t="s">
        <v>1645</v>
      </c>
      <c r="F10" t="s">
        <v>1646</v>
      </c>
      <c r="G10" t="s">
        <v>1647</v>
      </c>
      <c r="H10" t="s">
        <v>1648</v>
      </c>
      <c r="I10" t="s">
        <v>1649</v>
      </c>
      <c r="J10" s="5" t="str" cm="1">
        <f t="array" ref="J10">IF(SUM(COUNTIF(Text_Preprocessing__22458[[#This Row],[full_text]],{"*makan siang gratis*";"*MBG*";"*makan gratis*";"*makan bergizi gratis*";"*makangratis*";"*makanan gratis*"})),"Relevan","Tidak Relevan")</f>
        <v>Relevan</v>
      </c>
    </row>
    <row r="11" spans="1:21" x14ac:dyDescent="0.35">
      <c r="A11">
        <f t="shared" si="0"/>
        <v>10</v>
      </c>
      <c r="B11" t="s">
        <v>1650</v>
      </c>
      <c r="C11" t="s">
        <v>24</v>
      </c>
      <c r="D11" t="s">
        <v>3628</v>
      </c>
      <c r="E11" t="s">
        <v>1651</v>
      </c>
      <c r="F11" t="s">
        <v>1652</v>
      </c>
      <c r="G11" t="s">
        <v>1653</v>
      </c>
      <c r="H11" t="s">
        <v>1653</v>
      </c>
      <c r="I11" t="s">
        <v>1654</v>
      </c>
      <c r="J11" s="5" t="str" cm="1">
        <f t="array" ref="J11">IF(SUM(COUNTIF(Text_Preprocessing__22458[[#This Row],[full_text]],{"*makan siang gratis*";"*MBG*";"*makan gratis*";"*makan bergizi gratis*";"*makangratis*";"*makanan gratis*"})),"Relevan","Tidak Relevan")</f>
        <v>Relevan</v>
      </c>
      <c r="P11" t="s">
        <v>3628</v>
      </c>
      <c r="Q11" t="s">
        <v>3630</v>
      </c>
      <c r="R11" t="s">
        <v>3629</v>
      </c>
      <c r="S11" t="s">
        <v>3632</v>
      </c>
      <c r="T11" t="s">
        <v>3634</v>
      </c>
      <c r="U11" t="s">
        <v>3633</v>
      </c>
    </row>
    <row r="12" spans="1:21" x14ac:dyDescent="0.35">
      <c r="A12">
        <f t="shared" si="0"/>
        <v>11</v>
      </c>
      <c r="B12" t="s">
        <v>1655</v>
      </c>
      <c r="C12" t="s">
        <v>26</v>
      </c>
      <c r="D12" t="s">
        <v>3628</v>
      </c>
      <c r="E12" t="s">
        <v>1656</v>
      </c>
      <c r="F12" t="s">
        <v>1657</v>
      </c>
      <c r="G12" t="s">
        <v>1658</v>
      </c>
      <c r="H12" t="s">
        <v>1659</v>
      </c>
      <c r="I12" t="s">
        <v>1660</v>
      </c>
      <c r="J12" s="5" t="str" cm="1">
        <f t="array" ref="J12">IF(SUM(COUNTIF(Text_Preprocessing__22458[[#This Row],[full_text]],{"*makan siang gratis*";"*MBG*";"*makan gratis*";"*makan bergizi gratis*";"*makangratis*";"*makanan gratis*"})),"Relevan","Tidak Relevan")</f>
        <v>Tidak Relevan</v>
      </c>
      <c r="K12" t="s">
        <v>3622</v>
      </c>
      <c r="P12">
        <f>COUNTIF($D$2:$D$317, "Individu")</f>
        <v>221</v>
      </c>
      <c r="Q12">
        <f>COUNTIF($D$2:$D$317, "Komunitas")</f>
        <v>2</v>
      </c>
      <c r="R12">
        <f>COUNTIF($D$2:$D$317, "Media Tidak Resmi")</f>
        <v>24</v>
      </c>
      <c r="S12">
        <f>COUNTIF($D$2:$D$317, "Official")</f>
        <v>27</v>
      </c>
      <c r="T12">
        <f>COUNTIF($D$2:$D$317, "Media Resmi Dewanpers")</f>
        <v>42</v>
      </c>
      <c r="U12">
        <f>SUM(P12:T12)</f>
        <v>316</v>
      </c>
    </row>
    <row r="13" spans="1:21" x14ac:dyDescent="0.35">
      <c r="A13">
        <f t="shared" si="0"/>
        <v>12</v>
      </c>
      <c r="B13" t="s">
        <v>1661</v>
      </c>
      <c r="C13" t="s">
        <v>28</v>
      </c>
      <c r="D13" t="s">
        <v>3628</v>
      </c>
      <c r="E13" t="s">
        <v>1662</v>
      </c>
      <c r="F13" t="s">
        <v>1663</v>
      </c>
      <c r="G13" t="s">
        <v>1664</v>
      </c>
      <c r="H13" t="s">
        <v>1665</v>
      </c>
      <c r="I13" t="s">
        <v>1666</v>
      </c>
      <c r="J13" s="5" t="str" cm="1">
        <f t="array" ref="J13">IF(SUM(COUNTIF(Text_Preprocessing__22458[[#This Row],[full_text]],{"*makan siang gratis*";"*MBG*";"*makan gratis*";"*makan bergizi gratis*";"*makangratis*";"*makanan gratis*"})),"Relevan","Tidak Relevan")</f>
        <v>Tidak Relevan</v>
      </c>
      <c r="K13" t="s">
        <v>3622</v>
      </c>
    </row>
    <row r="14" spans="1:21" x14ac:dyDescent="0.35">
      <c r="A14">
        <f t="shared" si="0"/>
        <v>13</v>
      </c>
      <c r="B14" t="s">
        <v>1667</v>
      </c>
      <c r="C14" t="s">
        <v>32</v>
      </c>
      <c r="D14" t="s">
        <v>3628</v>
      </c>
      <c r="E14" t="s">
        <v>1668</v>
      </c>
      <c r="F14" t="s">
        <v>1669</v>
      </c>
      <c r="G14" t="s">
        <v>1670</v>
      </c>
      <c r="H14" t="s">
        <v>1670</v>
      </c>
      <c r="I14" t="s">
        <v>1671</v>
      </c>
      <c r="J14" s="5" t="str" cm="1">
        <f t="array" ref="J14">IF(SUM(COUNTIF(Text_Preprocessing__22458[[#This Row],[full_text]],{"*makan siang gratis*";"*MBG*";"*makan gratis*";"*makan bergizi gratis*";"*makangratis*";"*makanan gratis*"})),"Relevan","Tidak Relevan")</f>
        <v>Relevan</v>
      </c>
    </row>
    <row r="15" spans="1:21" x14ac:dyDescent="0.35">
      <c r="A15">
        <f t="shared" si="0"/>
        <v>14</v>
      </c>
      <c r="B15" t="s">
        <v>1672</v>
      </c>
      <c r="C15" t="s">
        <v>34</v>
      </c>
      <c r="D15" t="s">
        <v>3628</v>
      </c>
      <c r="E15" t="s">
        <v>1673</v>
      </c>
      <c r="F15" t="s">
        <v>1674</v>
      </c>
      <c r="G15" t="s">
        <v>1675</v>
      </c>
      <c r="H15" t="s">
        <v>1676</v>
      </c>
      <c r="I15" t="s">
        <v>1677</v>
      </c>
      <c r="J15" s="5" t="str" cm="1">
        <f t="array" ref="J15">IF(SUM(COUNTIF(Text_Preprocessing__22458[[#This Row],[full_text]],{"*makan siang gratis*";"*MBG*";"*makan gratis*";"*makan bergizi gratis*";"*makangratis*";"*makanan gratis*"})),"Relevan","Tidak Relevan")</f>
        <v>Tidak Relevan</v>
      </c>
      <c r="K15" t="s">
        <v>3622</v>
      </c>
    </row>
    <row r="16" spans="1:21" x14ac:dyDescent="0.35">
      <c r="A16">
        <f t="shared" si="0"/>
        <v>15</v>
      </c>
      <c r="B16" t="s">
        <v>1678</v>
      </c>
      <c r="C16" t="s">
        <v>36</v>
      </c>
      <c r="D16" t="s">
        <v>3628</v>
      </c>
      <c r="E16" t="s">
        <v>1679</v>
      </c>
      <c r="F16" t="s">
        <v>1680</v>
      </c>
      <c r="G16" t="s">
        <v>1681</v>
      </c>
      <c r="H16" t="s">
        <v>1682</v>
      </c>
      <c r="I16" t="s">
        <v>1683</v>
      </c>
      <c r="J16" s="5" t="str" cm="1">
        <f t="array" ref="J16">IF(SUM(COUNTIF(Text_Preprocessing__22458[[#This Row],[full_text]],{"*makan siang gratis*";"*MBG*";"*makan gratis*";"*makan bergizi gratis*";"*makangratis*";"*makanan gratis*"})),"Relevan","Tidak Relevan")</f>
        <v>Relevan</v>
      </c>
    </row>
    <row r="17" spans="1:11" x14ac:dyDescent="0.35">
      <c r="A17">
        <f t="shared" si="0"/>
        <v>16</v>
      </c>
      <c r="B17" t="s">
        <v>1684</v>
      </c>
      <c r="C17" t="s">
        <v>38</v>
      </c>
      <c r="D17" t="s">
        <v>3628</v>
      </c>
      <c r="E17" t="s">
        <v>1685</v>
      </c>
      <c r="F17" t="s">
        <v>1686</v>
      </c>
      <c r="G17" t="s">
        <v>1687</v>
      </c>
      <c r="H17" t="s">
        <v>1688</v>
      </c>
      <c r="I17" t="s">
        <v>1689</v>
      </c>
      <c r="J17" s="5" t="str" cm="1">
        <f t="array" ref="J17">IF(SUM(COUNTIF(Text_Preprocessing__22458[[#This Row],[full_text]],{"*makan siang gratis*";"*MBG*";"*makan gratis*";"*makan bergizi gratis*";"*makangratis*";"*makanan gratis*"})),"Relevan","Tidak Relevan")</f>
        <v>Relevan</v>
      </c>
    </row>
    <row r="18" spans="1:11" x14ac:dyDescent="0.35">
      <c r="A18">
        <f t="shared" si="0"/>
        <v>17</v>
      </c>
      <c r="B18" t="s">
        <v>1690</v>
      </c>
      <c r="C18" t="s">
        <v>40</v>
      </c>
      <c r="D18" t="s">
        <v>3629</v>
      </c>
      <c r="E18" t="s">
        <v>1691</v>
      </c>
      <c r="F18" t="s">
        <v>1692</v>
      </c>
      <c r="G18" t="s">
        <v>1693</v>
      </c>
      <c r="H18" t="s">
        <v>1693</v>
      </c>
      <c r="I18" t="s">
        <v>1694</v>
      </c>
      <c r="J18" s="5" t="str" cm="1">
        <f t="array" ref="J18">IF(SUM(COUNTIF(Text_Preprocessing__22458[[#This Row],[full_text]],{"*makan siang gratis*";"*MBG*";"*makan gratis*";"*makan bergizi gratis*";"*makangratis*";"*makanan gratis*"})),"Relevan","Tidak Relevan")</f>
        <v>Tidak Relevan</v>
      </c>
      <c r="K18" t="s">
        <v>3622</v>
      </c>
    </row>
    <row r="19" spans="1:11" x14ac:dyDescent="0.35">
      <c r="A19">
        <f t="shared" si="0"/>
        <v>18</v>
      </c>
      <c r="B19" t="s">
        <v>1695</v>
      </c>
      <c r="C19" t="s">
        <v>42</v>
      </c>
      <c r="D19" t="s">
        <v>3628</v>
      </c>
      <c r="E19" t="s">
        <v>1696</v>
      </c>
      <c r="F19" t="s">
        <v>1697</v>
      </c>
      <c r="G19" t="s">
        <v>1698</v>
      </c>
      <c r="H19" t="s">
        <v>1698</v>
      </c>
      <c r="I19" t="s">
        <v>1699</v>
      </c>
      <c r="J19" s="5" t="str" cm="1">
        <f t="array" ref="J19">IF(SUM(COUNTIF(Text_Preprocessing__22458[[#This Row],[full_text]],{"*makan siang gratis*";"*MBG*";"*makan gratis*";"*makan bergizi gratis*";"*makangratis*";"*makanan gratis*"})),"Relevan","Tidak Relevan")</f>
        <v>Tidak Relevan</v>
      </c>
      <c r="K19" t="s">
        <v>3622</v>
      </c>
    </row>
    <row r="20" spans="1:11" x14ac:dyDescent="0.35">
      <c r="A20">
        <f t="shared" si="0"/>
        <v>19</v>
      </c>
      <c r="B20" t="s">
        <v>1700</v>
      </c>
      <c r="C20" t="s">
        <v>44</v>
      </c>
      <c r="D20" t="s">
        <v>3628</v>
      </c>
      <c r="E20" t="s">
        <v>1701</v>
      </c>
      <c r="F20" t="s">
        <v>1702</v>
      </c>
      <c r="G20" t="s">
        <v>1703</v>
      </c>
      <c r="H20" t="s">
        <v>1703</v>
      </c>
      <c r="I20" t="s">
        <v>1704</v>
      </c>
      <c r="J20" s="5" t="str" cm="1">
        <f t="array" ref="J20">IF(SUM(COUNTIF(Text_Preprocessing__22458[[#This Row],[full_text]],{"*makan siang gratis*";"*MBG*";"*makan gratis*";"*makan bergizi gratis*";"*makangratis*";"*makanan gratis*"})),"Relevan","Tidak Relevan")</f>
        <v>Tidak Relevan</v>
      </c>
      <c r="K20" t="s">
        <v>3622</v>
      </c>
    </row>
    <row r="21" spans="1:11" x14ac:dyDescent="0.35">
      <c r="A21">
        <f t="shared" si="0"/>
        <v>20</v>
      </c>
      <c r="B21" t="s">
        <v>1711</v>
      </c>
      <c r="C21" t="s">
        <v>47</v>
      </c>
      <c r="D21" t="s">
        <v>3628</v>
      </c>
      <c r="E21" t="s">
        <v>1712</v>
      </c>
      <c r="F21" t="s">
        <v>1713</v>
      </c>
      <c r="G21" t="s">
        <v>1714</v>
      </c>
      <c r="H21" t="s">
        <v>1715</v>
      </c>
      <c r="I21" t="s">
        <v>1716</v>
      </c>
      <c r="J21" s="5" t="str" cm="1">
        <f t="array" ref="J21">IF(SUM(COUNTIF(Text_Preprocessing__22458[[#This Row],[full_text]],{"*makan siang gratis*";"*MBG*";"*makan gratis*";"*makan bergizi gratis*";"*makangratis*";"*makanan gratis*"})),"Relevan","Tidak Relevan")</f>
        <v>Tidak Relevan</v>
      </c>
      <c r="K21" t="s">
        <v>3622</v>
      </c>
    </row>
    <row r="22" spans="1:11" x14ac:dyDescent="0.35">
      <c r="A22">
        <f t="shared" si="0"/>
        <v>21</v>
      </c>
      <c r="B22" t="s">
        <v>1717</v>
      </c>
      <c r="C22" t="s">
        <v>49</v>
      </c>
      <c r="D22" t="s">
        <v>3628</v>
      </c>
      <c r="E22" t="s">
        <v>1718</v>
      </c>
      <c r="F22" t="s">
        <v>1719</v>
      </c>
      <c r="G22" t="s">
        <v>1720</v>
      </c>
      <c r="H22" t="s">
        <v>1720</v>
      </c>
      <c r="I22" t="s">
        <v>1721</v>
      </c>
      <c r="J22" s="5" t="str" cm="1">
        <f t="array" ref="J22">IF(SUM(COUNTIF(Text_Preprocessing__22458[[#This Row],[full_text]],{"*makan siang gratis*";"*MBG*";"*makan gratis*";"*makan bergizi gratis*";"*makangratis*";"*makanan gratis*"})),"Relevan","Tidak Relevan")</f>
        <v>Relevan</v>
      </c>
    </row>
    <row r="23" spans="1:11" x14ac:dyDescent="0.35">
      <c r="A23">
        <f t="shared" si="0"/>
        <v>22</v>
      </c>
      <c r="B23" t="s">
        <v>1728</v>
      </c>
      <c r="C23" t="s">
        <v>52</v>
      </c>
      <c r="D23" t="s">
        <v>3628</v>
      </c>
      <c r="E23" t="s">
        <v>1729</v>
      </c>
      <c r="F23" t="s">
        <v>1730</v>
      </c>
      <c r="G23" t="s">
        <v>1731</v>
      </c>
      <c r="H23" t="s">
        <v>1731</v>
      </c>
      <c r="I23" t="s">
        <v>1732</v>
      </c>
      <c r="J23" s="5" t="str" cm="1">
        <f t="array" ref="J23">IF(SUM(COUNTIF(Text_Preprocessing__22458[[#This Row],[full_text]],{"*makan siang gratis*";"*MBG*";"*makan gratis*";"*makan bergizi gratis*";"*makangratis*";"*makanan gratis*"})),"Relevan","Tidak Relevan")</f>
        <v>Relevan</v>
      </c>
    </row>
    <row r="24" spans="1:11" x14ac:dyDescent="0.35">
      <c r="A24">
        <f t="shared" si="0"/>
        <v>23</v>
      </c>
      <c r="B24" t="s">
        <v>1733</v>
      </c>
      <c r="C24" t="s">
        <v>54</v>
      </c>
      <c r="D24" t="s">
        <v>3628</v>
      </c>
      <c r="E24" t="s">
        <v>1734</v>
      </c>
      <c r="F24" t="s">
        <v>1735</v>
      </c>
      <c r="G24" t="s">
        <v>1736</v>
      </c>
      <c r="H24" t="s">
        <v>1737</v>
      </c>
      <c r="I24" t="s">
        <v>1738</v>
      </c>
      <c r="J24" s="5" t="str" cm="1">
        <f t="array" ref="J24">IF(SUM(COUNTIF(Text_Preprocessing__22458[[#This Row],[full_text]],{"*makan siang gratis*";"*MBG*";"*makan gratis*";"*makan bergizi gratis*";"*makangratis*";"*makanan gratis*"})),"Relevan","Tidak Relevan")</f>
        <v>Relevan</v>
      </c>
    </row>
    <row r="25" spans="1:11" x14ac:dyDescent="0.35">
      <c r="A25">
        <f t="shared" si="0"/>
        <v>24</v>
      </c>
      <c r="B25" t="s">
        <v>1739</v>
      </c>
      <c r="C25" t="s">
        <v>56</v>
      </c>
      <c r="D25" t="s">
        <v>3628</v>
      </c>
      <c r="E25" t="s">
        <v>1740</v>
      </c>
      <c r="F25" t="s">
        <v>1741</v>
      </c>
      <c r="G25" t="s">
        <v>1742</v>
      </c>
      <c r="H25" t="s">
        <v>1743</v>
      </c>
      <c r="I25" t="s">
        <v>1744</v>
      </c>
      <c r="J25" s="5" t="str" cm="1">
        <f t="array" ref="J25">IF(SUM(COUNTIF(Text_Preprocessing__22458[[#This Row],[full_text]],{"*makan siang gratis*";"*MBG*";"*makan gratis*";"*makan bergizi gratis*";"*makangratis*";"*makanan gratis*"})),"Relevan","Tidak Relevan")</f>
        <v>Relevan</v>
      </c>
    </row>
    <row r="26" spans="1:11" x14ac:dyDescent="0.35">
      <c r="A26">
        <f t="shared" si="0"/>
        <v>25</v>
      </c>
      <c r="B26" t="s">
        <v>1745</v>
      </c>
      <c r="C26" t="s">
        <v>58</v>
      </c>
      <c r="D26" t="s">
        <v>3628</v>
      </c>
      <c r="E26" t="s">
        <v>1746</v>
      </c>
      <c r="F26" t="s">
        <v>1747</v>
      </c>
      <c r="G26" t="s">
        <v>1748</v>
      </c>
      <c r="H26" t="s">
        <v>1748</v>
      </c>
      <c r="I26" t="s">
        <v>1749</v>
      </c>
      <c r="J26" s="5" t="str" cm="1">
        <f t="array" ref="J26">IF(SUM(COUNTIF(Text_Preprocessing__22458[[#This Row],[full_text]],{"*makan siang gratis*";"*MBG*";"*makan gratis*";"*makan bergizi gratis*";"*makangratis*";"*makanan gratis*"})),"Relevan","Tidak Relevan")</f>
        <v>Relevan</v>
      </c>
    </row>
    <row r="27" spans="1:11" x14ac:dyDescent="0.35">
      <c r="A27">
        <f t="shared" si="0"/>
        <v>26</v>
      </c>
      <c r="B27" t="s">
        <v>1750</v>
      </c>
      <c r="C27" t="s">
        <v>60</v>
      </c>
      <c r="D27" t="s">
        <v>3628</v>
      </c>
      <c r="E27" t="s">
        <v>1751</v>
      </c>
      <c r="F27" t="s">
        <v>1752</v>
      </c>
      <c r="G27" t="s">
        <v>1753</v>
      </c>
      <c r="H27" t="s">
        <v>1754</v>
      </c>
      <c r="I27" t="s">
        <v>1755</v>
      </c>
      <c r="J27" s="5" t="str" cm="1">
        <f t="array" ref="J27">IF(SUM(COUNTIF(Text_Preprocessing__22458[[#This Row],[full_text]],{"*makan siang gratis*";"*MBG*";"*makan gratis*";"*makan bergizi gratis*";"*makangratis*";"*makanan gratis*"})),"Relevan","Tidak Relevan")</f>
        <v>Relevan</v>
      </c>
    </row>
    <row r="28" spans="1:11" x14ac:dyDescent="0.35">
      <c r="A28">
        <f t="shared" si="0"/>
        <v>27</v>
      </c>
      <c r="B28" t="s">
        <v>1756</v>
      </c>
      <c r="C28" t="s">
        <v>62</v>
      </c>
      <c r="D28" t="s">
        <v>3628</v>
      </c>
      <c r="E28" t="s">
        <v>1757</v>
      </c>
      <c r="F28" t="s">
        <v>1758</v>
      </c>
      <c r="G28" t="s">
        <v>1759</v>
      </c>
      <c r="H28" t="s">
        <v>1760</v>
      </c>
      <c r="I28" t="s">
        <v>1761</v>
      </c>
      <c r="J28" s="5" t="str" cm="1">
        <f t="array" ref="J28">IF(SUM(COUNTIF(Text_Preprocessing__22458[[#This Row],[full_text]],{"*makan siang gratis*";"*MBG*";"*makan gratis*";"*makan bergizi gratis*";"*makangratis*";"*makanan gratis*"})),"Relevan","Tidak Relevan")</f>
        <v>Relevan</v>
      </c>
    </row>
    <row r="29" spans="1:11" x14ac:dyDescent="0.35">
      <c r="A29">
        <f t="shared" si="0"/>
        <v>28</v>
      </c>
      <c r="B29" t="s">
        <v>1762</v>
      </c>
      <c r="C29" t="s">
        <v>64</v>
      </c>
      <c r="D29" t="s">
        <v>3628</v>
      </c>
      <c r="E29" t="s">
        <v>1763</v>
      </c>
      <c r="F29" t="s">
        <v>1764</v>
      </c>
      <c r="G29" t="s">
        <v>1765</v>
      </c>
      <c r="H29" t="s">
        <v>1766</v>
      </c>
      <c r="I29" t="s">
        <v>1767</v>
      </c>
      <c r="J29" s="5" t="str" cm="1">
        <f t="array" ref="J29">IF(SUM(COUNTIF(Text_Preprocessing__22458[[#This Row],[full_text]],{"*makan siang gratis*";"*MBG*";"*makan gratis*";"*makan bergizi gratis*";"*makangratis*";"*makanan gratis*"})),"Relevan","Tidak Relevan")</f>
        <v>Relevan</v>
      </c>
    </row>
    <row r="30" spans="1:11" x14ac:dyDescent="0.35">
      <c r="A30">
        <f t="shared" si="0"/>
        <v>29</v>
      </c>
      <c r="B30" t="s">
        <v>1768</v>
      </c>
      <c r="C30" t="s">
        <v>66</v>
      </c>
      <c r="D30" t="s">
        <v>3628</v>
      </c>
      <c r="E30" t="s">
        <v>1769</v>
      </c>
      <c r="F30" t="s">
        <v>1770</v>
      </c>
      <c r="G30" t="s">
        <v>1771</v>
      </c>
      <c r="H30" t="s">
        <v>1771</v>
      </c>
      <c r="I30" t="s">
        <v>1772</v>
      </c>
      <c r="J30" s="5" t="str" cm="1">
        <f t="array" ref="J30">IF(SUM(COUNTIF(Text_Preprocessing__22458[[#This Row],[full_text]],{"*makan siang gratis*";"*MBG*";"*makan gratis*";"*makan bergizi gratis*";"*makangratis*";"*makanan gratis*"})),"Relevan","Tidak Relevan")</f>
        <v>Relevan</v>
      </c>
    </row>
    <row r="31" spans="1:11" x14ac:dyDescent="0.35">
      <c r="A31">
        <f t="shared" si="0"/>
        <v>30</v>
      </c>
      <c r="B31" t="s">
        <v>1773</v>
      </c>
      <c r="C31" t="s">
        <v>68</v>
      </c>
      <c r="D31" t="s">
        <v>3628</v>
      </c>
      <c r="E31" t="s">
        <v>1774</v>
      </c>
      <c r="F31" t="s">
        <v>1775</v>
      </c>
      <c r="G31" t="s">
        <v>1776</v>
      </c>
      <c r="H31" t="s">
        <v>1776</v>
      </c>
      <c r="I31" t="s">
        <v>1777</v>
      </c>
      <c r="J31" s="5" t="str" cm="1">
        <f t="array" ref="J31">IF(SUM(COUNTIF(Text_Preprocessing__22458[[#This Row],[full_text]],{"*makan siang gratis*";"*MBG*";"*makan gratis*";"*makan bergizi gratis*";"*makangratis*";"*makanan gratis*"})),"Relevan","Tidak Relevan")</f>
        <v>Relevan</v>
      </c>
    </row>
    <row r="32" spans="1:11" x14ac:dyDescent="0.35">
      <c r="A32">
        <f t="shared" si="0"/>
        <v>31</v>
      </c>
      <c r="B32" t="s">
        <v>1778</v>
      </c>
      <c r="C32" t="s">
        <v>70</v>
      </c>
      <c r="D32" t="s">
        <v>3628</v>
      </c>
      <c r="E32" t="s">
        <v>1779</v>
      </c>
      <c r="F32" t="s">
        <v>1780</v>
      </c>
      <c r="G32" t="s">
        <v>1781</v>
      </c>
      <c r="H32" t="s">
        <v>1781</v>
      </c>
      <c r="I32" t="s">
        <v>1782</v>
      </c>
      <c r="J32" s="5" t="str" cm="1">
        <f t="array" ref="J32">IF(SUM(COUNTIF(Text_Preprocessing__22458[[#This Row],[full_text]],{"*makan siang gratis*";"*MBG*";"*makan gratis*";"*makan bergizi gratis*";"*makangratis*";"*makanan gratis*"})),"Relevan","Tidak Relevan")</f>
        <v>Tidak Relevan</v>
      </c>
      <c r="K32" t="s">
        <v>3622</v>
      </c>
    </row>
    <row r="33" spans="1:11" x14ac:dyDescent="0.35">
      <c r="A33">
        <f t="shared" si="0"/>
        <v>32</v>
      </c>
      <c r="B33" t="s">
        <v>1783</v>
      </c>
      <c r="C33" t="s">
        <v>72</v>
      </c>
      <c r="D33" t="s">
        <v>3628</v>
      </c>
      <c r="E33" t="s">
        <v>1784</v>
      </c>
      <c r="F33" t="s">
        <v>1785</v>
      </c>
      <c r="G33" t="s">
        <v>1786</v>
      </c>
      <c r="H33" t="s">
        <v>1786</v>
      </c>
      <c r="I33" t="s">
        <v>1787</v>
      </c>
      <c r="J33" s="5" t="str" cm="1">
        <f t="array" ref="J33">IF(SUM(COUNTIF(Text_Preprocessing__22458[[#This Row],[full_text]],{"*makan siang gratis*";"*MBG*";"*makan gratis*";"*makan bergizi gratis*";"*makangratis*";"*makanan gratis*"})),"Relevan","Tidak Relevan")</f>
        <v>Tidak Relevan</v>
      </c>
      <c r="K33" t="s">
        <v>3622</v>
      </c>
    </row>
    <row r="34" spans="1:11" x14ac:dyDescent="0.35">
      <c r="A34">
        <f t="shared" si="0"/>
        <v>33</v>
      </c>
      <c r="B34" t="s">
        <v>1788</v>
      </c>
      <c r="C34" t="s">
        <v>74</v>
      </c>
      <c r="D34" t="s">
        <v>3629</v>
      </c>
      <c r="E34" t="s">
        <v>1789</v>
      </c>
      <c r="F34" t="s">
        <v>1730</v>
      </c>
      <c r="G34" t="s">
        <v>1790</v>
      </c>
      <c r="H34" t="s">
        <v>1790</v>
      </c>
      <c r="I34" t="s">
        <v>1791</v>
      </c>
      <c r="J34" s="5" t="str" cm="1">
        <f t="array" ref="J34">IF(SUM(COUNTIF(Text_Preprocessing__22458[[#This Row],[full_text]],{"*makan siang gratis*";"*MBG*";"*makan gratis*";"*makan bergizi gratis*";"*makangratis*";"*makanan gratis*"})),"Relevan","Tidak Relevan")</f>
        <v>Relevan</v>
      </c>
    </row>
    <row r="35" spans="1:11" x14ac:dyDescent="0.35">
      <c r="A35">
        <f t="shared" si="0"/>
        <v>34</v>
      </c>
      <c r="B35" t="s">
        <v>1792</v>
      </c>
      <c r="C35" t="s">
        <v>76</v>
      </c>
      <c r="D35" t="s">
        <v>3634</v>
      </c>
      <c r="E35" t="s">
        <v>1793</v>
      </c>
      <c r="F35" t="s">
        <v>1794</v>
      </c>
      <c r="G35" t="s">
        <v>1795</v>
      </c>
      <c r="H35" t="s">
        <v>1795</v>
      </c>
      <c r="I35" t="s">
        <v>1796</v>
      </c>
      <c r="J35" s="5" t="str" cm="1">
        <f t="array" ref="J35">IF(SUM(COUNTIF(Text_Preprocessing__22458[[#This Row],[full_text]],{"*makan siang gratis*";"*MBG*";"*makan gratis*";"*makan bergizi gratis*";"*makangratis*";"*makanan gratis*"})),"Relevan","Tidak Relevan")</f>
        <v>Relevan</v>
      </c>
    </row>
    <row r="36" spans="1:11" x14ac:dyDescent="0.35">
      <c r="A36">
        <f t="shared" si="0"/>
        <v>35</v>
      </c>
      <c r="B36" t="s">
        <v>1797</v>
      </c>
      <c r="C36" t="s">
        <v>78</v>
      </c>
      <c r="D36" t="s">
        <v>3629</v>
      </c>
      <c r="E36" t="s">
        <v>1798</v>
      </c>
      <c r="F36" t="s">
        <v>1799</v>
      </c>
      <c r="G36" t="s">
        <v>1800</v>
      </c>
      <c r="H36" t="s">
        <v>1800</v>
      </c>
      <c r="I36" t="s">
        <v>1801</v>
      </c>
      <c r="J36" s="5" t="str" cm="1">
        <f t="array" ref="J36">IF(SUM(COUNTIF(Text_Preprocessing__22458[[#This Row],[full_text]],{"*makan siang gratis*";"*MBG*";"*makan gratis*";"*makan bergizi gratis*";"*makangratis*";"*makanan gratis*"})),"Relevan","Tidak Relevan")</f>
        <v>Relevan</v>
      </c>
    </row>
    <row r="37" spans="1:11" x14ac:dyDescent="0.35">
      <c r="A37">
        <f t="shared" si="0"/>
        <v>36</v>
      </c>
      <c r="B37" t="s">
        <v>1802</v>
      </c>
      <c r="C37" t="s">
        <v>80</v>
      </c>
      <c r="D37" t="s">
        <v>3630</v>
      </c>
      <c r="E37" t="s">
        <v>1803</v>
      </c>
      <c r="F37" t="s">
        <v>1804</v>
      </c>
      <c r="G37" t="s">
        <v>1805</v>
      </c>
      <c r="H37" t="s">
        <v>1805</v>
      </c>
      <c r="I37" t="s">
        <v>1806</v>
      </c>
      <c r="J37" s="5" t="str" cm="1">
        <f t="array" ref="J37">IF(SUM(COUNTIF(Text_Preprocessing__22458[[#This Row],[full_text]],{"*makan siang gratis*";"*MBG*";"*makan gratis*";"*makan bergizi gratis*";"*makangratis*";"*makanan gratis*"})),"Relevan","Tidak Relevan")</f>
        <v>Relevan</v>
      </c>
    </row>
    <row r="38" spans="1:11" x14ac:dyDescent="0.35">
      <c r="A38">
        <f t="shared" si="0"/>
        <v>37</v>
      </c>
      <c r="B38" t="s">
        <v>1807</v>
      </c>
      <c r="C38" t="s">
        <v>82</v>
      </c>
      <c r="D38" t="s">
        <v>3629</v>
      </c>
      <c r="E38" t="s">
        <v>1808</v>
      </c>
      <c r="F38" t="s">
        <v>1809</v>
      </c>
      <c r="G38" t="s">
        <v>1810</v>
      </c>
      <c r="H38" t="s">
        <v>1810</v>
      </c>
      <c r="I38" t="s">
        <v>1811</v>
      </c>
      <c r="J38" s="5" t="str" cm="1">
        <f t="array" ref="J38">IF(SUM(COUNTIF(Text_Preprocessing__22458[[#This Row],[full_text]],{"*makan siang gratis*";"*MBG*";"*makan gratis*";"*makan bergizi gratis*";"*makangratis*";"*makanan gratis*"})),"Relevan","Tidak Relevan")</f>
        <v>Relevan</v>
      </c>
    </row>
    <row r="39" spans="1:11" x14ac:dyDescent="0.35">
      <c r="A39">
        <f t="shared" si="0"/>
        <v>38</v>
      </c>
      <c r="B39" t="s">
        <v>1812</v>
      </c>
      <c r="C39" t="s">
        <v>84</v>
      </c>
      <c r="D39" t="s">
        <v>3634</v>
      </c>
      <c r="E39" t="s">
        <v>1813</v>
      </c>
      <c r="F39" t="s">
        <v>1692</v>
      </c>
      <c r="G39" t="s">
        <v>1814</v>
      </c>
      <c r="H39" t="s">
        <v>1814</v>
      </c>
      <c r="I39" t="s">
        <v>1815</v>
      </c>
      <c r="J39" s="5" t="str" cm="1">
        <f t="array" ref="J39">IF(SUM(COUNTIF(Text_Preprocessing__22458[[#This Row],[full_text]],{"*makan siang gratis*";"*MBG*";"*makan gratis*";"*makan bergizi gratis*";"*makangratis*";"*makanan gratis*"})),"Relevan","Tidak Relevan")</f>
        <v>Tidak Relevan</v>
      </c>
      <c r="K39" t="s">
        <v>3622</v>
      </c>
    </row>
    <row r="40" spans="1:11" x14ac:dyDescent="0.35">
      <c r="A40">
        <f t="shared" si="0"/>
        <v>39</v>
      </c>
      <c r="B40" t="s">
        <v>1821</v>
      </c>
      <c r="C40" t="s">
        <v>87</v>
      </c>
      <c r="D40" t="s">
        <v>3629</v>
      </c>
      <c r="E40" t="s">
        <v>1822</v>
      </c>
      <c r="F40" t="s">
        <v>1823</v>
      </c>
      <c r="G40" t="s">
        <v>1824</v>
      </c>
      <c r="H40" t="s">
        <v>1825</v>
      </c>
      <c r="I40" t="s">
        <v>1826</v>
      </c>
      <c r="J40" s="5" t="str" cm="1">
        <f t="array" ref="J40">IF(SUM(COUNTIF(Text_Preprocessing__22458[[#This Row],[full_text]],{"*makan siang gratis*";"*MBG*";"*makan gratis*";"*makan bergizi gratis*";"*makangratis*";"*makanan gratis*"})),"Relevan","Tidak Relevan")</f>
        <v>Relevan</v>
      </c>
    </row>
    <row r="41" spans="1:11" x14ac:dyDescent="0.35">
      <c r="A41">
        <f t="shared" si="0"/>
        <v>40</v>
      </c>
      <c r="B41" t="s">
        <v>1837</v>
      </c>
      <c r="C41" t="s">
        <v>91</v>
      </c>
      <c r="D41" t="s">
        <v>3632</v>
      </c>
      <c r="E41" t="s">
        <v>1838</v>
      </c>
      <c r="F41" t="s">
        <v>1839</v>
      </c>
      <c r="G41" t="s">
        <v>1840</v>
      </c>
      <c r="H41" t="s">
        <v>1840</v>
      </c>
      <c r="I41" t="s">
        <v>1841</v>
      </c>
      <c r="J41" s="5" t="str" cm="1">
        <f t="array" ref="J41">IF(SUM(COUNTIF(Text_Preprocessing__22458[[#This Row],[full_text]],{"*makan siang gratis*";"*MBG*";"*makan gratis*";"*makan bergizi gratis*";"*makangratis*";"*makanan gratis*"})),"Relevan","Tidak Relevan")</f>
        <v>Relevan</v>
      </c>
    </row>
    <row r="42" spans="1:11" x14ac:dyDescent="0.35">
      <c r="A42">
        <f t="shared" si="0"/>
        <v>41</v>
      </c>
      <c r="B42" t="s">
        <v>1842</v>
      </c>
      <c r="C42" t="s">
        <v>93</v>
      </c>
      <c r="D42" t="s">
        <v>3634</v>
      </c>
      <c r="E42" t="s">
        <v>1843</v>
      </c>
      <c r="F42" t="s">
        <v>1844</v>
      </c>
      <c r="G42" t="s">
        <v>1845</v>
      </c>
      <c r="H42" t="s">
        <v>1845</v>
      </c>
      <c r="I42" t="s">
        <v>1846</v>
      </c>
      <c r="J42" s="5" t="str" cm="1">
        <f t="array" ref="J42">IF(SUM(COUNTIF(Text_Preprocessing__22458[[#This Row],[full_text]],{"*makan siang gratis*";"*MBG*";"*makan gratis*";"*makan bergizi gratis*";"*makangratis*";"*makanan gratis*"})),"Relevan","Tidak Relevan")</f>
        <v>Relevan</v>
      </c>
    </row>
    <row r="43" spans="1:11" x14ac:dyDescent="0.35">
      <c r="A43">
        <f t="shared" si="0"/>
        <v>42</v>
      </c>
      <c r="B43" t="s">
        <v>1860</v>
      </c>
      <c r="C43" t="s">
        <v>98</v>
      </c>
      <c r="D43" t="s">
        <v>3629</v>
      </c>
      <c r="E43" t="s">
        <v>1861</v>
      </c>
      <c r="F43" t="s">
        <v>1692</v>
      </c>
      <c r="G43" t="s">
        <v>1862</v>
      </c>
      <c r="H43" t="s">
        <v>1862</v>
      </c>
      <c r="I43" t="s">
        <v>1863</v>
      </c>
      <c r="J43" s="5" t="str" cm="1">
        <f t="array" ref="J43">IF(SUM(COUNTIF(Text_Preprocessing__22458[[#This Row],[full_text]],{"*makan siang gratis*";"*MBG*";"*makan gratis*";"*makan bergizi gratis*";"*makangratis*";"*makanan gratis*"})),"Relevan","Tidak Relevan")</f>
        <v>Relevan</v>
      </c>
    </row>
    <row r="44" spans="1:11" x14ac:dyDescent="0.35">
      <c r="A44">
        <f t="shared" si="0"/>
        <v>43</v>
      </c>
      <c r="B44" t="s">
        <v>1864</v>
      </c>
      <c r="C44" t="s">
        <v>100</v>
      </c>
      <c r="D44" t="s">
        <v>3634</v>
      </c>
      <c r="E44" t="s">
        <v>1865</v>
      </c>
      <c r="F44" t="s">
        <v>1730</v>
      </c>
      <c r="G44" t="s">
        <v>1866</v>
      </c>
      <c r="H44" t="s">
        <v>1866</v>
      </c>
      <c r="I44" t="s">
        <v>1867</v>
      </c>
      <c r="J44" s="5" t="str" cm="1">
        <f t="array" ref="J44">IF(SUM(COUNTIF(Text_Preprocessing__22458[[#This Row],[full_text]],{"*makan siang gratis*";"*MBG*";"*makan gratis*";"*makan bergizi gratis*";"*makangratis*";"*makanan gratis*"})),"Relevan","Tidak Relevan")</f>
        <v>Relevan</v>
      </c>
    </row>
    <row r="45" spans="1:11" x14ac:dyDescent="0.35">
      <c r="A45">
        <f t="shared" si="0"/>
        <v>44</v>
      </c>
      <c r="B45" t="s">
        <v>1868</v>
      </c>
      <c r="C45" t="s">
        <v>102</v>
      </c>
      <c r="D45" t="s">
        <v>3634</v>
      </c>
      <c r="E45" t="s">
        <v>1869</v>
      </c>
      <c r="F45" t="s">
        <v>1596</v>
      </c>
      <c r="G45" t="s">
        <v>1870</v>
      </c>
      <c r="H45" t="s">
        <v>1871</v>
      </c>
      <c r="I45" t="s">
        <v>1872</v>
      </c>
      <c r="J45" s="5" t="str" cm="1">
        <f t="array" ref="J45">IF(SUM(COUNTIF(Text_Preprocessing__22458[[#This Row],[full_text]],{"*makan siang gratis*";"*MBG*";"*makan gratis*";"*makan bergizi gratis*";"*makangratis*";"*makanan gratis*"})),"Relevan","Tidak Relevan")</f>
        <v>Relevan</v>
      </c>
    </row>
    <row r="46" spans="1:11" x14ac:dyDescent="0.35">
      <c r="A46">
        <f t="shared" si="0"/>
        <v>45</v>
      </c>
      <c r="B46" t="s">
        <v>1877</v>
      </c>
      <c r="C46" t="s">
        <v>105</v>
      </c>
      <c r="D46" t="s">
        <v>3634</v>
      </c>
      <c r="E46" t="s">
        <v>1878</v>
      </c>
      <c r="F46" t="s">
        <v>1879</v>
      </c>
      <c r="G46" t="s">
        <v>1880</v>
      </c>
      <c r="H46" t="s">
        <v>1880</v>
      </c>
      <c r="I46" t="s">
        <v>1881</v>
      </c>
      <c r="J46" s="5" t="str" cm="1">
        <f t="array" ref="J46">IF(SUM(COUNTIF(Text_Preprocessing__22458[[#This Row],[full_text]],{"*makan siang gratis*";"*MBG*";"*makan gratis*";"*makan bergizi gratis*";"*makangratis*";"*makanan gratis*"})),"Relevan","Tidak Relevan")</f>
        <v>Relevan</v>
      </c>
    </row>
    <row r="47" spans="1:11" x14ac:dyDescent="0.35">
      <c r="A47">
        <f t="shared" si="0"/>
        <v>46</v>
      </c>
      <c r="B47" t="s">
        <v>1882</v>
      </c>
      <c r="C47" t="s">
        <v>108</v>
      </c>
      <c r="D47" t="s">
        <v>3632</v>
      </c>
      <c r="E47" t="s">
        <v>1883</v>
      </c>
      <c r="F47" t="s">
        <v>1884</v>
      </c>
      <c r="G47" t="s">
        <v>1883</v>
      </c>
      <c r="H47" t="s">
        <v>1883</v>
      </c>
      <c r="I47" t="s">
        <v>1885</v>
      </c>
      <c r="J47" s="5" t="str" cm="1">
        <f t="array" ref="J47">IF(SUM(COUNTIF(Text_Preprocessing__22458[[#This Row],[full_text]],{"*makan siang gratis*";"*MBG*";"*makan gratis*";"*makan bergizi gratis*";"*makangratis*";"*makanan gratis*"})),"Relevan","Tidak Relevan")</f>
        <v>Relevan</v>
      </c>
    </row>
    <row r="48" spans="1:11" x14ac:dyDescent="0.35">
      <c r="A48">
        <f t="shared" si="0"/>
        <v>47</v>
      </c>
      <c r="B48" t="s">
        <v>1886</v>
      </c>
      <c r="C48" t="s">
        <v>110</v>
      </c>
      <c r="D48" t="s">
        <v>3629</v>
      </c>
      <c r="E48" t="s">
        <v>1887</v>
      </c>
      <c r="F48" t="s">
        <v>1888</v>
      </c>
      <c r="G48" t="s">
        <v>1887</v>
      </c>
      <c r="H48" t="s">
        <v>1889</v>
      </c>
      <c r="I48" t="s">
        <v>1890</v>
      </c>
      <c r="J48" s="5" t="str" cm="1">
        <f t="array" ref="J48">IF(SUM(COUNTIF(Text_Preprocessing__22458[[#This Row],[full_text]],{"*makan siang gratis*";"*MBG*";"*makan gratis*";"*makan bergizi gratis*";"*makangratis*";"*makanan gratis*"})),"Relevan","Tidak Relevan")</f>
        <v>Relevan</v>
      </c>
    </row>
    <row r="49" spans="1:10" x14ac:dyDescent="0.35">
      <c r="A49">
        <f t="shared" si="0"/>
        <v>48</v>
      </c>
      <c r="B49" t="s">
        <v>1891</v>
      </c>
      <c r="C49" t="s">
        <v>112</v>
      </c>
      <c r="D49" t="s">
        <v>3634</v>
      </c>
      <c r="E49" t="s">
        <v>1892</v>
      </c>
      <c r="F49" t="s">
        <v>1893</v>
      </c>
      <c r="G49" t="s">
        <v>1894</v>
      </c>
      <c r="H49" t="s">
        <v>1894</v>
      </c>
      <c r="I49" t="s">
        <v>1895</v>
      </c>
      <c r="J49" s="5" t="str" cm="1">
        <f t="array" ref="J49">IF(SUM(COUNTIF(Text_Preprocessing__22458[[#This Row],[full_text]],{"*makan siang gratis*";"*MBG*";"*makan gratis*";"*makan bergizi gratis*";"*makangratis*";"*makanan gratis*"})),"Relevan","Tidak Relevan")</f>
        <v>Relevan</v>
      </c>
    </row>
    <row r="50" spans="1:10" x14ac:dyDescent="0.35">
      <c r="A50">
        <f t="shared" si="0"/>
        <v>49</v>
      </c>
      <c r="B50" t="s">
        <v>1896</v>
      </c>
      <c r="C50" t="s">
        <v>114</v>
      </c>
      <c r="D50" t="s">
        <v>3629</v>
      </c>
      <c r="E50" t="s">
        <v>1897</v>
      </c>
      <c r="F50" t="s">
        <v>1596</v>
      </c>
      <c r="G50" t="s">
        <v>1897</v>
      </c>
      <c r="H50" t="s">
        <v>1897</v>
      </c>
      <c r="I50" t="s">
        <v>1898</v>
      </c>
      <c r="J50" s="5" t="str" cm="1">
        <f t="array" ref="J50">IF(SUM(COUNTIF(Text_Preprocessing__22458[[#This Row],[full_text]],{"*makan siang gratis*";"*MBG*";"*makan gratis*";"*makan bergizi gratis*";"*makangratis*";"*makanan gratis*"})),"Relevan","Tidak Relevan")</f>
        <v>Relevan</v>
      </c>
    </row>
    <row r="51" spans="1:10" x14ac:dyDescent="0.35">
      <c r="A51">
        <f t="shared" si="0"/>
        <v>50</v>
      </c>
      <c r="B51" t="s">
        <v>1899</v>
      </c>
      <c r="C51" t="s">
        <v>116</v>
      </c>
      <c r="D51" t="s">
        <v>3632</v>
      </c>
      <c r="E51" t="s">
        <v>1900</v>
      </c>
      <c r="F51" t="s">
        <v>1829</v>
      </c>
      <c r="G51" t="s">
        <v>1901</v>
      </c>
      <c r="H51" t="s">
        <v>1902</v>
      </c>
      <c r="I51" t="s">
        <v>1903</v>
      </c>
      <c r="J51" s="5" t="str" cm="1">
        <f t="array" ref="J51">IF(SUM(COUNTIF(Text_Preprocessing__22458[[#This Row],[full_text]],{"*makan siang gratis*";"*MBG*";"*makan gratis*";"*makan bergizi gratis*";"*makangratis*";"*makanan gratis*"})),"Relevan","Tidak Relevan")</f>
        <v>Relevan</v>
      </c>
    </row>
    <row r="52" spans="1:10" x14ac:dyDescent="0.35">
      <c r="A52">
        <f t="shared" si="0"/>
        <v>51</v>
      </c>
      <c r="B52" t="s">
        <v>1904</v>
      </c>
      <c r="C52" t="s">
        <v>119</v>
      </c>
      <c r="D52" t="s">
        <v>3634</v>
      </c>
      <c r="E52" t="s">
        <v>1905</v>
      </c>
      <c r="F52" t="s">
        <v>1906</v>
      </c>
      <c r="G52" t="s">
        <v>1907</v>
      </c>
      <c r="H52" t="s">
        <v>1907</v>
      </c>
      <c r="I52" t="s">
        <v>1908</v>
      </c>
      <c r="J52" s="5" t="str" cm="1">
        <f t="array" ref="J52">IF(SUM(COUNTIF(Text_Preprocessing__22458[[#This Row],[full_text]],{"*makan siang gratis*";"*MBG*";"*makan gratis*";"*makan bergizi gratis*";"*makangratis*";"*makanan gratis*"})),"Relevan","Tidak Relevan")</f>
        <v>Relevan</v>
      </c>
    </row>
    <row r="53" spans="1:10" x14ac:dyDescent="0.35">
      <c r="A53">
        <f t="shared" si="0"/>
        <v>52</v>
      </c>
      <c r="B53" t="s">
        <v>1909</v>
      </c>
      <c r="C53" t="s">
        <v>121</v>
      </c>
      <c r="D53" t="s">
        <v>3634</v>
      </c>
      <c r="E53" t="s">
        <v>1910</v>
      </c>
      <c r="F53" t="s">
        <v>1652</v>
      </c>
      <c r="G53" t="s">
        <v>1911</v>
      </c>
      <c r="H53" t="s">
        <v>1911</v>
      </c>
      <c r="I53" t="s">
        <v>1912</v>
      </c>
      <c r="J53" s="5" t="str" cm="1">
        <f t="array" ref="J53">IF(SUM(COUNTIF(Text_Preprocessing__22458[[#This Row],[full_text]],{"*makan siang gratis*";"*MBG*";"*makan gratis*";"*makan bergizi gratis*";"*makangratis*";"*makanan gratis*"})),"Relevan","Tidak Relevan")</f>
        <v>Relevan</v>
      </c>
    </row>
    <row r="54" spans="1:10" x14ac:dyDescent="0.35">
      <c r="A54">
        <f t="shared" si="0"/>
        <v>53</v>
      </c>
      <c r="B54" t="s">
        <v>1913</v>
      </c>
      <c r="C54" t="s">
        <v>123</v>
      </c>
      <c r="D54" t="s">
        <v>3632</v>
      </c>
      <c r="E54" t="s">
        <v>1914</v>
      </c>
      <c r="F54" t="s">
        <v>1915</v>
      </c>
      <c r="G54" t="s">
        <v>1916</v>
      </c>
      <c r="H54" t="s">
        <v>1916</v>
      </c>
      <c r="I54" t="s">
        <v>1917</v>
      </c>
      <c r="J54" s="5" t="str" cm="1">
        <f t="array" ref="J54">IF(SUM(COUNTIF(Text_Preprocessing__22458[[#This Row],[full_text]],{"*makan siang gratis*";"*MBG*";"*makan gratis*";"*makan bergizi gratis*";"*makangratis*";"*makanan gratis*"})),"Relevan","Tidak Relevan")</f>
        <v>Relevan</v>
      </c>
    </row>
    <row r="55" spans="1:10" x14ac:dyDescent="0.35">
      <c r="A55">
        <f t="shared" si="0"/>
        <v>54</v>
      </c>
      <c r="B55" t="s">
        <v>1918</v>
      </c>
      <c r="C55" t="s">
        <v>125</v>
      </c>
      <c r="D55" t="s">
        <v>3628</v>
      </c>
      <c r="E55" t="s">
        <v>1919</v>
      </c>
      <c r="F55" t="s">
        <v>1920</v>
      </c>
      <c r="G55" t="s">
        <v>1921</v>
      </c>
      <c r="H55" t="s">
        <v>1921</v>
      </c>
      <c r="I55" t="s">
        <v>1922</v>
      </c>
      <c r="J55" s="5" t="str" cm="1">
        <f t="array" ref="J55">IF(SUM(COUNTIF(Text_Preprocessing__22458[[#This Row],[full_text]],{"*makan siang gratis*";"*MBG*";"*makan gratis*";"*makan bergizi gratis*";"*makangratis*";"*makanan gratis*"})),"Relevan","Tidak Relevan")</f>
        <v>Relevan</v>
      </c>
    </row>
    <row r="56" spans="1:10" x14ac:dyDescent="0.35">
      <c r="A56">
        <f t="shared" si="0"/>
        <v>55</v>
      </c>
      <c r="B56" t="s">
        <v>1923</v>
      </c>
      <c r="C56" t="s">
        <v>127</v>
      </c>
      <c r="D56" t="s">
        <v>3629</v>
      </c>
      <c r="E56" t="s">
        <v>1924</v>
      </c>
      <c r="F56" t="s">
        <v>1624</v>
      </c>
      <c r="G56" t="s">
        <v>1925</v>
      </c>
      <c r="H56" t="s">
        <v>1925</v>
      </c>
      <c r="I56" t="s">
        <v>1926</v>
      </c>
      <c r="J56" s="5" t="str" cm="1">
        <f t="array" ref="J56">IF(SUM(COUNTIF(Text_Preprocessing__22458[[#This Row],[full_text]],{"*makan siang gratis*";"*MBG*";"*makan gratis*";"*makan bergizi gratis*";"*makangratis*";"*makanan gratis*"})),"Relevan","Tidak Relevan")</f>
        <v>Relevan</v>
      </c>
    </row>
    <row r="57" spans="1:10" x14ac:dyDescent="0.35">
      <c r="A57">
        <f t="shared" si="0"/>
        <v>56</v>
      </c>
      <c r="B57" t="s">
        <v>1927</v>
      </c>
      <c r="C57" t="s">
        <v>129</v>
      </c>
      <c r="D57" t="s">
        <v>3634</v>
      </c>
      <c r="E57" t="s">
        <v>1928</v>
      </c>
      <c r="F57" t="s">
        <v>1929</v>
      </c>
      <c r="G57" t="s">
        <v>1930</v>
      </c>
      <c r="H57" t="s">
        <v>1931</v>
      </c>
      <c r="I57" t="s">
        <v>1932</v>
      </c>
      <c r="J57" s="5" t="str" cm="1">
        <f t="array" ref="J57">IF(SUM(COUNTIF(Text_Preprocessing__22458[[#This Row],[full_text]],{"*makan siang gratis*";"*MBG*";"*makan gratis*";"*makan bergizi gratis*";"*makangratis*";"*makanan gratis*"})),"Relevan","Tidak Relevan")</f>
        <v>Relevan</v>
      </c>
    </row>
    <row r="58" spans="1:10" x14ac:dyDescent="0.35">
      <c r="A58">
        <f t="shared" si="0"/>
        <v>57</v>
      </c>
      <c r="B58" t="s">
        <v>1937</v>
      </c>
      <c r="C58" t="s">
        <v>133</v>
      </c>
      <c r="D58" t="s">
        <v>3634</v>
      </c>
      <c r="E58" t="s">
        <v>1938</v>
      </c>
      <c r="F58" t="s">
        <v>1596</v>
      </c>
      <c r="G58" t="s">
        <v>1938</v>
      </c>
      <c r="H58" t="s">
        <v>1938</v>
      </c>
      <c r="I58" t="s">
        <v>1939</v>
      </c>
      <c r="J58" s="5" t="str" cm="1">
        <f t="array" ref="J58">IF(SUM(COUNTIF(Text_Preprocessing__22458[[#This Row],[full_text]],{"*makan siang gratis*";"*MBG*";"*makan gratis*";"*makan bergizi gratis*";"*makangratis*";"*makanan gratis*"})),"Relevan","Tidak Relevan")</f>
        <v>Relevan</v>
      </c>
    </row>
    <row r="59" spans="1:10" x14ac:dyDescent="0.35">
      <c r="A59">
        <f t="shared" si="0"/>
        <v>58</v>
      </c>
      <c r="B59" t="s">
        <v>1940</v>
      </c>
      <c r="C59" t="s">
        <v>135</v>
      </c>
      <c r="D59" t="s">
        <v>3629</v>
      </c>
      <c r="E59" t="s">
        <v>1941</v>
      </c>
      <c r="F59" t="s">
        <v>1692</v>
      </c>
      <c r="G59" t="s">
        <v>1942</v>
      </c>
      <c r="H59" t="s">
        <v>1942</v>
      </c>
      <c r="I59" t="s">
        <v>1943</v>
      </c>
      <c r="J59" s="5" t="str" cm="1">
        <f t="array" ref="J59">IF(SUM(COUNTIF(Text_Preprocessing__22458[[#This Row],[full_text]],{"*makan siang gratis*";"*MBG*";"*makan gratis*";"*makan bergizi gratis*";"*makangratis*";"*makanan gratis*"})),"Relevan","Tidak Relevan")</f>
        <v>Relevan</v>
      </c>
    </row>
    <row r="60" spans="1:10" x14ac:dyDescent="0.35">
      <c r="A60">
        <f t="shared" si="0"/>
        <v>59</v>
      </c>
      <c r="B60" t="s">
        <v>1944</v>
      </c>
      <c r="C60" t="s">
        <v>137</v>
      </c>
      <c r="D60" t="s">
        <v>3634</v>
      </c>
      <c r="E60" t="s">
        <v>1945</v>
      </c>
      <c r="F60" t="s">
        <v>1946</v>
      </c>
      <c r="G60" t="s">
        <v>1947</v>
      </c>
      <c r="H60" t="s">
        <v>1947</v>
      </c>
      <c r="I60" t="s">
        <v>1948</v>
      </c>
      <c r="J60" s="5" t="str" cm="1">
        <f t="array" ref="J60">IF(SUM(COUNTIF(Text_Preprocessing__22458[[#This Row],[full_text]],{"*makan siang gratis*";"*MBG*";"*makan gratis*";"*makan bergizi gratis*";"*makangratis*";"*makanan gratis*"})),"Relevan","Tidak Relevan")</f>
        <v>Relevan</v>
      </c>
    </row>
    <row r="61" spans="1:10" x14ac:dyDescent="0.35">
      <c r="A61">
        <f t="shared" si="0"/>
        <v>60</v>
      </c>
      <c r="B61" t="s">
        <v>1949</v>
      </c>
      <c r="C61" t="s">
        <v>139</v>
      </c>
      <c r="D61" t="s">
        <v>3632</v>
      </c>
      <c r="E61" t="s">
        <v>1950</v>
      </c>
      <c r="F61" t="s">
        <v>1951</v>
      </c>
      <c r="G61" t="s">
        <v>1952</v>
      </c>
      <c r="H61" t="s">
        <v>1952</v>
      </c>
      <c r="I61" t="s">
        <v>1953</v>
      </c>
      <c r="J61" s="5" t="str" cm="1">
        <f t="array" ref="J61">IF(SUM(COUNTIF(Text_Preprocessing__22458[[#This Row],[full_text]],{"*makan siang gratis*";"*MBG*";"*makan gratis*";"*makan bergizi gratis*";"*makangratis*";"*makanan gratis*"})),"Relevan","Tidak Relevan")</f>
        <v>Relevan</v>
      </c>
    </row>
    <row r="62" spans="1:10" x14ac:dyDescent="0.35">
      <c r="A62">
        <f t="shared" si="0"/>
        <v>61</v>
      </c>
      <c r="B62" t="s">
        <v>1954</v>
      </c>
      <c r="C62" t="s">
        <v>141</v>
      </c>
      <c r="D62" t="s">
        <v>3634</v>
      </c>
      <c r="E62" t="s">
        <v>1955</v>
      </c>
      <c r="F62" t="s">
        <v>1730</v>
      </c>
      <c r="G62" t="s">
        <v>1956</v>
      </c>
      <c r="H62" t="s">
        <v>1956</v>
      </c>
      <c r="I62" t="s">
        <v>1957</v>
      </c>
      <c r="J62" s="5" t="str" cm="1">
        <f t="array" ref="J62">IF(SUM(COUNTIF(Text_Preprocessing__22458[[#This Row],[full_text]],{"*makan siang gratis*";"*MBG*";"*makan gratis*";"*makan bergizi gratis*";"*makangratis*";"*makanan gratis*"})),"Relevan","Tidak Relevan")</f>
        <v>Relevan</v>
      </c>
    </row>
    <row r="63" spans="1:10" x14ac:dyDescent="0.35">
      <c r="A63">
        <f t="shared" si="0"/>
        <v>62</v>
      </c>
      <c r="B63" t="s">
        <v>1958</v>
      </c>
      <c r="C63" t="s">
        <v>143</v>
      </c>
      <c r="D63" t="s">
        <v>3634</v>
      </c>
      <c r="E63" t="s">
        <v>1959</v>
      </c>
      <c r="F63" t="s">
        <v>1893</v>
      </c>
      <c r="G63" t="s">
        <v>1960</v>
      </c>
      <c r="H63" t="s">
        <v>1960</v>
      </c>
      <c r="I63" t="s">
        <v>1961</v>
      </c>
      <c r="J63" s="5" t="str" cm="1">
        <f t="array" ref="J63">IF(SUM(COUNTIF(Text_Preprocessing__22458[[#This Row],[full_text]],{"*makan siang gratis*";"*MBG*";"*makan gratis*";"*makan bergizi gratis*";"*makangratis*";"*makanan gratis*"})),"Relevan","Tidak Relevan")</f>
        <v>Relevan</v>
      </c>
    </row>
    <row r="64" spans="1:10" x14ac:dyDescent="0.35">
      <c r="A64">
        <f t="shared" si="0"/>
        <v>63</v>
      </c>
      <c r="B64" t="s">
        <v>1971</v>
      </c>
      <c r="C64" t="s">
        <v>149</v>
      </c>
      <c r="D64" t="s">
        <v>3632</v>
      </c>
      <c r="E64" t="s">
        <v>1972</v>
      </c>
      <c r="F64" t="s">
        <v>1973</v>
      </c>
      <c r="G64" t="s">
        <v>1974</v>
      </c>
      <c r="H64" t="s">
        <v>1974</v>
      </c>
      <c r="I64" t="s">
        <v>1975</v>
      </c>
      <c r="J64" s="5" t="str" cm="1">
        <f t="array" ref="J64">IF(SUM(COUNTIF(Text_Preprocessing__22458[[#This Row],[full_text]],{"*makan siang gratis*";"*MBG*";"*makan gratis*";"*makan bergizi gratis*";"*makangratis*";"*makanan gratis*"})),"Relevan","Tidak Relevan")</f>
        <v>Relevan</v>
      </c>
    </row>
    <row r="65" spans="1:11" x14ac:dyDescent="0.35">
      <c r="A65">
        <f t="shared" si="0"/>
        <v>64</v>
      </c>
      <c r="B65" t="s">
        <v>1984</v>
      </c>
      <c r="C65" t="s">
        <v>153</v>
      </c>
      <c r="D65" t="s">
        <v>3634</v>
      </c>
      <c r="E65" t="s">
        <v>1985</v>
      </c>
      <c r="F65" t="s">
        <v>1804</v>
      </c>
      <c r="G65" t="s">
        <v>1986</v>
      </c>
      <c r="H65" t="s">
        <v>1986</v>
      </c>
      <c r="I65" t="s">
        <v>1987</v>
      </c>
      <c r="J65" s="5" t="str" cm="1">
        <f t="array" ref="J65">IF(SUM(COUNTIF(Text_Preprocessing__22458[[#This Row],[full_text]],{"*makan siang gratis*";"*MBG*";"*makan gratis*";"*makan bergizi gratis*";"*makangratis*";"*makanan gratis*"})),"Relevan","Tidak Relevan")</f>
        <v>Relevan</v>
      </c>
    </row>
    <row r="66" spans="1:11" x14ac:dyDescent="0.35">
      <c r="A66">
        <f t="shared" si="0"/>
        <v>65</v>
      </c>
      <c r="B66" t="s">
        <v>1988</v>
      </c>
      <c r="C66" t="s">
        <v>157</v>
      </c>
      <c r="D66" t="s">
        <v>3629</v>
      </c>
      <c r="E66" t="s">
        <v>1989</v>
      </c>
      <c r="F66" t="s">
        <v>1990</v>
      </c>
      <c r="G66" t="s">
        <v>1991</v>
      </c>
      <c r="H66" t="s">
        <v>1991</v>
      </c>
      <c r="I66" t="s">
        <v>1992</v>
      </c>
      <c r="J66" s="5" t="str" cm="1">
        <f t="array" ref="J66">IF(SUM(COUNTIF(Text_Preprocessing__22458[[#This Row],[full_text]],{"*makan siang gratis*";"*MBG*";"*makan gratis*";"*makan bergizi gratis*";"*makangratis*";"*makanan gratis*"})),"Relevan","Tidak Relevan")</f>
        <v>Relevan</v>
      </c>
    </row>
    <row r="67" spans="1:11" x14ac:dyDescent="0.35">
      <c r="A67">
        <f t="shared" ref="A67:A130" si="1">SUM(A66+1)</f>
        <v>66</v>
      </c>
      <c r="B67" t="s">
        <v>1993</v>
      </c>
      <c r="C67" t="s">
        <v>159</v>
      </c>
      <c r="D67" t="s">
        <v>3634</v>
      </c>
      <c r="E67" t="s">
        <v>1994</v>
      </c>
      <c r="F67" t="s">
        <v>1735</v>
      </c>
      <c r="G67" t="s">
        <v>1995</v>
      </c>
      <c r="H67" t="s">
        <v>1995</v>
      </c>
      <c r="I67" t="s">
        <v>1996</v>
      </c>
      <c r="J67" s="5" t="str" cm="1">
        <f t="array" ref="J67">IF(SUM(COUNTIF(Text_Preprocessing__22458[[#This Row],[full_text]],{"*makan siang gratis*";"*MBG*";"*makan gratis*";"*makan bergizi gratis*";"*makangratis*";"*makanan gratis*"})),"Relevan","Tidak Relevan")</f>
        <v>Relevan</v>
      </c>
    </row>
    <row r="68" spans="1:11" x14ac:dyDescent="0.35">
      <c r="A68">
        <f t="shared" si="1"/>
        <v>67</v>
      </c>
      <c r="B68" t="s">
        <v>1997</v>
      </c>
      <c r="C68" t="s">
        <v>161</v>
      </c>
      <c r="D68" t="s">
        <v>3632</v>
      </c>
      <c r="E68" t="s">
        <v>1998</v>
      </c>
      <c r="F68" t="s">
        <v>1999</v>
      </c>
      <c r="G68" t="s">
        <v>2000</v>
      </c>
      <c r="H68" t="s">
        <v>2000</v>
      </c>
      <c r="I68" t="s">
        <v>2001</v>
      </c>
      <c r="J68" s="5" t="str" cm="1">
        <f t="array" ref="J68">IF(SUM(COUNTIF(Text_Preprocessing__22458[[#This Row],[full_text]],{"*makan siang gratis*";"*MBG*";"*makan gratis*";"*makan bergizi gratis*";"*makangratis*";"*makanan gratis*"})),"Relevan","Tidak Relevan")</f>
        <v>Relevan</v>
      </c>
    </row>
    <row r="69" spans="1:11" x14ac:dyDescent="0.35">
      <c r="A69">
        <f t="shared" si="1"/>
        <v>68</v>
      </c>
      <c r="B69" t="s">
        <v>2016</v>
      </c>
      <c r="C69" t="s">
        <v>166</v>
      </c>
      <c r="D69" t="s">
        <v>3634</v>
      </c>
      <c r="E69" t="s">
        <v>2017</v>
      </c>
      <c r="F69" t="s">
        <v>1844</v>
      </c>
      <c r="G69" t="s">
        <v>2018</v>
      </c>
      <c r="H69" t="s">
        <v>2018</v>
      </c>
      <c r="I69" t="s">
        <v>2019</v>
      </c>
      <c r="J69" s="5" t="str" cm="1">
        <f t="array" ref="J69">IF(SUM(COUNTIF(Text_Preprocessing__22458[[#This Row],[full_text]],{"*makan siang gratis*";"*MBG*";"*makan gratis*";"*makan bergizi gratis*";"*makangratis*";"*makanan gratis*"})),"Relevan","Tidak Relevan")</f>
        <v>Relevan</v>
      </c>
    </row>
    <row r="70" spans="1:11" x14ac:dyDescent="0.35">
      <c r="A70">
        <f t="shared" si="1"/>
        <v>69</v>
      </c>
      <c r="B70" t="s">
        <v>2020</v>
      </c>
      <c r="C70" t="s">
        <v>168</v>
      </c>
      <c r="D70" t="s">
        <v>3628</v>
      </c>
      <c r="E70" t="s">
        <v>2021</v>
      </c>
      <c r="F70" t="s">
        <v>2022</v>
      </c>
      <c r="G70" t="s">
        <v>2023</v>
      </c>
      <c r="H70" t="s">
        <v>2024</v>
      </c>
      <c r="I70" t="s">
        <v>2025</v>
      </c>
      <c r="J70" s="5" t="str" cm="1">
        <f t="array" ref="J70">IF(SUM(COUNTIF(Text_Preprocessing__22458[[#This Row],[full_text]],{"*makan siang gratis*";"*MBG*";"*makan gratis*";"*makan bergizi gratis*";"*makangratis*";"*makanan gratis*"})),"Relevan","Tidak Relevan")</f>
        <v>Relevan</v>
      </c>
    </row>
    <row r="71" spans="1:11" x14ac:dyDescent="0.35">
      <c r="A71">
        <f t="shared" si="1"/>
        <v>70</v>
      </c>
      <c r="B71" t="s">
        <v>2026</v>
      </c>
      <c r="C71" t="s">
        <v>170</v>
      </c>
      <c r="D71" t="s">
        <v>3629</v>
      </c>
      <c r="E71" t="s">
        <v>2027</v>
      </c>
      <c r="F71" t="s">
        <v>1596</v>
      </c>
      <c r="G71" t="s">
        <v>2028</v>
      </c>
      <c r="H71" t="s">
        <v>2028</v>
      </c>
      <c r="I71" t="s">
        <v>2029</v>
      </c>
      <c r="J71" s="5" t="str" cm="1">
        <f t="array" ref="J71">IF(SUM(COUNTIF(Text_Preprocessing__22458[[#This Row],[full_text]],{"*makan siang gratis*";"*MBG*";"*makan gratis*";"*makan bergizi gratis*";"*makangratis*";"*makanan gratis*"})),"Relevan","Tidak Relevan")</f>
        <v>Relevan</v>
      </c>
    </row>
    <row r="72" spans="1:11" x14ac:dyDescent="0.35">
      <c r="A72">
        <f t="shared" si="1"/>
        <v>71</v>
      </c>
      <c r="B72" t="s">
        <v>2030</v>
      </c>
      <c r="C72" t="s">
        <v>172</v>
      </c>
      <c r="D72" t="s">
        <v>3634</v>
      </c>
      <c r="E72" t="s">
        <v>2031</v>
      </c>
      <c r="F72" t="s">
        <v>1652</v>
      </c>
      <c r="G72" t="s">
        <v>2032</v>
      </c>
      <c r="H72" t="s">
        <v>2032</v>
      </c>
      <c r="I72" t="s">
        <v>2033</v>
      </c>
      <c r="J72" s="5" t="str" cm="1">
        <f t="array" ref="J72">IF(SUM(COUNTIF(Text_Preprocessing__22458[[#This Row],[full_text]],{"*makan siang gratis*";"*MBG*";"*makan gratis*";"*makan bergizi gratis*";"*makangratis*";"*makanan gratis*"})),"Relevan","Tidak Relevan")</f>
        <v>Tidak Relevan</v>
      </c>
      <c r="K72" t="s">
        <v>3622</v>
      </c>
    </row>
    <row r="73" spans="1:11" x14ac:dyDescent="0.35">
      <c r="A73">
        <f t="shared" si="1"/>
        <v>72</v>
      </c>
      <c r="B73" t="s">
        <v>2034</v>
      </c>
      <c r="C73" t="s">
        <v>174</v>
      </c>
      <c r="D73" t="s">
        <v>3634</v>
      </c>
      <c r="E73" t="s">
        <v>2035</v>
      </c>
      <c r="F73" t="s">
        <v>2036</v>
      </c>
      <c r="G73" t="s">
        <v>2037</v>
      </c>
      <c r="H73" t="s">
        <v>2037</v>
      </c>
      <c r="I73" t="s">
        <v>2038</v>
      </c>
      <c r="J73" s="5" t="str" cm="1">
        <f t="array" ref="J73">IF(SUM(COUNTIF(Text_Preprocessing__22458[[#This Row],[full_text]],{"*makan siang gratis*";"*MBG*";"*makan gratis*";"*makan bergizi gratis*";"*makangratis*";"*makanan gratis*"})),"Relevan","Tidak Relevan")</f>
        <v>Relevan</v>
      </c>
    </row>
    <row r="74" spans="1:11" x14ac:dyDescent="0.35">
      <c r="A74">
        <f t="shared" si="1"/>
        <v>73</v>
      </c>
      <c r="B74" t="s">
        <v>2039</v>
      </c>
      <c r="C74" t="s">
        <v>176</v>
      </c>
      <c r="D74" t="s">
        <v>3634</v>
      </c>
      <c r="E74" t="s">
        <v>2040</v>
      </c>
      <c r="F74" t="s">
        <v>2041</v>
      </c>
      <c r="G74" t="s">
        <v>2042</v>
      </c>
      <c r="H74" t="s">
        <v>2043</v>
      </c>
      <c r="I74" t="s">
        <v>2044</v>
      </c>
      <c r="J74" s="5" t="str" cm="1">
        <f t="array" ref="J74">IF(SUM(COUNTIF(Text_Preprocessing__22458[[#This Row],[full_text]],{"*makan siang gratis*";"*MBG*";"*makan gratis*";"*makan bergizi gratis*";"*makangratis*";"*makanan gratis*"})),"Relevan","Tidak Relevan")</f>
        <v>Relevan</v>
      </c>
    </row>
    <row r="75" spans="1:11" x14ac:dyDescent="0.35">
      <c r="A75">
        <f t="shared" si="1"/>
        <v>74</v>
      </c>
      <c r="B75" t="s">
        <v>2055</v>
      </c>
      <c r="C75" t="s">
        <v>180</v>
      </c>
      <c r="D75" t="s">
        <v>3628</v>
      </c>
      <c r="E75" t="s">
        <v>2056</v>
      </c>
      <c r="F75" t="s">
        <v>2008</v>
      </c>
      <c r="G75" t="s">
        <v>2057</v>
      </c>
      <c r="H75" t="s">
        <v>2057</v>
      </c>
      <c r="I75" t="s">
        <v>2058</v>
      </c>
      <c r="J75" s="5" t="str" cm="1">
        <f t="array" ref="J75">IF(SUM(COUNTIF(Text_Preprocessing__22458[[#This Row],[full_text]],{"*makan siang gratis*";"*MBG*";"*makan gratis*";"*makan bergizi gratis*";"*makangratis*";"*makanan gratis*"})),"Relevan","Tidak Relevan")</f>
        <v>Relevan</v>
      </c>
    </row>
    <row r="76" spans="1:11" x14ac:dyDescent="0.35">
      <c r="A76">
        <f t="shared" si="1"/>
        <v>75</v>
      </c>
      <c r="B76" t="s">
        <v>2059</v>
      </c>
      <c r="C76" t="s">
        <v>182</v>
      </c>
      <c r="D76" t="s">
        <v>3629</v>
      </c>
      <c r="E76" t="s">
        <v>2060</v>
      </c>
      <c r="F76" t="s">
        <v>1692</v>
      </c>
      <c r="G76" t="s">
        <v>2061</v>
      </c>
      <c r="H76" t="s">
        <v>2061</v>
      </c>
      <c r="I76" t="s">
        <v>2062</v>
      </c>
      <c r="J76" s="5" t="str" cm="1">
        <f t="array" ref="J76">IF(SUM(COUNTIF(Text_Preprocessing__22458[[#This Row],[full_text]],{"*makan siang gratis*";"*MBG*";"*makan gratis*";"*makan bergizi gratis*";"*makangratis*";"*makanan gratis*"})),"Relevan","Tidak Relevan")</f>
        <v>Relevan</v>
      </c>
    </row>
    <row r="77" spans="1:11" x14ac:dyDescent="0.35">
      <c r="A77">
        <f t="shared" si="1"/>
        <v>76</v>
      </c>
      <c r="B77" t="s">
        <v>2067</v>
      </c>
      <c r="C77" t="s">
        <v>185</v>
      </c>
      <c r="D77" t="s">
        <v>3628</v>
      </c>
      <c r="E77" t="s">
        <v>2068</v>
      </c>
      <c r="F77" t="s">
        <v>2069</v>
      </c>
      <c r="G77" t="s">
        <v>2070</v>
      </c>
      <c r="H77" t="s">
        <v>2070</v>
      </c>
      <c r="I77" t="s">
        <v>2071</v>
      </c>
      <c r="J77" s="5" t="str" cm="1">
        <f t="array" ref="J77">IF(SUM(COUNTIF(Text_Preprocessing__22458[[#This Row],[full_text]],{"*makan siang gratis*";"*MBG*";"*makan gratis*";"*makan bergizi gratis*";"*makangratis*";"*makanan gratis*"})),"Relevan","Tidak Relevan")</f>
        <v>Relevan</v>
      </c>
    </row>
    <row r="78" spans="1:11" x14ac:dyDescent="0.35">
      <c r="A78">
        <f t="shared" si="1"/>
        <v>77</v>
      </c>
      <c r="B78" t="s">
        <v>2080</v>
      </c>
      <c r="C78" t="s">
        <v>189</v>
      </c>
      <c r="D78" t="s">
        <v>3632</v>
      </c>
      <c r="E78" t="s">
        <v>2081</v>
      </c>
      <c r="F78" t="s">
        <v>2082</v>
      </c>
      <c r="G78" t="s">
        <v>2083</v>
      </c>
      <c r="H78" t="s">
        <v>2084</v>
      </c>
      <c r="I78" t="s">
        <v>2085</v>
      </c>
      <c r="J78" s="5" t="str" cm="1">
        <f t="array" ref="J78">IF(SUM(COUNTIF(Text_Preprocessing__22458[[#This Row],[full_text]],{"*makan siang gratis*";"*MBG*";"*makan gratis*";"*makan bergizi gratis*";"*makangratis*";"*makanan gratis*"})),"Relevan","Tidak Relevan")</f>
        <v>Relevan</v>
      </c>
    </row>
    <row r="79" spans="1:11" x14ac:dyDescent="0.35">
      <c r="A79">
        <f t="shared" si="1"/>
        <v>78</v>
      </c>
      <c r="B79" t="s">
        <v>2090</v>
      </c>
      <c r="C79" t="s">
        <v>192</v>
      </c>
      <c r="D79" t="s">
        <v>3629</v>
      </c>
      <c r="E79" t="s">
        <v>2091</v>
      </c>
      <c r="F79" t="s">
        <v>2092</v>
      </c>
      <c r="G79" t="s">
        <v>2093</v>
      </c>
      <c r="H79" t="s">
        <v>2093</v>
      </c>
      <c r="I79" t="s">
        <v>2094</v>
      </c>
      <c r="J79" s="5" t="str" cm="1">
        <f t="array" ref="J79">IF(SUM(COUNTIF(Text_Preprocessing__22458[[#This Row],[full_text]],{"*makan siang gratis*";"*MBG*";"*makan gratis*";"*makan bergizi gratis*";"*makangratis*";"*makanan gratis*"})),"Relevan","Tidak Relevan")</f>
        <v>Relevan</v>
      </c>
    </row>
    <row r="80" spans="1:11" x14ac:dyDescent="0.35">
      <c r="A80">
        <f t="shared" si="1"/>
        <v>79</v>
      </c>
      <c r="B80" t="s">
        <v>2103</v>
      </c>
      <c r="C80" t="s">
        <v>196</v>
      </c>
      <c r="D80" t="s">
        <v>3628</v>
      </c>
      <c r="E80" t="s">
        <v>2104</v>
      </c>
      <c r="F80" t="s">
        <v>1735</v>
      </c>
      <c r="G80" t="s">
        <v>2105</v>
      </c>
      <c r="H80" t="s">
        <v>2105</v>
      </c>
      <c r="I80" t="s">
        <v>2106</v>
      </c>
      <c r="J80" s="5" t="str" cm="1">
        <f t="array" ref="J80">IF(SUM(COUNTIF(Text_Preprocessing__22458[[#This Row],[full_text]],{"*makan siang gratis*";"*MBG*";"*makan gratis*";"*makan bergizi gratis*";"*makangratis*";"*makanan gratis*"})),"Relevan","Tidak Relevan")</f>
        <v>Relevan</v>
      </c>
    </row>
    <row r="81" spans="1:10" x14ac:dyDescent="0.35">
      <c r="A81">
        <f t="shared" si="1"/>
        <v>80</v>
      </c>
      <c r="B81" t="s">
        <v>2117</v>
      </c>
      <c r="C81" t="s">
        <v>200</v>
      </c>
      <c r="D81" t="s">
        <v>3632</v>
      </c>
      <c r="E81" t="s">
        <v>2118</v>
      </c>
      <c r="F81" t="s">
        <v>1724</v>
      </c>
      <c r="G81" t="s">
        <v>2119</v>
      </c>
      <c r="H81" t="s">
        <v>2119</v>
      </c>
      <c r="I81" t="s">
        <v>2120</v>
      </c>
      <c r="J81" s="5" t="str" cm="1">
        <f t="array" ref="J81">IF(SUM(COUNTIF(Text_Preprocessing__22458[[#This Row],[full_text]],{"*makan siang gratis*";"*MBG*";"*makan gratis*";"*makan bergizi gratis*";"*makangratis*";"*makanan gratis*"})),"Relevan","Tidak Relevan")</f>
        <v>Relevan</v>
      </c>
    </row>
    <row r="82" spans="1:10" x14ac:dyDescent="0.35">
      <c r="A82">
        <f t="shared" si="1"/>
        <v>81</v>
      </c>
      <c r="B82" t="s">
        <v>2121</v>
      </c>
      <c r="C82" t="s">
        <v>202</v>
      </c>
      <c r="D82" t="s">
        <v>3629</v>
      </c>
      <c r="E82" t="s">
        <v>2122</v>
      </c>
      <c r="F82" t="s">
        <v>1596</v>
      </c>
      <c r="G82" t="s">
        <v>2123</v>
      </c>
      <c r="H82" t="s">
        <v>2123</v>
      </c>
      <c r="I82" t="s">
        <v>2124</v>
      </c>
      <c r="J82" s="5" t="str" cm="1">
        <f t="array" ref="J82">IF(SUM(COUNTIF(Text_Preprocessing__22458[[#This Row],[full_text]],{"*makan siang gratis*";"*MBG*";"*makan gratis*";"*makan bergizi gratis*";"*makangratis*";"*makanan gratis*"})),"Relevan","Tidak Relevan")</f>
        <v>Relevan</v>
      </c>
    </row>
    <row r="83" spans="1:10" x14ac:dyDescent="0.35">
      <c r="A83">
        <f t="shared" si="1"/>
        <v>82</v>
      </c>
      <c r="B83" t="s">
        <v>2128</v>
      </c>
      <c r="C83" t="s">
        <v>205</v>
      </c>
      <c r="D83" t="s">
        <v>3629</v>
      </c>
      <c r="E83" t="s">
        <v>2129</v>
      </c>
      <c r="F83" t="s">
        <v>1730</v>
      </c>
      <c r="G83" t="s">
        <v>2130</v>
      </c>
      <c r="H83" t="s">
        <v>2130</v>
      </c>
      <c r="I83" t="s">
        <v>2131</v>
      </c>
      <c r="J83" s="5" t="str" cm="1">
        <f t="array" ref="J83">IF(SUM(COUNTIF(Text_Preprocessing__22458[[#This Row],[full_text]],{"*makan siang gratis*";"*MBG*";"*makan gratis*";"*makan bergizi gratis*";"*makangratis*";"*makanan gratis*"})),"Relevan","Tidak Relevan")</f>
        <v>Relevan</v>
      </c>
    </row>
    <row r="84" spans="1:10" x14ac:dyDescent="0.35">
      <c r="A84">
        <f t="shared" si="1"/>
        <v>83</v>
      </c>
      <c r="B84" t="s">
        <v>2132</v>
      </c>
      <c r="C84" t="s">
        <v>207</v>
      </c>
      <c r="D84" t="s">
        <v>3634</v>
      </c>
      <c r="E84" t="s">
        <v>2133</v>
      </c>
      <c r="F84" t="s">
        <v>2134</v>
      </c>
      <c r="G84" t="s">
        <v>2135</v>
      </c>
      <c r="H84" t="s">
        <v>2135</v>
      </c>
      <c r="I84" t="s">
        <v>2136</v>
      </c>
      <c r="J84" s="5" t="str" cm="1">
        <f t="array" ref="J84">IF(SUM(COUNTIF(Text_Preprocessing__22458[[#This Row],[full_text]],{"*makan siang gratis*";"*MBG*";"*makan gratis*";"*makan bergizi gratis*";"*makangratis*";"*makanan gratis*"})),"Relevan","Tidak Relevan")</f>
        <v>Relevan</v>
      </c>
    </row>
    <row r="85" spans="1:10" x14ac:dyDescent="0.35">
      <c r="A85">
        <f t="shared" si="1"/>
        <v>84</v>
      </c>
      <c r="B85" t="s">
        <v>2137</v>
      </c>
      <c r="C85" t="s">
        <v>209</v>
      </c>
      <c r="D85" t="s">
        <v>3634</v>
      </c>
      <c r="E85" t="s">
        <v>2138</v>
      </c>
      <c r="F85" t="s">
        <v>1844</v>
      </c>
      <c r="G85" t="s">
        <v>2139</v>
      </c>
      <c r="H85" t="s">
        <v>2139</v>
      </c>
      <c r="I85" t="s">
        <v>2140</v>
      </c>
      <c r="J85" s="5" t="str" cm="1">
        <f t="array" ref="J85">IF(SUM(COUNTIF(Text_Preprocessing__22458[[#This Row],[full_text]],{"*makan siang gratis*";"*MBG*";"*makan gratis*";"*makan bergizi gratis*";"*makangratis*";"*makanan gratis*"})),"Relevan","Tidak Relevan")</f>
        <v>Relevan</v>
      </c>
    </row>
    <row r="86" spans="1:10" x14ac:dyDescent="0.35">
      <c r="A86">
        <f t="shared" si="1"/>
        <v>85</v>
      </c>
      <c r="B86" t="s">
        <v>2141</v>
      </c>
      <c r="C86" t="s">
        <v>211</v>
      </c>
      <c r="D86" t="s">
        <v>3628</v>
      </c>
      <c r="E86" t="s">
        <v>2142</v>
      </c>
      <c r="F86" t="s">
        <v>2143</v>
      </c>
      <c r="G86" t="s">
        <v>2144</v>
      </c>
      <c r="H86" t="s">
        <v>2145</v>
      </c>
      <c r="I86" t="s">
        <v>2146</v>
      </c>
      <c r="J86" s="5" t="str" cm="1">
        <f t="array" ref="J86">IF(SUM(COUNTIF(Text_Preprocessing__22458[[#This Row],[full_text]],{"*makan siang gratis*";"*MBG*";"*makan gratis*";"*makan bergizi gratis*";"*makangratis*";"*makanan gratis*"})),"Relevan","Tidak Relevan")</f>
        <v>Relevan</v>
      </c>
    </row>
    <row r="87" spans="1:10" x14ac:dyDescent="0.35">
      <c r="A87">
        <f t="shared" si="1"/>
        <v>86</v>
      </c>
      <c r="B87" t="s">
        <v>2147</v>
      </c>
      <c r="C87" t="s">
        <v>213</v>
      </c>
      <c r="D87" t="s">
        <v>3628</v>
      </c>
      <c r="E87" t="s">
        <v>2148</v>
      </c>
      <c r="F87" t="s">
        <v>2149</v>
      </c>
      <c r="G87" t="s">
        <v>2150</v>
      </c>
      <c r="H87" t="s">
        <v>2150</v>
      </c>
      <c r="I87" t="s">
        <v>2151</v>
      </c>
      <c r="J87" s="5" t="str" cm="1">
        <f t="array" ref="J87">IF(SUM(COUNTIF(Text_Preprocessing__22458[[#This Row],[full_text]],{"*makan siang gratis*";"*MBG*";"*makan gratis*";"*makan bergizi gratis*";"*makangratis*";"*makanan gratis*"})),"Relevan","Tidak Relevan")</f>
        <v>Relevan</v>
      </c>
    </row>
    <row r="88" spans="1:10" x14ac:dyDescent="0.35">
      <c r="A88">
        <f t="shared" si="1"/>
        <v>87</v>
      </c>
      <c r="B88" t="s">
        <v>2152</v>
      </c>
      <c r="C88" t="s">
        <v>215</v>
      </c>
      <c r="D88" t="s">
        <v>3628</v>
      </c>
      <c r="E88" t="s">
        <v>2153</v>
      </c>
      <c r="F88" t="s">
        <v>2154</v>
      </c>
      <c r="G88" t="s">
        <v>2155</v>
      </c>
      <c r="H88" t="s">
        <v>2155</v>
      </c>
      <c r="I88" t="s">
        <v>2156</v>
      </c>
      <c r="J88" s="5" t="str" cm="1">
        <f t="array" ref="J88">IF(SUM(COUNTIF(Text_Preprocessing__22458[[#This Row],[full_text]],{"*makan siang gratis*";"*MBG*";"*makan gratis*";"*makan bergizi gratis*";"*makangratis*";"*makanan gratis*"})),"Relevan","Tidak Relevan")</f>
        <v>Relevan</v>
      </c>
    </row>
    <row r="89" spans="1:10" x14ac:dyDescent="0.35">
      <c r="A89">
        <f t="shared" si="1"/>
        <v>88</v>
      </c>
      <c r="B89" t="s">
        <v>2157</v>
      </c>
      <c r="C89" t="s">
        <v>217</v>
      </c>
      <c r="D89" t="s">
        <v>3634</v>
      </c>
      <c r="E89" t="s">
        <v>2158</v>
      </c>
      <c r="F89" t="s">
        <v>2159</v>
      </c>
      <c r="G89" t="s">
        <v>2160</v>
      </c>
      <c r="H89" t="s">
        <v>2160</v>
      </c>
      <c r="I89" t="s">
        <v>2161</v>
      </c>
      <c r="J89" s="5" t="str" cm="1">
        <f t="array" ref="J89">IF(SUM(COUNTIF(Text_Preprocessing__22458[[#This Row],[full_text]],{"*makan siang gratis*";"*MBG*";"*makan gratis*";"*makan bergizi gratis*";"*makangratis*";"*makanan gratis*"})),"Relevan","Tidak Relevan")</f>
        <v>Relevan</v>
      </c>
    </row>
    <row r="90" spans="1:10" x14ac:dyDescent="0.35">
      <c r="A90">
        <f t="shared" si="1"/>
        <v>89</v>
      </c>
      <c r="B90" t="s">
        <v>2162</v>
      </c>
      <c r="C90" t="s">
        <v>219</v>
      </c>
      <c r="D90" t="s">
        <v>3628</v>
      </c>
      <c r="E90" t="s">
        <v>2163</v>
      </c>
      <c r="F90" t="s">
        <v>2164</v>
      </c>
      <c r="G90" t="s">
        <v>2165</v>
      </c>
      <c r="H90" t="s">
        <v>2165</v>
      </c>
      <c r="I90" t="s">
        <v>2166</v>
      </c>
      <c r="J90" s="5" t="str" cm="1">
        <f t="array" ref="J90">IF(SUM(COUNTIF(Text_Preprocessing__22458[[#This Row],[full_text]],{"*makan siang gratis*";"*MBG*";"*makan gratis*";"*makan bergizi gratis*";"*makangratis*";"*makanan gratis*"})),"Relevan","Tidak Relevan")</f>
        <v>Relevan</v>
      </c>
    </row>
    <row r="91" spans="1:10" x14ac:dyDescent="0.35">
      <c r="A91">
        <f t="shared" si="1"/>
        <v>90</v>
      </c>
      <c r="B91" t="s">
        <v>2167</v>
      </c>
      <c r="C91" t="s">
        <v>221</v>
      </c>
      <c r="D91" t="s">
        <v>3634</v>
      </c>
      <c r="E91" t="s">
        <v>2168</v>
      </c>
      <c r="F91" t="s">
        <v>1804</v>
      </c>
      <c r="G91" t="s">
        <v>2169</v>
      </c>
      <c r="H91" t="s">
        <v>2169</v>
      </c>
      <c r="I91" t="s">
        <v>2170</v>
      </c>
      <c r="J91" s="5" t="str" cm="1">
        <f t="array" ref="J91">IF(SUM(COUNTIF(Text_Preprocessing__22458[[#This Row],[full_text]],{"*makan siang gratis*";"*MBG*";"*makan gratis*";"*makan bergizi gratis*";"*makangratis*";"*makanan gratis*"})),"Relevan","Tidak Relevan")</f>
        <v>Relevan</v>
      </c>
    </row>
    <row r="92" spans="1:10" x14ac:dyDescent="0.35">
      <c r="A92">
        <f t="shared" si="1"/>
        <v>91</v>
      </c>
      <c r="B92" t="s">
        <v>2171</v>
      </c>
      <c r="C92" t="s">
        <v>223</v>
      </c>
      <c r="D92" t="s">
        <v>3628</v>
      </c>
      <c r="E92" t="s">
        <v>2172</v>
      </c>
      <c r="F92" t="s">
        <v>2109</v>
      </c>
      <c r="G92" t="s">
        <v>2173</v>
      </c>
      <c r="H92" t="s">
        <v>2173</v>
      </c>
      <c r="I92" t="s">
        <v>2174</v>
      </c>
      <c r="J92" s="5" t="str" cm="1">
        <f t="array" ref="J92">IF(SUM(COUNTIF(Text_Preprocessing__22458[[#This Row],[full_text]],{"*makan siang gratis*";"*MBG*";"*makan gratis*";"*makan bergizi gratis*";"*makangratis*";"*makanan gratis*"})),"Relevan","Tidak Relevan")</f>
        <v>Relevan</v>
      </c>
    </row>
    <row r="93" spans="1:10" x14ac:dyDescent="0.35">
      <c r="A93">
        <f t="shared" si="1"/>
        <v>92</v>
      </c>
      <c r="B93" t="s">
        <v>2175</v>
      </c>
      <c r="C93" t="s">
        <v>225</v>
      </c>
      <c r="D93" t="s">
        <v>3628</v>
      </c>
      <c r="E93" t="s">
        <v>2176</v>
      </c>
      <c r="F93" t="s">
        <v>2177</v>
      </c>
      <c r="G93" t="s">
        <v>2178</v>
      </c>
      <c r="H93" t="s">
        <v>2178</v>
      </c>
      <c r="I93" t="s">
        <v>2179</v>
      </c>
      <c r="J93" s="5" t="str" cm="1">
        <f t="array" ref="J93">IF(SUM(COUNTIF(Text_Preprocessing__22458[[#This Row],[full_text]],{"*makan siang gratis*";"*MBG*";"*makan gratis*";"*makan bergizi gratis*";"*makangratis*";"*makanan gratis*"})),"Relevan","Tidak Relevan")</f>
        <v>Relevan</v>
      </c>
    </row>
    <row r="94" spans="1:10" x14ac:dyDescent="0.35">
      <c r="A94">
        <f t="shared" si="1"/>
        <v>93</v>
      </c>
      <c r="B94" t="s">
        <v>2180</v>
      </c>
      <c r="C94" t="s">
        <v>227</v>
      </c>
      <c r="D94" t="s">
        <v>3628</v>
      </c>
      <c r="E94" t="s">
        <v>2181</v>
      </c>
      <c r="F94" t="s">
        <v>1804</v>
      </c>
      <c r="G94" t="s">
        <v>2182</v>
      </c>
      <c r="H94" t="s">
        <v>2182</v>
      </c>
      <c r="I94" t="s">
        <v>2183</v>
      </c>
      <c r="J94" s="5" t="str" cm="1">
        <f t="array" ref="J94">IF(SUM(COUNTIF(Text_Preprocessing__22458[[#This Row],[full_text]],{"*makan siang gratis*";"*MBG*";"*makan gratis*";"*makan bergizi gratis*";"*makangratis*";"*makanan gratis*"})),"Relevan","Tidak Relevan")</f>
        <v>Relevan</v>
      </c>
    </row>
    <row r="95" spans="1:10" x14ac:dyDescent="0.35">
      <c r="A95">
        <f t="shared" si="1"/>
        <v>94</v>
      </c>
      <c r="B95" t="s">
        <v>2184</v>
      </c>
      <c r="C95" t="s">
        <v>229</v>
      </c>
      <c r="D95" t="s">
        <v>3628</v>
      </c>
      <c r="E95" t="s">
        <v>2185</v>
      </c>
      <c r="F95" t="s">
        <v>2186</v>
      </c>
      <c r="G95" t="s">
        <v>2187</v>
      </c>
      <c r="H95" t="s">
        <v>2187</v>
      </c>
      <c r="I95" t="s">
        <v>2188</v>
      </c>
      <c r="J95" s="5" t="str" cm="1">
        <f t="array" ref="J95">IF(SUM(COUNTIF(Text_Preprocessing__22458[[#This Row],[full_text]],{"*makan siang gratis*";"*MBG*";"*makan gratis*";"*makan bergizi gratis*";"*makangratis*";"*makanan gratis*"})),"Relevan","Tidak Relevan")</f>
        <v>Relevan</v>
      </c>
    </row>
    <row r="96" spans="1:10" x14ac:dyDescent="0.35">
      <c r="A96">
        <f t="shared" si="1"/>
        <v>95</v>
      </c>
      <c r="B96" t="s">
        <v>2189</v>
      </c>
      <c r="C96" t="s">
        <v>231</v>
      </c>
      <c r="D96" t="s">
        <v>3632</v>
      </c>
      <c r="E96" t="s">
        <v>2190</v>
      </c>
      <c r="F96" t="s">
        <v>2191</v>
      </c>
      <c r="G96" t="s">
        <v>2192</v>
      </c>
      <c r="H96" t="s">
        <v>2192</v>
      </c>
      <c r="I96" t="s">
        <v>2193</v>
      </c>
      <c r="J96" s="5" t="str" cm="1">
        <f t="array" ref="J96">IF(SUM(COUNTIF(Text_Preprocessing__22458[[#This Row],[full_text]],{"*makan siang gratis*";"*MBG*";"*makan gratis*";"*makan bergizi gratis*";"*makangratis*";"*makanan gratis*"})),"Relevan","Tidak Relevan")</f>
        <v>Relevan</v>
      </c>
    </row>
    <row r="97" spans="1:10" x14ac:dyDescent="0.35">
      <c r="A97">
        <f t="shared" si="1"/>
        <v>96</v>
      </c>
      <c r="B97" t="s">
        <v>2194</v>
      </c>
      <c r="C97" t="s">
        <v>233</v>
      </c>
      <c r="D97" t="s">
        <v>3628</v>
      </c>
      <c r="E97" t="s">
        <v>2195</v>
      </c>
      <c r="F97" t="s">
        <v>2196</v>
      </c>
      <c r="G97" t="s">
        <v>2197</v>
      </c>
      <c r="H97" t="s">
        <v>2197</v>
      </c>
      <c r="I97" t="s">
        <v>2198</v>
      </c>
      <c r="J97" s="5" t="str" cm="1">
        <f t="array" ref="J97">IF(SUM(COUNTIF(Text_Preprocessing__22458[[#This Row],[full_text]],{"*makan siang gratis*";"*MBG*";"*makan gratis*";"*makan bergizi gratis*";"*makangratis*";"*makanan gratis*"})),"Relevan","Tidak Relevan")</f>
        <v>Relevan</v>
      </c>
    </row>
    <row r="98" spans="1:10" x14ac:dyDescent="0.35">
      <c r="A98">
        <f t="shared" si="1"/>
        <v>97</v>
      </c>
      <c r="B98" t="s">
        <v>2199</v>
      </c>
      <c r="C98" t="s">
        <v>235</v>
      </c>
      <c r="D98" t="s">
        <v>3628</v>
      </c>
      <c r="E98" t="s">
        <v>2200</v>
      </c>
      <c r="F98" t="s">
        <v>1692</v>
      </c>
      <c r="G98" t="s">
        <v>2201</v>
      </c>
      <c r="H98" t="s">
        <v>2201</v>
      </c>
      <c r="I98" t="s">
        <v>2202</v>
      </c>
      <c r="J98" s="5" t="str" cm="1">
        <f t="array" ref="J98">IF(SUM(COUNTIF(Text_Preprocessing__22458[[#This Row],[full_text]],{"*makan siang gratis*";"*MBG*";"*makan gratis*";"*makan bergizi gratis*";"*makangratis*";"*makanan gratis*"})),"Relevan","Tidak Relevan")</f>
        <v>Relevan</v>
      </c>
    </row>
    <row r="99" spans="1:10" x14ac:dyDescent="0.35">
      <c r="A99">
        <f t="shared" si="1"/>
        <v>98</v>
      </c>
      <c r="B99" t="s">
        <v>2203</v>
      </c>
      <c r="C99" t="s">
        <v>237</v>
      </c>
      <c r="D99" t="s">
        <v>3632</v>
      </c>
      <c r="E99" t="s">
        <v>2204</v>
      </c>
      <c r="F99" t="s">
        <v>2205</v>
      </c>
      <c r="G99" t="s">
        <v>2206</v>
      </c>
      <c r="H99" t="s">
        <v>2206</v>
      </c>
      <c r="I99" t="s">
        <v>2207</v>
      </c>
      <c r="J99" s="5" t="str" cm="1">
        <f t="array" ref="J99">IF(SUM(COUNTIF(Text_Preprocessing__22458[[#This Row],[full_text]],{"*makan siang gratis*";"*MBG*";"*makan gratis*";"*makan bergizi gratis*";"*makangratis*";"*makanan gratis*"})),"Relevan","Tidak Relevan")</f>
        <v>Relevan</v>
      </c>
    </row>
    <row r="100" spans="1:10" x14ac:dyDescent="0.35">
      <c r="A100">
        <f t="shared" si="1"/>
        <v>99</v>
      </c>
      <c r="B100" t="s">
        <v>2208</v>
      </c>
      <c r="C100" t="s">
        <v>4</v>
      </c>
      <c r="D100" t="s">
        <v>3628</v>
      </c>
      <c r="E100" t="s">
        <v>2209</v>
      </c>
      <c r="F100" t="s">
        <v>2210</v>
      </c>
      <c r="G100" t="s">
        <v>2211</v>
      </c>
      <c r="H100" t="s">
        <v>2211</v>
      </c>
      <c r="I100" t="s">
        <v>2212</v>
      </c>
      <c r="J100" s="5" t="str" cm="1">
        <f t="array" ref="J100">IF(SUM(COUNTIF(Text_Preprocessing__22458[[#This Row],[full_text]],{"*makan siang gratis*";"*MBG*";"*makan gratis*";"*makan bergizi gratis*";"*makangratis*";"*makanan gratis*"})),"Relevan","Tidak Relevan")</f>
        <v>Relevan</v>
      </c>
    </row>
    <row r="101" spans="1:10" x14ac:dyDescent="0.35">
      <c r="A101">
        <f t="shared" si="1"/>
        <v>100</v>
      </c>
      <c r="B101" t="s">
        <v>2213</v>
      </c>
      <c r="C101" t="s">
        <v>242</v>
      </c>
      <c r="D101" t="s">
        <v>3628</v>
      </c>
      <c r="E101" t="s">
        <v>2214</v>
      </c>
      <c r="F101" t="s">
        <v>2215</v>
      </c>
      <c r="G101" t="s">
        <v>2216</v>
      </c>
      <c r="H101" t="s">
        <v>2216</v>
      </c>
      <c r="I101" t="s">
        <v>2217</v>
      </c>
      <c r="J101" s="5" t="str" cm="1">
        <f t="array" ref="J101">IF(SUM(COUNTIF(Text_Preprocessing__22458[[#This Row],[full_text]],{"*makan siang gratis*";"*MBG*";"*makan gratis*";"*makan bergizi gratis*";"*makangratis*";"*makanan gratis*"})),"Relevan","Tidak Relevan")</f>
        <v>Relevan</v>
      </c>
    </row>
    <row r="102" spans="1:10" x14ac:dyDescent="0.35">
      <c r="A102">
        <f t="shared" si="1"/>
        <v>101</v>
      </c>
      <c r="B102" t="s">
        <v>2218</v>
      </c>
      <c r="C102" t="s">
        <v>244</v>
      </c>
      <c r="D102" t="s">
        <v>3628</v>
      </c>
      <c r="E102" t="s">
        <v>2219</v>
      </c>
      <c r="F102" t="s">
        <v>1624</v>
      </c>
      <c r="G102" t="s">
        <v>2220</v>
      </c>
      <c r="H102" t="s">
        <v>2220</v>
      </c>
      <c r="I102" t="s">
        <v>2221</v>
      </c>
      <c r="J102" s="5" t="str" cm="1">
        <f t="array" ref="J102">IF(SUM(COUNTIF(Text_Preprocessing__22458[[#This Row],[full_text]],{"*makan siang gratis*";"*MBG*";"*makan gratis*";"*makan bergizi gratis*";"*makangratis*";"*makanan gratis*"})),"Relevan","Tidak Relevan")</f>
        <v>Relevan</v>
      </c>
    </row>
    <row r="103" spans="1:10" x14ac:dyDescent="0.35">
      <c r="A103">
        <f t="shared" si="1"/>
        <v>102</v>
      </c>
      <c r="B103" t="s">
        <v>2222</v>
      </c>
      <c r="C103" t="s">
        <v>246</v>
      </c>
      <c r="D103" t="s">
        <v>3628</v>
      </c>
      <c r="E103" t="s">
        <v>2223</v>
      </c>
      <c r="F103" t="s">
        <v>2154</v>
      </c>
      <c r="G103" t="s">
        <v>2224</v>
      </c>
      <c r="H103" t="s">
        <v>2225</v>
      </c>
      <c r="I103" t="s">
        <v>2226</v>
      </c>
      <c r="J103" s="5" t="str" cm="1">
        <f t="array" ref="J103">IF(SUM(COUNTIF(Text_Preprocessing__22458[[#This Row],[full_text]],{"*makan siang gratis*";"*MBG*";"*makan gratis*";"*makan bergizi gratis*";"*makangratis*";"*makanan gratis*"})),"Relevan","Tidak Relevan")</f>
        <v>Relevan</v>
      </c>
    </row>
    <row r="104" spans="1:10" x14ac:dyDescent="0.35">
      <c r="A104">
        <f t="shared" si="1"/>
        <v>103</v>
      </c>
      <c r="B104" t="s">
        <v>2232</v>
      </c>
      <c r="C104" t="s">
        <v>249</v>
      </c>
      <c r="D104" t="s">
        <v>3628</v>
      </c>
      <c r="E104" t="s">
        <v>2233</v>
      </c>
      <c r="F104" t="s">
        <v>2234</v>
      </c>
      <c r="G104" t="s">
        <v>2235</v>
      </c>
      <c r="H104" t="s">
        <v>2235</v>
      </c>
      <c r="I104" t="s">
        <v>2236</v>
      </c>
      <c r="J104" s="5" t="str" cm="1">
        <f t="array" ref="J104">IF(SUM(COUNTIF(Text_Preprocessing__22458[[#This Row],[full_text]],{"*makan siang gratis*";"*MBG*";"*makan gratis*";"*makan bergizi gratis*";"*makangratis*";"*makanan gratis*"})),"Relevan","Tidak Relevan")</f>
        <v>Relevan</v>
      </c>
    </row>
    <row r="105" spans="1:10" x14ac:dyDescent="0.35">
      <c r="A105">
        <f t="shared" si="1"/>
        <v>104</v>
      </c>
      <c r="B105" t="s">
        <v>2237</v>
      </c>
      <c r="C105" t="s">
        <v>251</v>
      </c>
      <c r="D105" t="s">
        <v>3628</v>
      </c>
      <c r="E105" t="s">
        <v>2238</v>
      </c>
      <c r="F105" t="s">
        <v>2082</v>
      </c>
      <c r="G105" t="s">
        <v>2239</v>
      </c>
      <c r="H105" t="s">
        <v>2240</v>
      </c>
      <c r="I105" t="s">
        <v>2241</v>
      </c>
      <c r="J105" s="5" t="str" cm="1">
        <f t="array" ref="J105">IF(SUM(COUNTIF(Text_Preprocessing__22458[[#This Row],[full_text]],{"*makan siang gratis*";"*MBG*";"*makan gratis*";"*makan bergizi gratis*";"*makangratis*";"*makanan gratis*"})),"Relevan","Tidak Relevan")</f>
        <v>Relevan</v>
      </c>
    </row>
    <row r="106" spans="1:10" x14ac:dyDescent="0.35">
      <c r="A106">
        <f t="shared" si="1"/>
        <v>105</v>
      </c>
      <c r="B106" t="s">
        <v>2242</v>
      </c>
      <c r="C106" t="s">
        <v>253</v>
      </c>
      <c r="D106" t="s">
        <v>3628</v>
      </c>
      <c r="E106" t="s">
        <v>2243</v>
      </c>
      <c r="F106" t="s">
        <v>2229</v>
      </c>
      <c r="G106" t="s">
        <v>2244</v>
      </c>
      <c r="H106" t="s">
        <v>2244</v>
      </c>
      <c r="I106" t="s">
        <v>2245</v>
      </c>
      <c r="J106" s="5" t="str" cm="1">
        <f t="array" ref="J106">IF(SUM(COUNTIF(Text_Preprocessing__22458[[#This Row],[full_text]],{"*makan siang gratis*";"*MBG*";"*makan gratis*";"*makan bergizi gratis*";"*makangratis*";"*makanan gratis*"})),"Relevan","Tidak Relevan")</f>
        <v>Relevan</v>
      </c>
    </row>
    <row r="107" spans="1:10" x14ac:dyDescent="0.35">
      <c r="A107">
        <f t="shared" si="1"/>
        <v>106</v>
      </c>
      <c r="B107" t="s">
        <v>2246</v>
      </c>
      <c r="C107" t="s">
        <v>255</v>
      </c>
      <c r="D107" t="s">
        <v>3628</v>
      </c>
      <c r="E107" t="s">
        <v>2247</v>
      </c>
      <c r="F107" t="s">
        <v>2248</v>
      </c>
      <c r="G107" t="s">
        <v>2249</v>
      </c>
      <c r="H107" t="s">
        <v>2249</v>
      </c>
      <c r="I107" t="s">
        <v>2250</v>
      </c>
      <c r="J107" s="5" t="str" cm="1">
        <f t="array" ref="J107">IF(SUM(COUNTIF(Text_Preprocessing__22458[[#This Row],[full_text]],{"*makan siang gratis*";"*MBG*";"*makan gratis*";"*makan bergizi gratis*";"*makangratis*";"*makanan gratis*"})),"Relevan","Tidak Relevan")</f>
        <v>Relevan</v>
      </c>
    </row>
    <row r="108" spans="1:10" x14ac:dyDescent="0.35">
      <c r="A108">
        <f t="shared" si="1"/>
        <v>107</v>
      </c>
      <c r="B108" t="s">
        <v>2261</v>
      </c>
      <c r="C108" t="s">
        <v>259</v>
      </c>
      <c r="D108" t="s">
        <v>3628</v>
      </c>
      <c r="E108" t="s">
        <v>2262</v>
      </c>
      <c r="F108" t="s">
        <v>2069</v>
      </c>
      <c r="G108" t="s">
        <v>2263</v>
      </c>
      <c r="H108" t="s">
        <v>2263</v>
      </c>
      <c r="I108" t="s">
        <v>2264</v>
      </c>
      <c r="J108" s="5" t="str" cm="1">
        <f t="array" ref="J108">IF(SUM(COUNTIF(Text_Preprocessing__22458[[#This Row],[full_text]],{"*makan siang gratis*";"*MBG*";"*makan gratis*";"*makan bergizi gratis*";"*makangratis*";"*makanan gratis*"})),"Relevan","Tidak Relevan")</f>
        <v>Relevan</v>
      </c>
    </row>
    <row r="109" spans="1:10" x14ac:dyDescent="0.35">
      <c r="A109">
        <f t="shared" si="1"/>
        <v>108</v>
      </c>
      <c r="B109" t="s">
        <v>2265</v>
      </c>
      <c r="C109" t="s">
        <v>261</v>
      </c>
      <c r="D109" t="s">
        <v>3628</v>
      </c>
      <c r="E109" t="s">
        <v>2266</v>
      </c>
      <c r="F109" t="s">
        <v>2267</v>
      </c>
      <c r="G109" t="s">
        <v>2268</v>
      </c>
      <c r="H109" t="s">
        <v>2268</v>
      </c>
      <c r="I109" t="s">
        <v>2269</v>
      </c>
      <c r="J109" s="5" t="str" cm="1">
        <f t="array" ref="J109">IF(SUM(COUNTIF(Text_Preprocessing__22458[[#This Row],[full_text]],{"*makan siang gratis*";"*MBG*";"*makan gratis*";"*makan bergizi gratis*";"*makangratis*";"*makanan gratis*"})),"Relevan","Tidak Relevan")</f>
        <v>Relevan</v>
      </c>
    </row>
    <row r="110" spans="1:10" x14ac:dyDescent="0.35">
      <c r="A110">
        <f t="shared" si="1"/>
        <v>109</v>
      </c>
      <c r="B110" t="s">
        <v>2270</v>
      </c>
      <c r="C110" t="s">
        <v>263</v>
      </c>
      <c r="D110" t="s">
        <v>3628</v>
      </c>
      <c r="E110" t="s">
        <v>2271</v>
      </c>
      <c r="F110" t="s">
        <v>2272</v>
      </c>
      <c r="G110" t="s">
        <v>2273</v>
      </c>
      <c r="H110" t="s">
        <v>2273</v>
      </c>
      <c r="I110" t="s">
        <v>2274</v>
      </c>
      <c r="J110" s="5" t="str" cm="1">
        <f t="array" ref="J110">IF(SUM(COUNTIF(Text_Preprocessing__22458[[#This Row],[full_text]],{"*makan siang gratis*";"*MBG*";"*makan gratis*";"*makan bergizi gratis*";"*makangratis*";"*makanan gratis*"})),"Relevan","Tidak Relevan")</f>
        <v>Relevan</v>
      </c>
    </row>
    <row r="111" spans="1:10" x14ac:dyDescent="0.35">
      <c r="A111">
        <f t="shared" si="1"/>
        <v>110</v>
      </c>
      <c r="B111" t="s">
        <v>2275</v>
      </c>
      <c r="C111" t="s">
        <v>265</v>
      </c>
      <c r="D111" t="s">
        <v>3634</v>
      </c>
      <c r="E111" t="s">
        <v>2276</v>
      </c>
      <c r="F111" t="s">
        <v>1596</v>
      </c>
      <c r="G111" t="s">
        <v>2277</v>
      </c>
      <c r="H111" t="s">
        <v>2277</v>
      </c>
      <c r="I111" t="s">
        <v>2278</v>
      </c>
      <c r="J111" s="5" t="str" cm="1">
        <f t="array" ref="J111">IF(SUM(COUNTIF(Text_Preprocessing__22458[[#This Row],[full_text]],{"*makan siang gratis*";"*MBG*";"*makan gratis*";"*makan bergizi gratis*";"*makangratis*";"*makanan gratis*"})),"Relevan","Tidak Relevan")</f>
        <v>Relevan</v>
      </c>
    </row>
    <row r="112" spans="1:10" x14ac:dyDescent="0.35">
      <c r="A112">
        <f t="shared" si="1"/>
        <v>111</v>
      </c>
      <c r="B112" t="s">
        <v>2279</v>
      </c>
      <c r="C112" t="s">
        <v>267</v>
      </c>
      <c r="D112" t="s">
        <v>3632</v>
      </c>
      <c r="E112" t="s">
        <v>2280</v>
      </c>
      <c r="F112" t="s">
        <v>1657</v>
      </c>
      <c r="G112" t="s">
        <v>2281</v>
      </c>
      <c r="H112" t="s">
        <v>2281</v>
      </c>
      <c r="I112" t="s">
        <v>2282</v>
      </c>
      <c r="J112" s="5" t="str" cm="1">
        <f t="array" ref="J112">IF(SUM(COUNTIF(Text_Preprocessing__22458[[#This Row],[full_text]],{"*makan siang gratis*";"*MBG*";"*makan gratis*";"*makan bergizi gratis*";"*makangratis*";"*makanan gratis*"})),"Relevan","Tidak Relevan")</f>
        <v>Relevan</v>
      </c>
    </row>
    <row r="113" spans="1:10" x14ac:dyDescent="0.35">
      <c r="A113">
        <f t="shared" si="1"/>
        <v>112</v>
      </c>
      <c r="B113" t="s">
        <v>2283</v>
      </c>
      <c r="C113" t="s">
        <v>269</v>
      </c>
      <c r="D113" t="s">
        <v>3628</v>
      </c>
      <c r="E113" t="s">
        <v>2284</v>
      </c>
      <c r="F113" t="s">
        <v>2285</v>
      </c>
      <c r="G113" t="s">
        <v>2286</v>
      </c>
      <c r="H113" t="s">
        <v>2286</v>
      </c>
      <c r="I113" t="s">
        <v>2287</v>
      </c>
      <c r="J113" s="5" t="str" cm="1">
        <f t="array" ref="J113">IF(SUM(COUNTIF(Text_Preprocessing__22458[[#This Row],[full_text]],{"*makan siang gratis*";"*MBG*";"*makan gratis*";"*makan bergizi gratis*";"*makangratis*";"*makanan gratis*"})),"Relevan","Tidak Relevan")</f>
        <v>Relevan</v>
      </c>
    </row>
    <row r="114" spans="1:10" x14ac:dyDescent="0.35">
      <c r="A114">
        <f t="shared" si="1"/>
        <v>113</v>
      </c>
      <c r="B114" t="s">
        <v>2293</v>
      </c>
      <c r="C114" t="s">
        <v>272</v>
      </c>
      <c r="D114" t="s">
        <v>3634</v>
      </c>
      <c r="E114" t="s">
        <v>2294</v>
      </c>
      <c r="F114" t="s">
        <v>1596</v>
      </c>
      <c r="G114" t="s">
        <v>2295</v>
      </c>
      <c r="H114" t="s">
        <v>2295</v>
      </c>
      <c r="I114" t="s">
        <v>2296</v>
      </c>
      <c r="J114" s="5" t="str" cm="1">
        <f t="array" ref="J114">IF(SUM(COUNTIF(Text_Preprocessing__22458[[#This Row],[full_text]],{"*makan siang gratis*";"*MBG*";"*makan gratis*";"*makan bergizi gratis*";"*makangratis*";"*makanan gratis*"})),"Relevan","Tidak Relevan")</f>
        <v>Relevan</v>
      </c>
    </row>
    <row r="115" spans="1:10" x14ac:dyDescent="0.35">
      <c r="A115">
        <f t="shared" si="1"/>
        <v>114</v>
      </c>
      <c r="B115" t="s">
        <v>2297</v>
      </c>
      <c r="C115" t="s">
        <v>274</v>
      </c>
      <c r="D115" t="s">
        <v>3628</v>
      </c>
      <c r="E115" t="s">
        <v>2298</v>
      </c>
      <c r="F115" t="s">
        <v>2299</v>
      </c>
      <c r="G115" t="s">
        <v>2300</v>
      </c>
      <c r="H115" t="s">
        <v>2300</v>
      </c>
      <c r="I115" t="s">
        <v>2301</v>
      </c>
      <c r="J115" s="5" t="str" cm="1">
        <f t="array" ref="J115">IF(SUM(COUNTIF(Text_Preprocessing__22458[[#This Row],[full_text]],{"*makan siang gratis*";"*MBG*";"*makan gratis*";"*makan bergizi gratis*";"*makangratis*";"*makanan gratis*"})),"Relevan","Tidak Relevan")</f>
        <v>Relevan</v>
      </c>
    </row>
    <row r="116" spans="1:10" x14ac:dyDescent="0.35">
      <c r="A116">
        <f t="shared" si="1"/>
        <v>115</v>
      </c>
      <c r="B116" t="s">
        <v>2302</v>
      </c>
      <c r="C116" t="s">
        <v>276</v>
      </c>
      <c r="D116" t="s">
        <v>3628</v>
      </c>
      <c r="E116" t="s">
        <v>2303</v>
      </c>
      <c r="F116" t="s">
        <v>1624</v>
      </c>
      <c r="G116" t="s">
        <v>2304</v>
      </c>
      <c r="H116" t="s">
        <v>2304</v>
      </c>
      <c r="I116" t="s">
        <v>2305</v>
      </c>
      <c r="J116" s="5" t="str" cm="1">
        <f t="array" ref="J116">IF(SUM(COUNTIF(Text_Preprocessing__22458[[#This Row],[full_text]],{"*makan siang gratis*";"*MBG*";"*makan gratis*";"*makan bergizi gratis*";"*makangratis*";"*makanan gratis*"})),"Relevan","Tidak Relevan")</f>
        <v>Relevan</v>
      </c>
    </row>
    <row r="117" spans="1:10" x14ac:dyDescent="0.35">
      <c r="A117">
        <f t="shared" si="1"/>
        <v>116</v>
      </c>
      <c r="B117" t="s">
        <v>2315</v>
      </c>
      <c r="C117" t="s">
        <v>280</v>
      </c>
      <c r="D117" t="s">
        <v>3628</v>
      </c>
      <c r="E117" t="s">
        <v>2316</v>
      </c>
      <c r="F117" t="s">
        <v>1893</v>
      </c>
      <c r="G117" t="s">
        <v>2317</v>
      </c>
      <c r="H117" t="s">
        <v>2317</v>
      </c>
      <c r="I117" t="s">
        <v>2318</v>
      </c>
      <c r="J117" s="5" t="str" cm="1">
        <f t="array" ref="J117">IF(SUM(COUNTIF(Text_Preprocessing__22458[[#This Row],[full_text]],{"*makan siang gratis*";"*MBG*";"*makan gratis*";"*makan bergizi gratis*";"*makangratis*";"*makanan gratis*"})),"Relevan","Tidak Relevan")</f>
        <v>Relevan</v>
      </c>
    </row>
    <row r="118" spans="1:10" x14ac:dyDescent="0.35">
      <c r="A118">
        <f t="shared" si="1"/>
        <v>117</v>
      </c>
      <c r="B118" t="s">
        <v>2319</v>
      </c>
      <c r="C118" t="s">
        <v>282</v>
      </c>
      <c r="D118" t="s">
        <v>3628</v>
      </c>
      <c r="E118" t="s">
        <v>2320</v>
      </c>
      <c r="F118" t="s">
        <v>1799</v>
      </c>
      <c r="G118" t="s">
        <v>2321</v>
      </c>
      <c r="H118" t="s">
        <v>2321</v>
      </c>
      <c r="I118" t="s">
        <v>2322</v>
      </c>
      <c r="J118" s="5" t="str" cm="1">
        <f t="array" ref="J118">IF(SUM(COUNTIF(Text_Preprocessing__22458[[#This Row],[full_text]],{"*makan siang gratis*";"*MBG*";"*makan gratis*";"*makan bergizi gratis*";"*makangratis*";"*makanan gratis*"})),"Relevan","Tidak Relevan")</f>
        <v>Relevan</v>
      </c>
    </row>
    <row r="119" spans="1:10" x14ac:dyDescent="0.35">
      <c r="A119">
        <f t="shared" si="1"/>
        <v>118</v>
      </c>
      <c r="B119" t="s">
        <v>2328</v>
      </c>
      <c r="C119" t="s">
        <v>285</v>
      </c>
      <c r="D119" t="s">
        <v>3632</v>
      </c>
      <c r="E119" t="s">
        <v>2329</v>
      </c>
      <c r="F119" t="s">
        <v>1990</v>
      </c>
      <c r="G119" t="s">
        <v>2330</v>
      </c>
      <c r="H119" t="s">
        <v>2331</v>
      </c>
      <c r="I119" t="s">
        <v>2332</v>
      </c>
      <c r="J119" s="5" t="str" cm="1">
        <f t="array" ref="J119">IF(SUM(COUNTIF(Text_Preprocessing__22458[[#This Row],[full_text]],{"*makan siang gratis*";"*MBG*";"*makan gratis*";"*makan bergizi gratis*";"*makangratis*";"*makanan gratis*"})),"Relevan","Tidak Relevan")</f>
        <v>Relevan</v>
      </c>
    </row>
    <row r="120" spans="1:10" x14ac:dyDescent="0.35">
      <c r="A120">
        <f t="shared" si="1"/>
        <v>119</v>
      </c>
      <c r="B120" t="s">
        <v>2342</v>
      </c>
      <c r="C120" t="s">
        <v>289</v>
      </c>
      <c r="D120" t="s">
        <v>3628</v>
      </c>
      <c r="E120" t="s">
        <v>2343</v>
      </c>
      <c r="F120" t="s">
        <v>1893</v>
      </c>
      <c r="G120" t="s">
        <v>2344</v>
      </c>
      <c r="H120" t="s">
        <v>2344</v>
      </c>
      <c r="I120" t="s">
        <v>2345</v>
      </c>
      <c r="J120" s="5" t="str" cm="1">
        <f t="array" ref="J120">IF(SUM(COUNTIF(Text_Preprocessing__22458[[#This Row],[full_text]],{"*makan siang gratis*";"*MBG*";"*makan gratis*";"*makan bergizi gratis*";"*makangratis*";"*makanan gratis*"})),"Relevan","Tidak Relevan")</f>
        <v>Relevan</v>
      </c>
    </row>
    <row r="121" spans="1:10" x14ac:dyDescent="0.35">
      <c r="A121">
        <f t="shared" si="1"/>
        <v>120</v>
      </c>
      <c r="B121" t="s">
        <v>2346</v>
      </c>
      <c r="C121" t="s">
        <v>291</v>
      </c>
      <c r="D121" t="s">
        <v>3629</v>
      </c>
      <c r="E121" t="s">
        <v>2347</v>
      </c>
      <c r="F121" t="s">
        <v>2348</v>
      </c>
      <c r="G121" t="s">
        <v>2349</v>
      </c>
      <c r="H121" t="s">
        <v>2349</v>
      </c>
      <c r="I121" t="s">
        <v>2350</v>
      </c>
      <c r="J121" s="5" t="str" cm="1">
        <f t="array" ref="J121">IF(SUM(COUNTIF(Text_Preprocessing__22458[[#This Row],[full_text]],{"*makan siang gratis*";"*MBG*";"*makan gratis*";"*makan bergizi gratis*";"*makangratis*";"*makanan gratis*"})),"Relevan","Tidak Relevan")</f>
        <v>Relevan</v>
      </c>
    </row>
    <row r="122" spans="1:10" x14ac:dyDescent="0.35">
      <c r="A122">
        <f t="shared" si="1"/>
        <v>121</v>
      </c>
      <c r="B122" t="s">
        <v>2355</v>
      </c>
      <c r="C122" t="s">
        <v>294</v>
      </c>
      <c r="D122" t="s">
        <v>3628</v>
      </c>
      <c r="E122" t="s">
        <v>2356</v>
      </c>
      <c r="F122" t="s">
        <v>2357</v>
      </c>
      <c r="G122" t="s">
        <v>2358</v>
      </c>
      <c r="H122" t="s">
        <v>2359</v>
      </c>
      <c r="I122" t="s">
        <v>2360</v>
      </c>
      <c r="J122" s="5" t="str" cm="1">
        <f t="array" ref="J122">IF(SUM(COUNTIF(Text_Preprocessing__22458[[#This Row],[full_text]],{"*makan siang gratis*";"*MBG*";"*makan gratis*";"*makan bergizi gratis*";"*makangratis*";"*makanan gratis*"})),"Relevan","Tidak Relevan")</f>
        <v>Relevan</v>
      </c>
    </row>
    <row r="123" spans="1:10" x14ac:dyDescent="0.35">
      <c r="A123">
        <f t="shared" si="1"/>
        <v>122</v>
      </c>
      <c r="B123" t="s">
        <v>2361</v>
      </c>
      <c r="C123" t="s">
        <v>296</v>
      </c>
      <c r="D123" t="s">
        <v>3629</v>
      </c>
      <c r="E123" t="s">
        <v>2362</v>
      </c>
      <c r="F123" t="s">
        <v>1730</v>
      </c>
      <c r="G123" t="s">
        <v>2363</v>
      </c>
      <c r="H123" t="s">
        <v>2363</v>
      </c>
      <c r="I123" t="s">
        <v>2364</v>
      </c>
      <c r="J123" s="5" t="str" cm="1">
        <f t="array" ref="J123">IF(SUM(COUNTIF(Text_Preprocessing__22458[[#This Row],[full_text]],{"*makan siang gratis*";"*MBG*";"*makan gratis*";"*makan bergizi gratis*";"*makangratis*";"*makanan gratis*"})),"Relevan","Tidak Relevan")</f>
        <v>Relevan</v>
      </c>
    </row>
    <row r="124" spans="1:10" x14ac:dyDescent="0.35">
      <c r="A124">
        <f t="shared" si="1"/>
        <v>123</v>
      </c>
      <c r="B124" t="s">
        <v>2390</v>
      </c>
      <c r="C124" t="s">
        <v>304</v>
      </c>
      <c r="D124" t="s">
        <v>3628</v>
      </c>
      <c r="E124" t="s">
        <v>2391</v>
      </c>
      <c r="F124" t="s">
        <v>2149</v>
      </c>
      <c r="G124" t="s">
        <v>2392</v>
      </c>
      <c r="H124" t="s">
        <v>2392</v>
      </c>
      <c r="I124" t="s">
        <v>2393</v>
      </c>
      <c r="J124" s="5" t="str" cm="1">
        <f t="array" ref="J124">IF(SUM(COUNTIF(Text_Preprocessing__22458[[#This Row],[full_text]],{"*makan siang gratis*";"*MBG*";"*makan gratis*";"*makan bergizi gratis*";"*makangratis*";"*makanan gratis*"})),"Relevan","Tidak Relevan")</f>
        <v>Relevan</v>
      </c>
    </row>
    <row r="125" spans="1:10" x14ac:dyDescent="0.35">
      <c r="A125">
        <f t="shared" si="1"/>
        <v>124</v>
      </c>
      <c r="B125" t="s">
        <v>2402</v>
      </c>
      <c r="C125" t="s">
        <v>308</v>
      </c>
      <c r="D125" t="s">
        <v>3628</v>
      </c>
      <c r="E125" t="s">
        <v>2403</v>
      </c>
      <c r="F125" t="s">
        <v>2229</v>
      </c>
      <c r="G125" t="s">
        <v>2404</v>
      </c>
      <c r="H125" t="s">
        <v>2404</v>
      </c>
      <c r="I125" t="s">
        <v>2405</v>
      </c>
      <c r="J125" s="5" t="str" cm="1">
        <f t="array" ref="J125">IF(SUM(COUNTIF(Text_Preprocessing__22458[[#This Row],[full_text]],{"*makan siang gratis*";"*MBG*";"*makan gratis*";"*makan bergizi gratis*";"*makangratis*";"*makanan gratis*"})),"Relevan","Tidak Relevan")</f>
        <v>Relevan</v>
      </c>
    </row>
    <row r="126" spans="1:10" x14ac:dyDescent="0.35">
      <c r="A126">
        <f t="shared" si="1"/>
        <v>125</v>
      </c>
      <c r="B126" t="s">
        <v>2406</v>
      </c>
      <c r="C126" t="s">
        <v>310</v>
      </c>
      <c r="D126" t="s">
        <v>3632</v>
      </c>
      <c r="E126" t="s">
        <v>2407</v>
      </c>
      <c r="F126" t="s">
        <v>1823</v>
      </c>
      <c r="G126" t="s">
        <v>2408</v>
      </c>
      <c r="H126" t="s">
        <v>2408</v>
      </c>
      <c r="I126" t="s">
        <v>2409</v>
      </c>
      <c r="J126" s="5" t="str" cm="1">
        <f t="array" ref="J126">IF(SUM(COUNTIF(Text_Preprocessing__22458[[#This Row],[full_text]],{"*makan siang gratis*";"*MBG*";"*makan gratis*";"*makan bergizi gratis*";"*makangratis*";"*makanan gratis*"})),"Relevan","Tidak Relevan")</f>
        <v>Relevan</v>
      </c>
    </row>
    <row r="127" spans="1:10" x14ac:dyDescent="0.35">
      <c r="A127">
        <f t="shared" si="1"/>
        <v>126</v>
      </c>
      <c r="B127" t="s">
        <v>2410</v>
      </c>
      <c r="C127" t="s">
        <v>312</v>
      </c>
      <c r="D127" t="s">
        <v>3628</v>
      </c>
      <c r="E127" t="s">
        <v>2411</v>
      </c>
      <c r="F127" t="s">
        <v>2205</v>
      </c>
      <c r="G127" t="s">
        <v>2412</v>
      </c>
      <c r="H127" t="s">
        <v>2412</v>
      </c>
      <c r="I127" t="s">
        <v>2413</v>
      </c>
      <c r="J127" s="5" t="str" cm="1">
        <f t="array" ref="J127">IF(SUM(COUNTIF(Text_Preprocessing__22458[[#This Row],[full_text]],{"*makan siang gratis*";"*MBG*";"*makan gratis*";"*makan bergizi gratis*";"*makangratis*";"*makanan gratis*"})),"Relevan","Tidak Relevan")</f>
        <v>Relevan</v>
      </c>
    </row>
    <row r="128" spans="1:10" x14ac:dyDescent="0.35">
      <c r="A128">
        <f t="shared" si="1"/>
        <v>127</v>
      </c>
      <c r="B128" t="s">
        <v>2414</v>
      </c>
      <c r="C128" t="s">
        <v>314</v>
      </c>
      <c r="D128" t="s">
        <v>3632</v>
      </c>
      <c r="E128" t="s">
        <v>2415</v>
      </c>
      <c r="F128" t="s">
        <v>1893</v>
      </c>
      <c r="G128" t="s">
        <v>2416</v>
      </c>
      <c r="H128" t="s">
        <v>2417</v>
      </c>
      <c r="I128" t="s">
        <v>2418</v>
      </c>
      <c r="J128" s="5" t="str" cm="1">
        <f t="array" ref="J128">IF(SUM(COUNTIF(Text_Preprocessing__22458[[#This Row],[full_text]],{"*makan siang gratis*";"*MBG*";"*makan gratis*";"*makan bergizi gratis*";"*makangratis*";"*makanan gratis*"})),"Relevan","Tidak Relevan")</f>
        <v>Relevan</v>
      </c>
    </row>
    <row r="129" spans="1:10" x14ac:dyDescent="0.35">
      <c r="A129">
        <f t="shared" si="1"/>
        <v>128</v>
      </c>
      <c r="B129" t="s">
        <v>2419</v>
      </c>
      <c r="C129" t="s">
        <v>316</v>
      </c>
      <c r="D129" t="s">
        <v>3628</v>
      </c>
      <c r="E129" t="s">
        <v>2420</v>
      </c>
      <c r="F129" t="s">
        <v>2229</v>
      </c>
      <c r="G129" t="s">
        <v>2421</v>
      </c>
      <c r="H129" t="s">
        <v>2422</v>
      </c>
      <c r="I129" t="s">
        <v>2423</v>
      </c>
      <c r="J129" s="5" t="str" cm="1">
        <f t="array" ref="J129">IF(SUM(COUNTIF(Text_Preprocessing__22458[[#This Row],[full_text]],{"*makan siang gratis*";"*MBG*";"*makan gratis*";"*makan bergizi gratis*";"*makangratis*";"*makanan gratis*"})),"Relevan","Tidak Relevan")</f>
        <v>Relevan</v>
      </c>
    </row>
    <row r="130" spans="1:10" x14ac:dyDescent="0.35">
      <c r="A130">
        <f t="shared" si="1"/>
        <v>129</v>
      </c>
      <c r="B130" t="s">
        <v>2432</v>
      </c>
      <c r="C130" t="s">
        <v>324</v>
      </c>
      <c r="D130" t="s">
        <v>3628</v>
      </c>
      <c r="E130" t="s">
        <v>2433</v>
      </c>
      <c r="F130" t="s">
        <v>1839</v>
      </c>
      <c r="G130" t="s">
        <v>2434</v>
      </c>
      <c r="H130" t="s">
        <v>2434</v>
      </c>
      <c r="I130" t="s">
        <v>2435</v>
      </c>
      <c r="J130" s="5" t="str" cm="1">
        <f t="array" ref="J130">IF(SUM(COUNTIF(Text_Preprocessing__22458[[#This Row],[full_text]],{"*makan siang gratis*";"*MBG*";"*makan gratis*";"*makan bergizi gratis*";"*makangratis*";"*makanan gratis*"})),"Relevan","Tidak Relevan")</f>
        <v>Relevan</v>
      </c>
    </row>
    <row r="131" spans="1:10" x14ac:dyDescent="0.35">
      <c r="A131">
        <f t="shared" ref="A131:A194" si="2">SUM(A130+1)</f>
        <v>130</v>
      </c>
      <c r="B131" t="s">
        <v>2436</v>
      </c>
      <c r="C131" t="s">
        <v>326</v>
      </c>
      <c r="D131" t="s">
        <v>3628</v>
      </c>
      <c r="E131" t="s">
        <v>2437</v>
      </c>
      <c r="F131" t="s">
        <v>1613</v>
      </c>
      <c r="G131" t="s">
        <v>2438</v>
      </c>
      <c r="H131" t="s">
        <v>2438</v>
      </c>
      <c r="I131" t="s">
        <v>2439</v>
      </c>
      <c r="J131" s="5" t="str" cm="1">
        <f t="array" ref="J131">IF(SUM(COUNTIF(Text_Preprocessing__22458[[#This Row],[full_text]],{"*makan siang gratis*";"*MBG*";"*makan gratis*";"*makan bergizi gratis*";"*makangratis*";"*makanan gratis*"})),"Relevan","Tidak Relevan")</f>
        <v>Relevan</v>
      </c>
    </row>
    <row r="132" spans="1:10" x14ac:dyDescent="0.35">
      <c r="A132">
        <f t="shared" si="2"/>
        <v>131</v>
      </c>
      <c r="B132" t="s">
        <v>2449</v>
      </c>
      <c r="C132" t="s">
        <v>330</v>
      </c>
      <c r="D132" t="s">
        <v>3628</v>
      </c>
      <c r="E132" t="s">
        <v>2450</v>
      </c>
      <c r="F132" t="s">
        <v>2114</v>
      </c>
      <c r="G132" t="s">
        <v>2451</v>
      </c>
      <c r="H132" t="s">
        <v>2451</v>
      </c>
      <c r="I132" t="s">
        <v>2452</v>
      </c>
      <c r="J132" s="5" t="str" cm="1">
        <f t="array" ref="J132">IF(SUM(COUNTIF(Text_Preprocessing__22458[[#This Row],[full_text]],{"*makan siang gratis*";"*MBG*";"*makan gratis*";"*makan bergizi gratis*";"*makangratis*";"*makanan gratis*"})),"Relevan","Tidak Relevan")</f>
        <v>Relevan</v>
      </c>
    </row>
    <row r="133" spans="1:10" x14ac:dyDescent="0.35">
      <c r="A133">
        <f t="shared" si="2"/>
        <v>132</v>
      </c>
      <c r="B133" t="s">
        <v>2453</v>
      </c>
      <c r="C133" t="s">
        <v>332</v>
      </c>
      <c r="D133" t="s">
        <v>3628</v>
      </c>
      <c r="E133" t="s">
        <v>2454</v>
      </c>
      <c r="F133" t="s">
        <v>2041</v>
      </c>
      <c r="G133" t="s">
        <v>2455</v>
      </c>
      <c r="H133" t="s">
        <v>2455</v>
      </c>
      <c r="I133" t="s">
        <v>2456</v>
      </c>
      <c r="J133" s="5" t="str" cm="1">
        <f t="array" ref="J133">IF(SUM(COUNTIF(Text_Preprocessing__22458[[#This Row],[full_text]],{"*makan siang gratis*";"*MBG*";"*makan gratis*";"*makan bergizi gratis*";"*makangratis*";"*makanan gratis*"})),"Relevan","Tidak Relevan")</f>
        <v>Relevan</v>
      </c>
    </row>
    <row r="134" spans="1:10" x14ac:dyDescent="0.35">
      <c r="A134">
        <f t="shared" si="2"/>
        <v>133</v>
      </c>
      <c r="B134" t="s">
        <v>2462</v>
      </c>
      <c r="C134" t="s">
        <v>335</v>
      </c>
      <c r="D134" t="s">
        <v>3628</v>
      </c>
      <c r="E134" t="s">
        <v>2463</v>
      </c>
      <c r="F134" t="s">
        <v>1839</v>
      </c>
      <c r="G134" t="s">
        <v>2464</v>
      </c>
      <c r="H134" t="s">
        <v>2464</v>
      </c>
      <c r="I134" t="s">
        <v>2465</v>
      </c>
      <c r="J134" s="5" t="str" cm="1">
        <f t="array" ref="J134">IF(SUM(COUNTIF(Text_Preprocessing__22458[[#This Row],[full_text]],{"*makan siang gratis*";"*MBG*";"*makan gratis*";"*makan bergizi gratis*";"*makangratis*";"*makanan gratis*"})),"Relevan","Tidak Relevan")</f>
        <v>Relevan</v>
      </c>
    </row>
    <row r="135" spans="1:10" x14ac:dyDescent="0.35">
      <c r="A135">
        <f t="shared" si="2"/>
        <v>134</v>
      </c>
      <c r="B135" t="s">
        <v>2466</v>
      </c>
      <c r="C135" t="s">
        <v>337</v>
      </c>
      <c r="D135" t="s">
        <v>3632</v>
      </c>
      <c r="E135" t="s">
        <v>2467</v>
      </c>
      <c r="F135" t="s">
        <v>1629</v>
      </c>
      <c r="G135" t="s">
        <v>2468</v>
      </c>
      <c r="H135" t="s">
        <v>2469</v>
      </c>
      <c r="I135" t="s">
        <v>2470</v>
      </c>
      <c r="J135" s="5" t="str" cm="1">
        <f t="array" ref="J135">IF(SUM(COUNTIF(Text_Preprocessing__22458[[#This Row],[full_text]],{"*makan siang gratis*";"*MBG*";"*makan gratis*";"*makan bergizi gratis*";"*makangratis*";"*makanan gratis*"})),"Relevan","Tidak Relevan")</f>
        <v>Relevan</v>
      </c>
    </row>
    <row r="136" spans="1:10" x14ac:dyDescent="0.35">
      <c r="A136">
        <f t="shared" si="2"/>
        <v>135</v>
      </c>
      <c r="B136" t="s">
        <v>2471</v>
      </c>
      <c r="C136" t="s">
        <v>339</v>
      </c>
      <c r="D136" t="s">
        <v>3628</v>
      </c>
      <c r="E136" t="s">
        <v>2472</v>
      </c>
      <c r="F136" t="s">
        <v>1663</v>
      </c>
      <c r="G136" t="s">
        <v>2473</v>
      </c>
      <c r="H136" t="s">
        <v>2473</v>
      </c>
      <c r="I136" t="s">
        <v>2474</v>
      </c>
      <c r="J136" s="5" t="str" cm="1">
        <f t="array" ref="J136">IF(SUM(COUNTIF(Text_Preprocessing__22458[[#This Row],[full_text]],{"*makan siang gratis*";"*MBG*";"*makan gratis*";"*makan bergizi gratis*";"*makangratis*";"*makanan gratis*"})),"Relevan","Tidak Relevan")</f>
        <v>Relevan</v>
      </c>
    </row>
    <row r="137" spans="1:10" x14ac:dyDescent="0.35">
      <c r="A137">
        <f t="shared" si="2"/>
        <v>136</v>
      </c>
      <c r="B137" t="s">
        <v>2475</v>
      </c>
      <c r="C137" t="s">
        <v>341</v>
      </c>
      <c r="D137" t="s">
        <v>3628</v>
      </c>
      <c r="E137" t="s">
        <v>2476</v>
      </c>
      <c r="F137" t="s">
        <v>2109</v>
      </c>
      <c r="G137" t="s">
        <v>2477</v>
      </c>
      <c r="H137" t="s">
        <v>2477</v>
      </c>
      <c r="I137" t="s">
        <v>2478</v>
      </c>
      <c r="J137" s="5" t="str" cm="1">
        <f t="array" ref="J137">IF(SUM(COUNTIF(Text_Preprocessing__22458[[#This Row],[full_text]],{"*makan siang gratis*";"*MBG*";"*makan gratis*";"*makan bergizi gratis*";"*makangratis*";"*makanan gratis*"})),"Relevan","Tidak Relevan")</f>
        <v>Relevan</v>
      </c>
    </row>
    <row r="138" spans="1:10" x14ac:dyDescent="0.35">
      <c r="A138">
        <f t="shared" si="2"/>
        <v>137</v>
      </c>
      <c r="B138" t="s">
        <v>2479</v>
      </c>
      <c r="C138" t="s">
        <v>343</v>
      </c>
      <c r="D138" t="s">
        <v>3628</v>
      </c>
      <c r="E138" t="s">
        <v>2480</v>
      </c>
      <c r="F138" t="s">
        <v>1990</v>
      </c>
      <c r="G138" t="s">
        <v>2481</v>
      </c>
      <c r="H138" t="s">
        <v>2481</v>
      </c>
      <c r="I138" t="s">
        <v>2482</v>
      </c>
      <c r="J138" s="5" t="str" cm="1">
        <f t="array" ref="J138">IF(SUM(COUNTIF(Text_Preprocessing__22458[[#This Row],[full_text]],{"*makan siang gratis*";"*MBG*";"*makan gratis*";"*makan bergizi gratis*";"*makangratis*";"*makanan gratis*"})),"Relevan","Tidak Relevan")</f>
        <v>Relevan</v>
      </c>
    </row>
    <row r="139" spans="1:10" x14ac:dyDescent="0.35">
      <c r="A139">
        <f t="shared" si="2"/>
        <v>138</v>
      </c>
      <c r="B139" t="s">
        <v>2483</v>
      </c>
      <c r="C139" t="s">
        <v>345</v>
      </c>
      <c r="D139" t="s">
        <v>3634</v>
      </c>
      <c r="E139" t="s">
        <v>2484</v>
      </c>
      <c r="F139" t="s">
        <v>1785</v>
      </c>
      <c r="G139" t="s">
        <v>2485</v>
      </c>
      <c r="H139" t="s">
        <v>2485</v>
      </c>
      <c r="I139" t="s">
        <v>2486</v>
      </c>
      <c r="J139" s="5" t="str" cm="1">
        <f t="array" ref="J139">IF(SUM(COUNTIF(Text_Preprocessing__22458[[#This Row],[full_text]],{"*makan siang gratis*";"*MBG*";"*makan gratis*";"*makan bergizi gratis*";"*makangratis*";"*makanan gratis*"})),"Relevan","Tidak Relevan")</f>
        <v>Relevan</v>
      </c>
    </row>
    <row r="140" spans="1:10" x14ac:dyDescent="0.35">
      <c r="A140">
        <f t="shared" si="2"/>
        <v>139</v>
      </c>
      <c r="B140" t="s">
        <v>2487</v>
      </c>
      <c r="C140" t="s">
        <v>347</v>
      </c>
      <c r="D140" t="s">
        <v>3628</v>
      </c>
      <c r="E140" t="s">
        <v>2488</v>
      </c>
      <c r="F140" t="s">
        <v>1844</v>
      </c>
      <c r="G140" t="s">
        <v>2489</v>
      </c>
      <c r="H140" t="s">
        <v>2489</v>
      </c>
      <c r="I140" t="s">
        <v>2490</v>
      </c>
      <c r="J140" s="5" t="str" cm="1">
        <f t="array" ref="J140">IF(SUM(COUNTIF(Text_Preprocessing__22458[[#This Row],[full_text]],{"*makan siang gratis*";"*MBG*";"*makan gratis*";"*makan bergizi gratis*";"*makangratis*";"*makanan gratis*"})),"Relevan","Tidak Relevan")</f>
        <v>Relevan</v>
      </c>
    </row>
    <row r="141" spans="1:10" x14ac:dyDescent="0.35">
      <c r="A141">
        <f t="shared" si="2"/>
        <v>140</v>
      </c>
      <c r="B141" t="s">
        <v>2491</v>
      </c>
      <c r="C141" t="s">
        <v>349</v>
      </c>
      <c r="D141" t="s">
        <v>3634</v>
      </c>
      <c r="E141" t="s">
        <v>2492</v>
      </c>
      <c r="F141" t="s">
        <v>1596</v>
      </c>
      <c r="G141" t="s">
        <v>2493</v>
      </c>
      <c r="H141" t="s">
        <v>2493</v>
      </c>
      <c r="I141" t="s">
        <v>2494</v>
      </c>
      <c r="J141" s="5" t="str" cm="1">
        <f t="array" ref="J141">IF(SUM(COUNTIF(Text_Preprocessing__22458[[#This Row],[full_text]],{"*makan siang gratis*";"*MBG*";"*makan gratis*";"*makan bergizi gratis*";"*makangratis*";"*makanan gratis*"})),"Relevan","Tidak Relevan")</f>
        <v>Relevan</v>
      </c>
    </row>
    <row r="142" spans="1:10" x14ac:dyDescent="0.35">
      <c r="A142">
        <f t="shared" si="2"/>
        <v>141</v>
      </c>
      <c r="B142" t="s">
        <v>2499</v>
      </c>
      <c r="C142" t="s">
        <v>352</v>
      </c>
      <c r="D142" t="s">
        <v>3632</v>
      </c>
      <c r="E142" t="s">
        <v>2500</v>
      </c>
      <c r="F142" t="s">
        <v>2312</v>
      </c>
      <c r="G142" t="s">
        <v>2501</v>
      </c>
      <c r="H142" t="s">
        <v>2501</v>
      </c>
      <c r="I142" t="s">
        <v>2502</v>
      </c>
      <c r="J142" s="5" t="str" cm="1">
        <f t="array" ref="J142">IF(SUM(COUNTIF(Text_Preprocessing__22458[[#This Row],[full_text]],{"*makan siang gratis*";"*MBG*";"*makan gratis*";"*makan bergizi gratis*";"*makangratis*";"*makanan gratis*"})),"Relevan","Tidak Relevan")</f>
        <v>Relevan</v>
      </c>
    </row>
    <row r="143" spans="1:10" x14ac:dyDescent="0.35">
      <c r="A143">
        <f t="shared" si="2"/>
        <v>142</v>
      </c>
      <c r="B143" t="s">
        <v>2503</v>
      </c>
      <c r="C143" t="s">
        <v>354</v>
      </c>
      <c r="D143" t="s">
        <v>3629</v>
      </c>
      <c r="E143" t="s">
        <v>2504</v>
      </c>
      <c r="F143" t="s">
        <v>2505</v>
      </c>
      <c r="G143" t="s">
        <v>2506</v>
      </c>
      <c r="H143" t="s">
        <v>2506</v>
      </c>
      <c r="I143" t="s">
        <v>2507</v>
      </c>
      <c r="J143" s="5" t="str" cm="1">
        <f t="array" ref="J143">IF(SUM(COUNTIF(Text_Preprocessing__22458[[#This Row],[full_text]],{"*makan siang gratis*";"*MBG*";"*makan gratis*";"*makan bergizi gratis*";"*makangratis*";"*makanan gratis*"})),"Relevan","Tidak Relevan")</f>
        <v>Relevan</v>
      </c>
    </row>
    <row r="144" spans="1:10" x14ac:dyDescent="0.35">
      <c r="A144">
        <f t="shared" si="2"/>
        <v>143</v>
      </c>
      <c r="B144" t="s">
        <v>2547</v>
      </c>
      <c r="C144" t="s">
        <v>365</v>
      </c>
      <c r="D144" t="s">
        <v>3634</v>
      </c>
      <c r="E144" t="s">
        <v>2548</v>
      </c>
      <c r="F144" t="s">
        <v>1692</v>
      </c>
      <c r="G144" t="s">
        <v>2549</v>
      </c>
      <c r="H144" t="s">
        <v>2549</v>
      </c>
      <c r="I144" t="s">
        <v>2550</v>
      </c>
      <c r="J144" s="5" t="str" cm="1">
        <f t="array" ref="J144">IF(SUM(COUNTIF(Text_Preprocessing__22458[[#This Row],[full_text]],{"*makan siang gratis*";"*MBG*";"*makan gratis*";"*makan bergizi gratis*";"*makangratis*";"*makanan gratis*"})),"Relevan","Tidak Relevan")</f>
        <v>Relevan</v>
      </c>
    </row>
    <row r="145" spans="1:10" x14ac:dyDescent="0.35">
      <c r="A145">
        <f t="shared" si="2"/>
        <v>144</v>
      </c>
      <c r="B145" t="s">
        <v>2551</v>
      </c>
      <c r="C145" t="s">
        <v>367</v>
      </c>
      <c r="D145" t="s">
        <v>3632</v>
      </c>
      <c r="E145" t="s">
        <v>2552</v>
      </c>
      <c r="F145" t="s">
        <v>2553</v>
      </c>
      <c r="G145" t="s">
        <v>2554</v>
      </c>
      <c r="H145" t="s">
        <v>2554</v>
      </c>
      <c r="I145" t="s">
        <v>2555</v>
      </c>
      <c r="J145" s="5" t="str" cm="1">
        <f t="array" ref="J145">IF(SUM(COUNTIF(Text_Preprocessing__22458[[#This Row],[full_text]],{"*makan siang gratis*";"*MBG*";"*makan gratis*";"*makan bergizi gratis*";"*makangratis*";"*makanan gratis*"})),"Relevan","Tidak Relevan")</f>
        <v>Relevan</v>
      </c>
    </row>
    <row r="146" spans="1:10" x14ac:dyDescent="0.35">
      <c r="A146">
        <f t="shared" si="2"/>
        <v>145</v>
      </c>
      <c r="B146" t="s">
        <v>2556</v>
      </c>
      <c r="C146" t="s">
        <v>369</v>
      </c>
      <c r="D146" t="s">
        <v>3628</v>
      </c>
      <c r="E146" t="s">
        <v>2557</v>
      </c>
      <c r="F146" t="s">
        <v>2558</v>
      </c>
      <c r="G146" t="s">
        <v>2559</v>
      </c>
      <c r="H146" t="s">
        <v>2559</v>
      </c>
      <c r="I146" t="s">
        <v>2560</v>
      </c>
      <c r="J146" s="5" t="str" cm="1">
        <f t="array" ref="J146">IF(SUM(COUNTIF(Text_Preprocessing__22458[[#This Row],[full_text]],{"*makan siang gratis*";"*MBG*";"*makan gratis*";"*makan bergizi gratis*";"*makangratis*";"*makanan gratis*"})),"Relevan","Tidak Relevan")</f>
        <v>Relevan</v>
      </c>
    </row>
    <row r="147" spans="1:10" x14ac:dyDescent="0.35">
      <c r="A147">
        <f t="shared" si="2"/>
        <v>146</v>
      </c>
      <c r="B147" t="s">
        <v>2561</v>
      </c>
      <c r="C147" t="s">
        <v>371</v>
      </c>
      <c r="D147" t="s">
        <v>3628</v>
      </c>
      <c r="E147" t="s">
        <v>2562</v>
      </c>
      <c r="F147" t="s">
        <v>1596</v>
      </c>
      <c r="G147" t="s">
        <v>2563</v>
      </c>
      <c r="H147" t="s">
        <v>2563</v>
      </c>
      <c r="I147" t="s">
        <v>2564</v>
      </c>
      <c r="J147" s="5" t="str" cm="1">
        <f t="array" ref="J147">IF(SUM(COUNTIF(Text_Preprocessing__22458[[#This Row],[full_text]],{"*makan siang gratis*";"*MBG*";"*makan gratis*";"*makan bergizi gratis*";"*makangratis*";"*makanan gratis*"})),"Relevan","Tidak Relevan")</f>
        <v>Relevan</v>
      </c>
    </row>
    <row r="148" spans="1:10" x14ac:dyDescent="0.35">
      <c r="A148">
        <f t="shared" si="2"/>
        <v>147</v>
      </c>
      <c r="B148" t="s">
        <v>2565</v>
      </c>
      <c r="C148" t="s">
        <v>373</v>
      </c>
      <c r="D148" t="s">
        <v>3628</v>
      </c>
      <c r="E148" t="s">
        <v>2566</v>
      </c>
      <c r="F148" t="s">
        <v>1775</v>
      </c>
      <c r="G148" t="s">
        <v>2567</v>
      </c>
      <c r="H148" t="s">
        <v>2567</v>
      </c>
      <c r="I148" t="s">
        <v>2568</v>
      </c>
      <c r="J148" s="5" t="str" cm="1">
        <f t="array" ref="J148">IF(SUM(COUNTIF(Text_Preprocessing__22458[[#This Row],[full_text]],{"*makan siang gratis*";"*MBG*";"*makan gratis*";"*makan bergizi gratis*";"*makangratis*";"*makanan gratis*"})),"Relevan","Tidak Relevan")</f>
        <v>Relevan</v>
      </c>
    </row>
    <row r="149" spans="1:10" x14ac:dyDescent="0.35">
      <c r="A149">
        <f t="shared" si="2"/>
        <v>148</v>
      </c>
      <c r="B149" t="s">
        <v>2569</v>
      </c>
      <c r="C149" t="s">
        <v>375</v>
      </c>
      <c r="D149" t="s">
        <v>3634</v>
      </c>
      <c r="E149" t="s">
        <v>2570</v>
      </c>
      <c r="F149" t="s">
        <v>1663</v>
      </c>
      <c r="G149" t="s">
        <v>2571</v>
      </c>
      <c r="H149" t="s">
        <v>2571</v>
      </c>
      <c r="I149" t="s">
        <v>2572</v>
      </c>
      <c r="J149" s="5" t="str" cm="1">
        <f t="array" ref="J149">IF(SUM(COUNTIF(Text_Preprocessing__22458[[#This Row],[full_text]],{"*makan siang gratis*";"*MBG*";"*makan gratis*";"*makan bergizi gratis*";"*makangratis*";"*makanan gratis*"})),"Relevan","Tidak Relevan")</f>
        <v>Relevan</v>
      </c>
    </row>
    <row r="150" spans="1:10" x14ac:dyDescent="0.35">
      <c r="A150">
        <f t="shared" si="2"/>
        <v>149</v>
      </c>
      <c r="B150" t="s">
        <v>2573</v>
      </c>
      <c r="C150" t="s">
        <v>377</v>
      </c>
      <c r="D150" t="s">
        <v>3634</v>
      </c>
      <c r="E150" t="s">
        <v>2574</v>
      </c>
      <c r="F150" t="s">
        <v>1764</v>
      </c>
      <c r="G150" t="s">
        <v>2575</v>
      </c>
      <c r="H150" t="s">
        <v>2575</v>
      </c>
      <c r="I150" t="s">
        <v>2576</v>
      </c>
      <c r="J150" s="5" t="str" cm="1">
        <f t="array" ref="J150">IF(SUM(COUNTIF(Text_Preprocessing__22458[[#This Row],[full_text]],{"*makan siang gratis*";"*MBG*";"*makan gratis*";"*makan bergizi gratis*";"*makangratis*";"*makanan gratis*"})),"Relevan","Tidak Relevan")</f>
        <v>Relevan</v>
      </c>
    </row>
    <row r="151" spans="1:10" x14ac:dyDescent="0.35">
      <c r="A151">
        <f t="shared" si="2"/>
        <v>150</v>
      </c>
      <c r="B151" t="s">
        <v>2577</v>
      </c>
      <c r="C151" t="s">
        <v>379</v>
      </c>
      <c r="D151" t="s">
        <v>3632</v>
      </c>
      <c r="E151" t="s">
        <v>2578</v>
      </c>
      <c r="F151" t="s">
        <v>2134</v>
      </c>
      <c r="G151" t="s">
        <v>2579</v>
      </c>
      <c r="H151" t="s">
        <v>2579</v>
      </c>
      <c r="I151" t="s">
        <v>2580</v>
      </c>
      <c r="J151" s="5" t="str" cm="1">
        <f t="array" ref="J151">IF(SUM(COUNTIF(Text_Preprocessing__22458[[#This Row],[full_text]],{"*makan siang gratis*";"*MBG*";"*makan gratis*";"*makan bergizi gratis*";"*makangratis*";"*makanan gratis*"})),"Relevan","Tidak Relevan")</f>
        <v>Relevan</v>
      </c>
    </row>
    <row r="152" spans="1:10" x14ac:dyDescent="0.35">
      <c r="A152">
        <f t="shared" si="2"/>
        <v>151</v>
      </c>
      <c r="B152" t="s">
        <v>2585</v>
      </c>
      <c r="C152" t="s">
        <v>382</v>
      </c>
      <c r="D152" t="s">
        <v>3628</v>
      </c>
      <c r="E152" t="s">
        <v>2586</v>
      </c>
      <c r="F152" t="s">
        <v>2114</v>
      </c>
      <c r="G152" t="s">
        <v>2587</v>
      </c>
      <c r="H152" t="s">
        <v>2587</v>
      </c>
      <c r="I152" t="s">
        <v>2588</v>
      </c>
      <c r="J152" s="5" t="str" cm="1">
        <f t="array" ref="J152">IF(SUM(COUNTIF(Text_Preprocessing__22458[[#This Row],[full_text]],{"*makan siang gratis*";"*MBG*";"*makan gratis*";"*makan bergizi gratis*";"*makangratis*";"*makanan gratis*"})),"Relevan","Tidak Relevan")</f>
        <v>Relevan</v>
      </c>
    </row>
    <row r="153" spans="1:10" x14ac:dyDescent="0.35">
      <c r="A153">
        <f t="shared" si="2"/>
        <v>152</v>
      </c>
      <c r="B153" t="s">
        <v>2607</v>
      </c>
      <c r="C153" t="s">
        <v>391</v>
      </c>
      <c r="D153" t="s">
        <v>3628</v>
      </c>
      <c r="E153" t="s">
        <v>2608</v>
      </c>
      <c r="F153" t="s">
        <v>2609</v>
      </c>
      <c r="G153" t="s">
        <v>2610</v>
      </c>
      <c r="H153" t="s">
        <v>2610</v>
      </c>
      <c r="I153" t="s">
        <v>2611</v>
      </c>
      <c r="J153" s="5" t="str" cm="1">
        <f t="array" ref="J153">IF(SUM(COUNTIF(Text_Preprocessing__22458[[#This Row],[full_text]],{"*makan siang gratis*";"*MBG*";"*makan gratis*";"*makan bergizi gratis*";"*makangratis*";"*makanan gratis*"})),"Relevan","Tidak Relevan")</f>
        <v>Relevan</v>
      </c>
    </row>
    <row r="154" spans="1:10" x14ac:dyDescent="0.35">
      <c r="A154">
        <f t="shared" si="2"/>
        <v>153</v>
      </c>
      <c r="B154" t="s">
        <v>2612</v>
      </c>
      <c r="C154" t="s">
        <v>393</v>
      </c>
      <c r="D154" t="s">
        <v>3628</v>
      </c>
      <c r="E154" t="s">
        <v>2613</v>
      </c>
      <c r="F154" t="s">
        <v>2272</v>
      </c>
      <c r="G154" t="s">
        <v>2614</v>
      </c>
      <c r="H154" t="s">
        <v>2614</v>
      </c>
      <c r="I154" t="s">
        <v>2615</v>
      </c>
      <c r="J154" s="5" t="str" cm="1">
        <f t="array" ref="J154">IF(SUM(COUNTIF(Text_Preprocessing__22458[[#This Row],[full_text]],{"*makan siang gratis*";"*MBG*";"*makan gratis*";"*makan bergizi gratis*";"*makangratis*";"*makanan gratis*"})),"Relevan","Tidak Relevan")</f>
        <v>Relevan</v>
      </c>
    </row>
    <row r="155" spans="1:10" x14ac:dyDescent="0.35">
      <c r="A155">
        <f t="shared" si="2"/>
        <v>154</v>
      </c>
      <c r="B155" t="s">
        <v>2621</v>
      </c>
      <c r="C155" t="s">
        <v>396</v>
      </c>
      <c r="D155" t="s">
        <v>3628</v>
      </c>
      <c r="E155" t="s">
        <v>2622</v>
      </c>
      <c r="F155" t="s">
        <v>2008</v>
      </c>
      <c r="G155" t="s">
        <v>2623</v>
      </c>
      <c r="H155" t="s">
        <v>2623</v>
      </c>
      <c r="I155" t="s">
        <v>2624</v>
      </c>
      <c r="J155" s="5" t="str" cm="1">
        <f t="array" ref="J155">IF(SUM(COUNTIF(Text_Preprocessing__22458[[#This Row],[full_text]],{"*makan siang gratis*";"*MBG*";"*makan gratis*";"*makan bergizi gratis*";"*makangratis*";"*makanan gratis*"})),"Relevan","Tidak Relevan")</f>
        <v>Relevan</v>
      </c>
    </row>
    <row r="156" spans="1:10" x14ac:dyDescent="0.35">
      <c r="A156">
        <f t="shared" si="2"/>
        <v>155</v>
      </c>
      <c r="B156" t="s">
        <v>2638</v>
      </c>
      <c r="C156" t="s">
        <v>401</v>
      </c>
      <c r="D156" t="s">
        <v>3634</v>
      </c>
      <c r="E156" t="s">
        <v>2639</v>
      </c>
      <c r="F156" t="s">
        <v>2640</v>
      </c>
      <c r="G156" t="s">
        <v>2641</v>
      </c>
      <c r="H156" t="s">
        <v>2642</v>
      </c>
      <c r="I156" t="s">
        <v>2643</v>
      </c>
      <c r="J156" s="5" t="str" cm="1">
        <f t="array" ref="J156">IF(SUM(COUNTIF(Text_Preprocessing__22458[[#This Row],[full_text]],{"*makan siang gratis*";"*MBG*";"*makan gratis*";"*makan bergizi gratis*";"*makangratis*";"*makanan gratis*"})),"Relevan","Tidak Relevan")</f>
        <v>Relevan</v>
      </c>
    </row>
    <row r="157" spans="1:10" x14ac:dyDescent="0.35">
      <c r="A157">
        <f t="shared" si="2"/>
        <v>156</v>
      </c>
      <c r="B157" t="s">
        <v>2644</v>
      </c>
      <c r="C157" t="s">
        <v>403</v>
      </c>
      <c r="D157" t="s">
        <v>3628</v>
      </c>
      <c r="E157" t="s">
        <v>2645</v>
      </c>
      <c r="F157" t="s">
        <v>2092</v>
      </c>
      <c r="G157" t="s">
        <v>2646</v>
      </c>
      <c r="H157" t="s">
        <v>2646</v>
      </c>
      <c r="I157" t="s">
        <v>2647</v>
      </c>
      <c r="J157" s="5" t="str" cm="1">
        <f t="array" ref="J157">IF(SUM(COUNTIF(Text_Preprocessing__22458[[#This Row],[full_text]],{"*makan siang gratis*";"*MBG*";"*makan gratis*";"*makan bergizi gratis*";"*makangratis*";"*makanan gratis*"})),"Relevan","Tidak Relevan")</f>
        <v>Relevan</v>
      </c>
    </row>
    <row r="158" spans="1:10" x14ac:dyDescent="0.35">
      <c r="A158">
        <f t="shared" si="2"/>
        <v>157</v>
      </c>
      <c r="B158" t="s">
        <v>2648</v>
      </c>
      <c r="C158" t="s">
        <v>405</v>
      </c>
      <c r="D158" t="s">
        <v>3634</v>
      </c>
      <c r="E158" t="s">
        <v>2649</v>
      </c>
      <c r="F158" t="s">
        <v>2558</v>
      </c>
      <c r="G158" t="s">
        <v>2650</v>
      </c>
      <c r="H158" t="s">
        <v>2650</v>
      </c>
      <c r="I158" t="s">
        <v>2651</v>
      </c>
      <c r="J158" s="5" t="str" cm="1">
        <f t="array" ref="J158">IF(SUM(COUNTIF(Text_Preprocessing__22458[[#This Row],[full_text]],{"*makan siang gratis*";"*MBG*";"*makan gratis*";"*makan bergizi gratis*";"*makangratis*";"*makanan gratis*"})),"Relevan","Tidak Relevan")</f>
        <v>Relevan</v>
      </c>
    </row>
    <row r="159" spans="1:10" x14ac:dyDescent="0.35">
      <c r="A159">
        <f t="shared" si="2"/>
        <v>158</v>
      </c>
      <c r="B159" t="s">
        <v>2652</v>
      </c>
      <c r="C159" t="s">
        <v>407</v>
      </c>
      <c r="D159" t="s">
        <v>3628</v>
      </c>
      <c r="E159" t="s">
        <v>2653</v>
      </c>
      <c r="F159" t="s">
        <v>1686</v>
      </c>
      <c r="G159" t="s">
        <v>2654</v>
      </c>
      <c r="H159" t="s">
        <v>2654</v>
      </c>
      <c r="I159" t="s">
        <v>2655</v>
      </c>
      <c r="J159" s="5" t="str" cm="1">
        <f t="array" ref="J159">IF(SUM(COUNTIF(Text_Preprocessing__22458[[#This Row],[full_text]],{"*makan siang gratis*";"*MBG*";"*makan gratis*";"*makan bergizi gratis*";"*makangratis*";"*makanan gratis*"})),"Relevan","Tidak Relevan")</f>
        <v>Relevan</v>
      </c>
    </row>
    <row r="160" spans="1:10" x14ac:dyDescent="0.35">
      <c r="A160">
        <f t="shared" si="2"/>
        <v>159</v>
      </c>
      <c r="B160" t="s">
        <v>2656</v>
      </c>
      <c r="C160" t="s">
        <v>409</v>
      </c>
      <c r="D160" t="s">
        <v>3632</v>
      </c>
      <c r="E160" t="s">
        <v>2657</v>
      </c>
      <c r="F160" t="s">
        <v>2627</v>
      </c>
      <c r="G160" t="s">
        <v>2658</v>
      </c>
      <c r="H160" t="s">
        <v>2658</v>
      </c>
      <c r="I160" t="s">
        <v>2659</v>
      </c>
      <c r="J160" s="5" t="str" cm="1">
        <f t="array" ref="J160">IF(SUM(COUNTIF(Text_Preprocessing__22458[[#This Row],[full_text]],{"*makan siang gratis*";"*MBG*";"*makan gratis*";"*makan bergizi gratis*";"*makangratis*";"*makanan gratis*"})),"Relevan","Tidak Relevan")</f>
        <v>Relevan</v>
      </c>
    </row>
    <row r="161" spans="1:10" x14ac:dyDescent="0.35">
      <c r="A161">
        <f t="shared" si="2"/>
        <v>160</v>
      </c>
      <c r="B161" t="s">
        <v>2660</v>
      </c>
      <c r="C161" t="s">
        <v>411</v>
      </c>
      <c r="D161" t="s">
        <v>3629</v>
      </c>
      <c r="E161" t="s">
        <v>2661</v>
      </c>
      <c r="F161" t="s">
        <v>1799</v>
      </c>
      <c r="G161" t="s">
        <v>2662</v>
      </c>
      <c r="H161" t="s">
        <v>2663</v>
      </c>
      <c r="I161" t="s">
        <v>2664</v>
      </c>
      <c r="J161" s="5" t="str" cm="1">
        <f t="array" ref="J161">IF(SUM(COUNTIF(Text_Preprocessing__22458[[#This Row],[full_text]],{"*makan siang gratis*";"*MBG*";"*makan gratis*";"*makan bergizi gratis*";"*makangratis*";"*makanan gratis*"})),"Relevan","Tidak Relevan")</f>
        <v>Relevan</v>
      </c>
    </row>
    <row r="162" spans="1:10" x14ac:dyDescent="0.35">
      <c r="A162">
        <f t="shared" si="2"/>
        <v>161</v>
      </c>
      <c r="B162" t="s">
        <v>2665</v>
      </c>
      <c r="C162" t="s">
        <v>413</v>
      </c>
      <c r="D162" t="s">
        <v>3628</v>
      </c>
      <c r="E162" t="s">
        <v>2666</v>
      </c>
      <c r="F162" t="s">
        <v>1730</v>
      </c>
      <c r="G162" t="s">
        <v>2667</v>
      </c>
      <c r="H162" t="s">
        <v>2667</v>
      </c>
      <c r="I162" t="s">
        <v>2668</v>
      </c>
      <c r="J162" s="5" t="str" cm="1">
        <f t="array" ref="J162">IF(SUM(COUNTIF(Text_Preprocessing__22458[[#This Row],[full_text]],{"*makan siang gratis*";"*MBG*";"*makan gratis*";"*makan bergizi gratis*";"*makangratis*";"*makanan gratis*"})),"Relevan","Tidak Relevan")</f>
        <v>Relevan</v>
      </c>
    </row>
    <row r="163" spans="1:10" x14ac:dyDescent="0.35">
      <c r="A163">
        <f t="shared" si="2"/>
        <v>162</v>
      </c>
      <c r="B163" t="s">
        <v>2677</v>
      </c>
      <c r="C163" t="s">
        <v>417</v>
      </c>
      <c r="D163" t="s">
        <v>3628</v>
      </c>
      <c r="E163" t="s">
        <v>2678</v>
      </c>
      <c r="F163" t="s">
        <v>2679</v>
      </c>
      <c r="G163" t="s">
        <v>2680</v>
      </c>
      <c r="H163" t="s">
        <v>2680</v>
      </c>
      <c r="I163" t="s">
        <v>2681</v>
      </c>
      <c r="J163" s="5" t="str" cm="1">
        <f t="array" ref="J163">IF(SUM(COUNTIF(Text_Preprocessing__22458[[#This Row],[full_text]],{"*makan siang gratis*";"*MBG*";"*makan gratis*";"*makan bergizi gratis*";"*makangratis*";"*makanan gratis*"})),"Relevan","Tidak Relevan")</f>
        <v>Relevan</v>
      </c>
    </row>
    <row r="164" spans="1:10" x14ac:dyDescent="0.35">
      <c r="A164">
        <f t="shared" si="2"/>
        <v>163</v>
      </c>
      <c r="B164" t="s">
        <v>2682</v>
      </c>
      <c r="C164" t="s">
        <v>419</v>
      </c>
      <c r="D164" t="s">
        <v>3628</v>
      </c>
      <c r="E164" t="s">
        <v>2683</v>
      </c>
      <c r="F164" t="s">
        <v>2684</v>
      </c>
      <c r="G164" t="s">
        <v>2685</v>
      </c>
      <c r="H164" t="s">
        <v>2686</v>
      </c>
      <c r="I164" t="s">
        <v>2687</v>
      </c>
      <c r="J164" s="5" t="str" cm="1">
        <f t="array" ref="J164">IF(SUM(COUNTIF(Text_Preprocessing__22458[[#This Row],[full_text]],{"*makan siang gratis*";"*MBG*";"*makan gratis*";"*makan bergizi gratis*";"*makangratis*";"*makanan gratis*"})),"Relevan","Tidak Relevan")</f>
        <v>Relevan</v>
      </c>
    </row>
    <row r="165" spans="1:10" x14ac:dyDescent="0.35">
      <c r="A165">
        <f t="shared" si="2"/>
        <v>164</v>
      </c>
      <c r="B165" t="s">
        <v>2688</v>
      </c>
      <c r="C165" t="s">
        <v>421</v>
      </c>
      <c r="D165" t="s">
        <v>3632</v>
      </c>
      <c r="E165" t="s">
        <v>2689</v>
      </c>
      <c r="F165" t="s">
        <v>2690</v>
      </c>
      <c r="G165" t="s">
        <v>2691</v>
      </c>
      <c r="H165" t="s">
        <v>2691</v>
      </c>
      <c r="I165" t="s">
        <v>2692</v>
      </c>
      <c r="J165" s="5" t="str" cm="1">
        <f t="array" ref="J165">IF(SUM(COUNTIF(Text_Preprocessing__22458[[#This Row],[full_text]],{"*makan siang gratis*";"*MBG*";"*makan gratis*";"*makan bergizi gratis*";"*makangratis*";"*makanan gratis*"})),"Relevan","Tidak Relevan")</f>
        <v>Relevan</v>
      </c>
    </row>
    <row r="166" spans="1:10" x14ac:dyDescent="0.35">
      <c r="A166">
        <f t="shared" si="2"/>
        <v>165</v>
      </c>
      <c r="B166" t="s">
        <v>2706</v>
      </c>
      <c r="C166" t="s">
        <v>426</v>
      </c>
      <c r="D166" t="s">
        <v>3629</v>
      </c>
      <c r="E166" t="s">
        <v>2707</v>
      </c>
      <c r="F166" t="s">
        <v>1809</v>
      </c>
      <c r="G166" t="s">
        <v>2707</v>
      </c>
      <c r="H166" t="s">
        <v>2707</v>
      </c>
      <c r="I166" t="s">
        <v>2708</v>
      </c>
      <c r="J166" s="5" t="str" cm="1">
        <f t="array" ref="J166">IF(SUM(COUNTIF(Text_Preprocessing__22458[[#This Row],[full_text]],{"*makan siang gratis*";"*MBG*";"*makan gratis*";"*makan bergizi gratis*";"*makangratis*";"*makanan gratis*"})),"Relevan","Tidak Relevan")</f>
        <v>Relevan</v>
      </c>
    </row>
    <row r="167" spans="1:10" x14ac:dyDescent="0.35">
      <c r="A167">
        <f t="shared" si="2"/>
        <v>166</v>
      </c>
      <c r="B167" t="s">
        <v>2709</v>
      </c>
      <c r="C167" t="s">
        <v>428</v>
      </c>
      <c r="D167" t="s">
        <v>3630</v>
      </c>
      <c r="E167" t="s">
        <v>2710</v>
      </c>
      <c r="F167" t="s">
        <v>2092</v>
      </c>
      <c r="G167" t="s">
        <v>2711</v>
      </c>
      <c r="H167" t="s">
        <v>2711</v>
      </c>
      <c r="I167" t="s">
        <v>2712</v>
      </c>
      <c r="J167" s="5" t="str" cm="1">
        <f t="array" ref="J167">IF(SUM(COUNTIF(Text_Preprocessing__22458[[#This Row],[full_text]],{"*makan siang gratis*";"*MBG*";"*makan gratis*";"*makan bergizi gratis*";"*makangratis*";"*makanan gratis*"})),"Relevan","Tidak Relevan")</f>
        <v>Relevan</v>
      </c>
    </row>
    <row r="168" spans="1:10" x14ac:dyDescent="0.35">
      <c r="A168">
        <f t="shared" si="2"/>
        <v>167</v>
      </c>
      <c r="B168" t="s">
        <v>2717</v>
      </c>
      <c r="C168" t="s">
        <v>431</v>
      </c>
      <c r="D168" t="s">
        <v>3634</v>
      </c>
      <c r="E168" t="s">
        <v>2718</v>
      </c>
      <c r="F168" t="s">
        <v>1799</v>
      </c>
      <c r="G168" t="s">
        <v>2719</v>
      </c>
      <c r="H168" t="s">
        <v>2719</v>
      </c>
      <c r="I168" t="s">
        <v>2720</v>
      </c>
      <c r="J168" s="5" t="str" cm="1">
        <f t="array" ref="J168">IF(SUM(COUNTIF(Text_Preprocessing__22458[[#This Row],[full_text]],{"*makan siang gratis*";"*MBG*";"*makan gratis*";"*makan bergizi gratis*";"*makangratis*";"*makanan gratis*"})),"Relevan","Tidak Relevan")</f>
        <v>Relevan</v>
      </c>
    </row>
    <row r="169" spans="1:10" x14ac:dyDescent="0.35">
      <c r="A169">
        <f t="shared" si="2"/>
        <v>168</v>
      </c>
      <c r="B169" t="s">
        <v>2721</v>
      </c>
      <c r="C169" t="s">
        <v>433</v>
      </c>
      <c r="D169" t="s">
        <v>3628</v>
      </c>
      <c r="E169" t="s">
        <v>2722</v>
      </c>
      <c r="F169" t="s">
        <v>2177</v>
      </c>
      <c r="G169" t="s">
        <v>2723</v>
      </c>
      <c r="H169" t="s">
        <v>2723</v>
      </c>
      <c r="I169" t="s">
        <v>2724</v>
      </c>
      <c r="J169" s="5" t="str" cm="1">
        <f t="array" ref="J169">IF(SUM(COUNTIF(Text_Preprocessing__22458[[#This Row],[full_text]],{"*makan siang gratis*";"*MBG*";"*makan gratis*";"*makan bergizi gratis*";"*makangratis*";"*makanan gratis*"})),"Relevan","Tidak Relevan")</f>
        <v>Relevan</v>
      </c>
    </row>
    <row r="170" spans="1:10" x14ac:dyDescent="0.35">
      <c r="A170">
        <f t="shared" si="2"/>
        <v>169</v>
      </c>
      <c r="B170" t="s">
        <v>2725</v>
      </c>
      <c r="C170" t="s">
        <v>435</v>
      </c>
      <c r="D170" t="s">
        <v>3628</v>
      </c>
      <c r="E170" t="s">
        <v>2726</v>
      </c>
      <c r="F170" t="s">
        <v>1758</v>
      </c>
      <c r="G170" t="s">
        <v>2727</v>
      </c>
      <c r="H170" t="s">
        <v>2727</v>
      </c>
      <c r="I170" t="s">
        <v>2728</v>
      </c>
      <c r="J170" s="5" t="str" cm="1">
        <f t="array" ref="J170">IF(SUM(COUNTIF(Text_Preprocessing__22458[[#This Row],[full_text]],{"*makan siang gratis*";"*MBG*";"*makan gratis*";"*makan bergizi gratis*";"*makangratis*";"*makanan gratis*"})),"Relevan","Tidak Relevan")</f>
        <v>Relevan</v>
      </c>
    </row>
    <row r="171" spans="1:10" x14ac:dyDescent="0.35">
      <c r="A171">
        <f t="shared" si="2"/>
        <v>170</v>
      </c>
      <c r="B171" t="s">
        <v>2729</v>
      </c>
      <c r="C171" t="s">
        <v>437</v>
      </c>
      <c r="D171" t="s">
        <v>3628</v>
      </c>
      <c r="E171" t="s">
        <v>2730</v>
      </c>
      <c r="F171" t="s">
        <v>1629</v>
      </c>
      <c r="G171" t="s">
        <v>2731</v>
      </c>
      <c r="H171" t="s">
        <v>2731</v>
      </c>
      <c r="I171" t="s">
        <v>2732</v>
      </c>
      <c r="J171" s="5" t="str" cm="1">
        <f t="array" ref="J171">IF(SUM(COUNTIF(Text_Preprocessing__22458[[#This Row],[full_text]],{"*makan siang gratis*";"*MBG*";"*makan gratis*";"*makan bergizi gratis*";"*makangratis*";"*makanan gratis*"})),"Relevan","Tidak Relevan")</f>
        <v>Relevan</v>
      </c>
    </row>
    <row r="172" spans="1:10" x14ac:dyDescent="0.35">
      <c r="A172">
        <f t="shared" si="2"/>
        <v>171</v>
      </c>
      <c r="B172" t="s">
        <v>2737</v>
      </c>
      <c r="C172" t="s">
        <v>440</v>
      </c>
      <c r="D172" t="s">
        <v>3632</v>
      </c>
      <c r="E172" t="s">
        <v>2738</v>
      </c>
      <c r="F172" t="s">
        <v>1674</v>
      </c>
      <c r="G172" t="s">
        <v>2739</v>
      </c>
      <c r="H172" t="s">
        <v>2739</v>
      </c>
      <c r="I172" t="s">
        <v>2740</v>
      </c>
      <c r="J172" s="5" t="str" cm="1">
        <f t="array" ref="J172">IF(SUM(COUNTIF(Text_Preprocessing__22458[[#This Row],[full_text]],{"*makan siang gratis*";"*MBG*";"*makan gratis*";"*makan bergizi gratis*";"*makangratis*";"*makanan gratis*"})),"Relevan","Tidak Relevan")</f>
        <v>Relevan</v>
      </c>
    </row>
    <row r="173" spans="1:10" x14ac:dyDescent="0.35">
      <c r="A173">
        <f t="shared" si="2"/>
        <v>172</v>
      </c>
      <c r="B173" t="s">
        <v>2741</v>
      </c>
      <c r="C173" t="s">
        <v>442</v>
      </c>
      <c r="D173" t="s">
        <v>3634</v>
      </c>
      <c r="E173" t="s">
        <v>2742</v>
      </c>
      <c r="F173" t="s">
        <v>2743</v>
      </c>
      <c r="G173" t="s">
        <v>2744</v>
      </c>
      <c r="H173" t="s">
        <v>2744</v>
      </c>
      <c r="I173" t="s">
        <v>2745</v>
      </c>
      <c r="J173" s="5" t="str" cm="1">
        <f t="array" ref="J173">IF(SUM(COUNTIF(Text_Preprocessing__22458[[#This Row],[full_text]],{"*makan siang gratis*";"*MBG*";"*makan gratis*";"*makan bergizi gratis*";"*makangratis*";"*makanan gratis*"})),"Relevan","Tidak Relevan")</f>
        <v>Relevan</v>
      </c>
    </row>
    <row r="174" spans="1:10" x14ac:dyDescent="0.35">
      <c r="A174">
        <f t="shared" si="2"/>
        <v>173</v>
      </c>
      <c r="B174" t="s">
        <v>2751</v>
      </c>
      <c r="C174" t="s">
        <v>445</v>
      </c>
      <c r="D174" t="s">
        <v>3628</v>
      </c>
      <c r="E174" t="s">
        <v>2752</v>
      </c>
      <c r="F174" t="s">
        <v>1680</v>
      </c>
      <c r="G174" t="s">
        <v>2753</v>
      </c>
      <c r="H174" t="s">
        <v>2754</v>
      </c>
      <c r="I174" t="s">
        <v>2755</v>
      </c>
      <c r="J174" s="5" t="str" cm="1">
        <f t="array" ref="J174">IF(SUM(COUNTIF(Text_Preprocessing__22458[[#This Row],[full_text]],{"*makan siang gratis*";"*MBG*";"*makan gratis*";"*makan bergizi gratis*";"*makangratis*";"*makanan gratis*"})),"Relevan","Tidak Relevan")</f>
        <v>Relevan</v>
      </c>
    </row>
    <row r="175" spans="1:10" x14ac:dyDescent="0.35">
      <c r="A175">
        <f t="shared" si="2"/>
        <v>174</v>
      </c>
      <c r="B175" t="s">
        <v>2756</v>
      </c>
      <c r="C175" t="s">
        <v>447</v>
      </c>
      <c r="D175" t="s">
        <v>3634</v>
      </c>
      <c r="E175" t="s">
        <v>2757</v>
      </c>
      <c r="F175" t="s">
        <v>2609</v>
      </c>
      <c r="G175" t="s">
        <v>2758</v>
      </c>
      <c r="H175" t="s">
        <v>2758</v>
      </c>
      <c r="I175" t="s">
        <v>2759</v>
      </c>
      <c r="J175" s="5" t="str" cm="1">
        <f t="array" ref="J175">IF(SUM(COUNTIF(Text_Preprocessing__22458[[#This Row],[full_text]],{"*makan siang gratis*";"*MBG*";"*makan gratis*";"*makan bergizi gratis*";"*makangratis*";"*makanan gratis*"})),"Relevan","Tidak Relevan")</f>
        <v>Relevan</v>
      </c>
    </row>
    <row r="176" spans="1:10" x14ac:dyDescent="0.35">
      <c r="A176">
        <f t="shared" si="2"/>
        <v>175</v>
      </c>
      <c r="B176" t="s">
        <v>2760</v>
      </c>
      <c r="C176" t="s">
        <v>449</v>
      </c>
      <c r="D176" t="s">
        <v>3628</v>
      </c>
      <c r="E176" t="s">
        <v>2761</v>
      </c>
      <c r="F176" t="s">
        <v>2553</v>
      </c>
      <c r="G176" t="s">
        <v>2762</v>
      </c>
      <c r="H176" t="s">
        <v>2762</v>
      </c>
      <c r="I176" t="s">
        <v>2763</v>
      </c>
      <c r="J176" s="5" t="str" cm="1">
        <f t="array" ref="J176">IF(SUM(COUNTIF(Text_Preprocessing__22458[[#This Row],[full_text]],{"*makan siang gratis*";"*MBG*";"*makan gratis*";"*makan bergizi gratis*";"*makangratis*";"*makanan gratis*"})),"Relevan","Tidak Relevan")</f>
        <v>Relevan</v>
      </c>
    </row>
    <row r="177" spans="1:10" x14ac:dyDescent="0.35">
      <c r="A177">
        <f t="shared" si="2"/>
        <v>176</v>
      </c>
      <c r="B177" t="s">
        <v>2764</v>
      </c>
      <c r="C177" t="s">
        <v>451</v>
      </c>
      <c r="D177" t="s">
        <v>3628</v>
      </c>
      <c r="E177" t="s">
        <v>2765</v>
      </c>
      <c r="F177" t="s">
        <v>2069</v>
      </c>
      <c r="G177" t="s">
        <v>2766</v>
      </c>
      <c r="H177" t="s">
        <v>2766</v>
      </c>
      <c r="I177" t="s">
        <v>2767</v>
      </c>
      <c r="J177" s="5" t="str" cm="1">
        <f t="array" ref="J177">IF(SUM(COUNTIF(Text_Preprocessing__22458[[#This Row],[full_text]],{"*makan siang gratis*";"*MBG*";"*makan gratis*";"*makan bergizi gratis*";"*makangratis*";"*makanan gratis*"})),"Relevan","Tidak Relevan")</f>
        <v>Relevan</v>
      </c>
    </row>
    <row r="178" spans="1:10" x14ac:dyDescent="0.35">
      <c r="A178">
        <f t="shared" si="2"/>
        <v>177</v>
      </c>
      <c r="B178" t="s">
        <v>2772</v>
      </c>
      <c r="C178" t="s">
        <v>454</v>
      </c>
      <c r="D178" t="s">
        <v>3628</v>
      </c>
      <c r="E178" t="s">
        <v>2773</v>
      </c>
      <c r="F178" t="s">
        <v>2558</v>
      </c>
      <c r="G178" t="s">
        <v>2774</v>
      </c>
      <c r="H178" t="s">
        <v>2774</v>
      </c>
      <c r="I178" t="s">
        <v>2775</v>
      </c>
      <c r="J178" s="5" t="str" cm="1">
        <f t="array" ref="J178">IF(SUM(COUNTIF(Text_Preprocessing__22458[[#This Row],[full_text]],{"*makan siang gratis*";"*MBG*";"*makan gratis*";"*makan bergizi gratis*";"*makangratis*";"*makanan gratis*"})),"Relevan","Tidak Relevan")</f>
        <v>Relevan</v>
      </c>
    </row>
    <row r="179" spans="1:10" x14ac:dyDescent="0.35">
      <c r="A179">
        <f t="shared" si="2"/>
        <v>178</v>
      </c>
      <c r="B179" t="s">
        <v>2776</v>
      </c>
      <c r="C179" t="s">
        <v>456</v>
      </c>
      <c r="D179" t="s">
        <v>3628</v>
      </c>
      <c r="E179" t="s">
        <v>2777</v>
      </c>
      <c r="F179" t="s">
        <v>2074</v>
      </c>
      <c r="G179" t="s">
        <v>2778</v>
      </c>
      <c r="H179" t="s">
        <v>2778</v>
      </c>
      <c r="I179" t="s">
        <v>2779</v>
      </c>
      <c r="J179" s="5" t="str" cm="1">
        <f t="array" ref="J179">IF(SUM(COUNTIF(Text_Preprocessing__22458[[#This Row],[full_text]],{"*makan siang gratis*";"*MBG*";"*makan gratis*";"*makan bergizi gratis*";"*makangratis*";"*makanan gratis*"})),"Relevan","Tidak Relevan")</f>
        <v>Relevan</v>
      </c>
    </row>
    <row r="180" spans="1:10" x14ac:dyDescent="0.35">
      <c r="A180">
        <f t="shared" si="2"/>
        <v>179</v>
      </c>
      <c r="B180" t="s">
        <v>2780</v>
      </c>
      <c r="C180" t="s">
        <v>458</v>
      </c>
      <c r="D180" t="s">
        <v>3628</v>
      </c>
      <c r="E180" t="s">
        <v>2781</v>
      </c>
      <c r="F180" t="s">
        <v>2782</v>
      </c>
      <c r="G180" t="s">
        <v>2783</v>
      </c>
      <c r="H180" t="s">
        <v>2784</v>
      </c>
      <c r="I180" t="s">
        <v>2785</v>
      </c>
      <c r="J180" s="5" t="str" cm="1">
        <f t="array" ref="J180">IF(SUM(COUNTIF(Text_Preprocessing__22458[[#This Row],[full_text]],{"*makan siang gratis*";"*MBG*";"*makan gratis*";"*makan bergizi gratis*";"*makangratis*";"*makanan gratis*"})),"Relevan","Tidak Relevan")</f>
        <v>Relevan</v>
      </c>
    </row>
    <row r="181" spans="1:10" x14ac:dyDescent="0.35">
      <c r="A181">
        <f t="shared" si="2"/>
        <v>180</v>
      </c>
      <c r="B181" t="s">
        <v>2786</v>
      </c>
      <c r="C181" t="s">
        <v>460</v>
      </c>
      <c r="D181" t="s">
        <v>3628</v>
      </c>
      <c r="E181" t="s">
        <v>2787</v>
      </c>
      <c r="F181" t="s">
        <v>1692</v>
      </c>
      <c r="G181" t="s">
        <v>2788</v>
      </c>
      <c r="H181" t="s">
        <v>2788</v>
      </c>
      <c r="I181" t="s">
        <v>2789</v>
      </c>
      <c r="J181" s="5" t="str" cm="1">
        <f t="array" ref="J181">IF(SUM(COUNTIF(Text_Preprocessing__22458[[#This Row],[full_text]],{"*makan siang gratis*";"*MBG*";"*makan gratis*";"*makan bergizi gratis*";"*makangratis*";"*makanan gratis*"})),"Relevan","Tidak Relevan")</f>
        <v>Relevan</v>
      </c>
    </row>
    <row r="182" spans="1:10" x14ac:dyDescent="0.35">
      <c r="A182">
        <f t="shared" si="2"/>
        <v>181</v>
      </c>
      <c r="B182" t="s">
        <v>2794</v>
      </c>
      <c r="C182" t="s">
        <v>463</v>
      </c>
      <c r="D182" t="s">
        <v>3632</v>
      </c>
      <c r="E182" t="s">
        <v>2795</v>
      </c>
      <c r="F182" t="s">
        <v>2796</v>
      </c>
      <c r="G182" t="s">
        <v>2797</v>
      </c>
      <c r="H182" t="s">
        <v>2797</v>
      </c>
      <c r="I182" t="s">
        <v>2798</v>
      </c>
      <c r="J182" s="5" t="str" cm="1">
        <f t="array" ref="J182">IF(SUM(COUNTIF(Text_Preprocessing__22458[[#This Row],[full_text]],{"*makan siang gratis*";"*MBG*";"*makan gratis*";"*makan bergizi gratis*";"*makangratis*";"*makanan gratis*"})),"Relevan","Tidak Relevan")</f>
        <v>Relevan</v>
      </c>
    </row>
    <row r="183" spans="1:10" x14ac:dyDescent="0.35">
      <c r="A183">
        <f t="shared" si="2"/>
        <v>182</v>
      </c>
      <c r="B183" t="s">
        <v>2809</v>
      </c>
      <c r="C183" t="s">
        <v>467</v>
      </c>
      <c r="D183" t="s">
        <v>3628</v>
      </c>
      <c r="E183" t="s">
        <v>2810</v>
      </c>
      <c r="F183" t="s">
        <v>1893</v>
      </c>
      <c r="G183" t="s">
        <v>2811</v>
      </c>
      <c r="H183" t="s">
        <v>2812</v>
      </c>
      <c r="I183" t="s">
        <v>2813</v>
      </c>
      <c r="J183" s="5" t="str" cm="1">
        <f t="array" ref="J183">IF(SUM(COUNTIF(Text_Preprocessing__22458[[#This Row],[full_text]],{"*makan siang gratis*";"*MBG*";"*makan gratis*";"*makan bergizi gratis*";"*makangratis*";"*makanan gratis*"})),"Relevan","Tidak Relevan")</f>
        <v>Relevan</v>
      </c>
    </row>
    <row r="184" spans="1:10" x14ac:dyDescent="0.35">
      <c r="A184">
        <f t="shared" si="2"/>
        <v>183</v>
      </c>
      <c r="B184" t="s">
        <v>2819</v>
      </c>
      <c r="C184" t="s">
        <v>470</v>
      </c>
      <c r="D184" t="s">
        <v>3628</v>
      </c>
      <c r="E184" t="s">
        <v>2820</v>
      </c>
      <c r="F184" t="s">
        <v>2609</v>
      </c>
      <c r="G184" t="s">
        <v>2821</v>
      </c>
      <c r="H184" t="s">
        <v>2822</v>
      </c>
      <c r="I184" t="s">
        <v>2823</v>
      </c>
      <c r="J184" s="5" t="str" cm="1">
        <f t="array" ref="J184">IF(SUM(COUNTIF(Text_Preprocessing__22458[[#This Row],[full_text]],{"*makan siang gratis*";"*MBG*";"*makan gratis*";"*makan bergizi gratis*";"*makangratis*";"*makanan gratis*"})),"Relevan","Tidak Relevan")</f>
        <v>Relevan</v>
      </c>
    </row>
    <row r="185" spans="1:10" x14ac:dyDescent="0.35">
      <c r="A185">
        <f t="shared" si="2"/>
        <v>184</v>
      </c>
      <c r="B185" t="s">
        <v>2824</v>
      </c>
      <c r="C185" t="s">
        <v>472</v>
      </c>
      <c r="D185" t="s">
        <v>3628</v>
      </c>
      <c r="E185" t="s">
        <v>2825</v>
      </c>
      <c r="F185" t="s">
        <v>2253</v>
      </c>
      <c r="G185" t="s">
        <v>2826</v>
      </c>
      <c r="H185" t="s">
        <v>2826</v>
      </c>
      <c r="I185" t="s">
        <v>2827</v>
      </c>
      <c r="J185" s="5" t="str" cm="1">
        <f t="array" ref="J185">IF(SUM(COUNTIF(Text_Preprocessing__22458[[#This Row],[full_text]],{"*makan siang gratis*";"*MBG*";"*makan gratis*";"*makan bergizi gratis*";"*makangratis*";"*makanan gratis*"})),"Relevan","Tidak Relevan")</f>
        <v>Relevan</v>
      </c>
    </row>
    <row r="186" spans="1:10" x14ac:dyDescent="0.35">
      <c r="A186">
        <f t="shared" si="2"/>
        <v>185</v>
      </c>
      <c r="B186" t="s">
        <v>2832</v>
      </c>
      <c r="C186" t="s">
        <v>475</v>
      </c>
      <c r="D186" t="s">
        <v>3628</v>
      </c>
      <c r="E186" t="s">
        <v>2833</v>
      </c>
      <c r="F186" t="s">
        <v>2229</v>
      </c>
      <c r="G186" t="s">
        <v>2834</v>
      </c>
      <c r="H186" t="s">
        <v>2834</v>
      </c>
      <c r="I186" t="s">
        <v>2835</v>
      </c>
      <c r="J186" s="5" t="str" cm="1">
        <f t="array" ref="J186">IF(SUM(COUNTIF(Text_Preprocessing__22458[[#This Row],[full_text]],{"*makan siang gratis*";"*MBG*";"*makan gratis*";"*makan bergizi gratis*";"*makangratis*";"*makanan gratis*"})),"Relevan","Tidak Relevan")</f>
        <v>Relevan</v>
      </c>
    </row>
    <row r="187" spans="1:10" x14ac:dyDescent="0.35">
      <c r="A187">
        <f t="shared" si="2"/>
        <v>186</v>
      </c>
      <c r="B187" t="s">
        <v>2836</v>
      </c>
      <c r="C187" t="s">
        <v>477</v>
      </c>
      <c r="D187" t="s">
        <v>3628</v>
      </c>
      <c r="E187" t="s">
        <v>2837</v>
      </c>
      <c r="F187" t="s">
        <v>2164</v>
      </c>
      <c r="G187" t="s">
        <v>2838</v>
      </c>
      <c r="H187" t="s">
        <v>2838</v>
      </c>
      <c r="I187" t="s">
        <v>2839</v>
      </c>
      <c r="J187" s="5" t="str" cm="1">
        <f t="array" ref="J187">IF(SUM(COUNTIF(Text_Preprocessing__22458[[#This Row],[full_text]],{"*makan siang gratis*";"*MBG*";"*makan gratis*";"*makan bergizi gratis*";"*makangratis*";"*makanan gratis*"})),"Relevan","Tidak Relevan")</f>
        <v>Relevan</v>
      </c>
    </row>
    <row r="188" spans="1:10" x14ac:dyDescent="0.35">
      <c r="A188">
        <f t="shared" si="2"/>
        <v>187</v>
      </c>
      <c r="B188" t="s">
        <v>2844</v>
      </c>
      <c r="C188" t="s">
        <v>480</v>
      </c>
      <c r="D188" t="s">
        <v>3628</v>
      </c>
      <c r="E188" t="s">
        <v>2845</v>
      </c>
      <c r="F188" t="s">
        <v>1596</v>
      </c>
      <c r="G188" t="s">
        <v>2845</v>
      </c>
      <c r="H188" t="s">
        <v>2845</v>
      </c>
      <c r="I188" t="s">
        <v>2846</v>
      </c>
      <c r="J188" s="5" t="str" cm="1">
        <f t="array" ref="J188">IF(SUM(COUNTIF(Text_Preprocessing__22458[[#This Row],[full_text]],{"*makan siang gratis*";"*MBG*";"*makan gratis*";"*makan bergizi gratis*";"*makangratis*";"*makanan gratis*"})),"Relevan","Tidak Relevan")</f>
        <v>Relevan</v>
      </c>
    </row>
    <row r="189" spans="1:10" x14ac:dyDescent="0.35">
      <c r="A189">
        <f t="shared" si="2"/>
        <v>188</v>
      </c>
      <c r="B189" t="s">
        <v>2847</v>
      </c>
      <c r="C189" t="s">
        <v>482</v>
      </c>
      <c r="D189" t="s">
        <v>3628</v>
      </c>
      <c r="E189" t="s">
        <v>2848</v>
      </c>
      <c r="F189" t="s">
        <v>2599</v>
      </c>
      <c r="G189" t="s">
        <v>2849</v>
      </c>
      <c r="H189" t="s">
        <v>2850</v>
      </c>
      <c r="I189" t="s">
        <v>2851</v>
      </c>
      <c r="J189" s="5" t="str" cm="1">
        <f t="array" ref="J189">IF(SUM(COUNTIF(Text_Preprocessing__22458[[#This Row],[full_text]],{"*makan siang gratis*";"*MBG*";"*makan gratis*";"*makan bergizi gratis*";"*makangratis*";"*makanan gratis*"})),"Relevan","Tidak Relevan")</f>
        <v>Relevan</v>
      </c>
    </row>
    <row r="190" spans="1:10" x14ac:dyDescent="0.35">
      <c r="A190">
        <f t="shared" si="2"/>
        <v>189</v>
      </c>
      <c r="B190" t="s">
        <v>2852</v>
      </c>
      <c r="C190" t="s">
        <v>484</v>
      </c>
      <c r="D190" t="s">
        <v>3628</v>
      </c>
      <c r="E190" t="s">
        <v>2853</v>
      </c>
      <c r="F190" t="s">
        <v>2348</v>
      </c>
      <c r="G190" t="s">
        <v>2854</v>
      </c>
      <c r="H190" t="s">
        <v>2854</v>
      </c>
      <c r="I190" t="s">
        <v>2855</v>
      </c>
      <c r="J190" s="5" t="str" cm="1">
        <f t="array" ref="J190">IF(SUM(COUNTIF(Text_Preprocessing__22458[[#This Row],[full_text]],{"*makan siang gratis*";"*MBG*";"*makan gratis*";"*makan bergizi gratis*";"*makangratis*";"*makanan gratis*"})),"Relevan","Tidak Relevan")</f>
        <v>Relevan</v>
      </c>
    </row>
    <row r="191" spans="1:10" x14ac:dyDescent="0.35">
      <c r="A191">
        <f t="shared" si="2"/>
        <v>190</v>
      </c>
      <c r="B191" t="s">
        <v>2856</v>
      </c>
      <c r="C191" t="s">
        <v>486</v>
      </c>
      <c r="D191" t="s">
        <v>3628</v>
      </c>
      <c r="E191" t="s">
        <v>2857</v>
      </c>
      <c r="F191" t="s">
        <v>1888</v>
      </c>
      <c r="G191" t="s">
        <v>2858</v>
      </c>
      <c r="H191" t="s">
        <v>2858</v>
      </c>
      <c r="I191" t="s">
        <v>2859</v>
      </c>
      <c r="J191" s="5" t="str" cm="1">
        <f t="array" ref="J191">IF(SUM(COUNTIF(Text_Preprocessing__22458[[#This Row],[full_text]],{"*makan siang gratis*";"*MBG*";"*makan gratis*";"*makan bergizi gratis*";"*makangratis*";"*makanan gratis*"})),"Relevan","Tidak Relevan")</f>
        <v>Relevan</v>
      </c>
    </row>
    <row r="192" spans="1:10" x14ac:dyDescent="0.35">
      <c r="A192">
        <f t="shared" si="2"/>
        <v>191</v>
      </c>
      <c r="B192" t="s">
        <v>2860</v>
      </c>
      <c r="C192" t="s">
        <v>488</v>
      </c>
      <c r="D192" t="s">
        <v>3628</v>
      </c>
      <c r="E192" t="s">
        <v>2861</v>
      </c>
      <c r="F192" t="s">
        <v>2862</v>
      </c>
      <c r="G192" t="s">
        <v>2863</v>
      </c>
      <c r="H192" t="s">
        <v>2863</v>
      </c>
      <c r="I192" t="s">
        <v>2864</v>
      </c>
      <c r="J192" s="5" t="str" cm="1">
        <f t="array" ref="J192">IF(SUM(COUNTIF(Text_Preprocessing__22458[[#This Row],[full_text]],{"*makan siang gratis*";"*MBG*";"*makan gratis*";"*makan bergizi gratis*";"*makangratis*";"*makanan gratis*"})),"Relevan","Tidak Relevan")</f>
        <v>Relevan</v>
      </c>
    </row>
    <row r="193" spans="1:11" x14ac:dyDescent="0.35">
      <c r="A193">
        <f t="shared" si="2"/>
        <v>192</v>
      </c>
      <c r="B193" t="s">
        <v>2865</v>
      </c>
      <c r="C193" t="s">
        <v>490</v>
      </c>
      <c r="D193" t="s">
        <v>3628</v>
      </c>
      <c r="E193" t="s">
        <v>2866</v>
      </c>
      <c r="F193" t="s">
        <v>2867</v>
      </c>
      <c r="G193" t="s">
        <v>2868</v>
      </c>
      <c r="H193" t="s">
        <v>2869</v>
      </c>
      <c r="I193" t="s">
        <v>2870</v>
      </c>
      <c r="J193" s="5" t="str" cm="1">
        <f t="array" ref="J193">IF(SUM(COUNTIF(Text_Preprocessing__22458[[#This Row],[full_text]],{"*makan siang gratis*";"*MBG*";"*makan gratis*";"*makan bergizi gratis*";"*makangratis*";"*makanan gratis*"})),"Relevan","Tidak Relevan")</f>
        <v>Relevan</v>
      </c>
    </row>
    <row r="194" spans="1:11" x14ac:dyDescent="0.35">
      <c r="A194">
        <f t="shared" si="2"/>
        <v>193</v>
      </c>
      <c r="B194" t="s">
        <v>2871</v>
      </c>
      <c r="C194" t="s">
        <v>492</v>
      </c>
      <c r="D194" t="s">
        <v>3628</v>
      </c>
      <c r="E194" t="s">
        <v>2872</v>
      </c>
      <c r="F194" t="s">
        <v>1669</v>
      </c>
      <c r="G194" t="s">
        <v>2873</v>
      </c>
      <c r="H194" t="s">
        <v>2874</v>
      </c>
      <c r="I194" t="s">
        <v>2875</v>
      </c>
      <c r="J194" s="5" t="str" cm="1">
        <f t="array" ref="J194">IF(SUM(COUNTIF(Text_Preprocessing__22458[[#This Row],[full_text]],{"*makan siang gratis*";"*MBG*";"*makan gratis*";"*makan bergizi gratis*";"*makangratis*";"*makanan gratis*"})),"Relevan","Tidak Relevan")</f>
        <v>Relevan</v>
      </c>
    </row>
    <row r="195" spans="1:11" x14ac:dyDescent="0.35">
      <c r="A195">
        <f t="shared" ref="A195:A258" si="3">SUM(A194+1)</f>
        <v>194</v>
      </c>
      <c r="B195" t="s">
        <v>2876</v>
      </c>
      <c r="C195" t="s">
        <v>494</v>
      </c>
      <c r="D195" t="s">
        <v>3628</v>
      </c>
      <c r="E195" t="s">
        <v>2877</v>
      </c>
      <c r="F195" t="s">
        <v>2878</v>
      </c>
      <c r="G195" t="s">
        <v>2879</v>
      </c>
      <c r="H195" t="s">
        <v>2880</v>
      </c>
      <c r="I195" t="s">
        <v>2881</v>
      </c>
      <c r="J195" s="5" t="str" cm="1">
        <f t="array" ref="J195">IF(SUM(COUNTIF(Text_Preprocessing__22458[[#This Row],[full_text]],{"*makan siang gratis*";"*MBG*";"*makan gratis*";"*makan bergizi gratis*";"*makangratis*";"*makanan gratis*"})),"Relevan","Tidak Relevan")</f>
        <v>Relevan</v>
      </c>
    </row>
    <row r="196" spans="1:11" x14ac:dyDescent="0.35">
      <c r="A196">
        <f t="shared" si="3"/>
        <v>195</v>
      </c>
      <c r="B196" t="s">
        <v>2882</v>
      </c>
      <c r="C196" t="s">
        <v>496</v>
      </c>
      <c r="D196" t="s">
        <v>3628</v>
      </c>
      <c r="E196" t="s">
        <v>2883</v>
      </c>
      <c r="F196" t="s">
        <v>1799</v>
      </c>
      <c r="G196" t="s">
        <v>2884</v>
      </c>
      <c r="H196" t="s">
        <v>2884</v>
      </c>
      <c r="I196" t="s">
        <v>2885</v>
      </c>
      <c r="J196" s="5" t="str" cm="1">
        <f t="array" ref="J196">IF(SUM(COUNTIF(Text_Preprocessing__22458[[#This Row],[full_text]],{"*makan siang gratis*";"*MBG*";"*makan gratis*";"*makan bergizi gratis*";"*makangratis*";"*makanan gratis*"})),"Relevan","Tidak Relevan")</f>
        <v>Tidak Relevan</v>
      </c>
      <c r="K196" t="s">
        <v>3622</v>
      </c>
    </row>
    <row r="197" spans="1:11" x14ac:dyDescent="0.35">
      <c r="A197">
        <f t="shared" si="3"/>
        <v>196</v>
      </c>
      <c r="B197" t="s">
        <v>2886</v>
      </c>
      <c r="C197" t="s">
        <v>498</v>
      </c>
      <c r="D197" t="s">
        <v>3628</v>
      </c>
      <c r="E197" t="s">
        <v>2887</v>
      </c>
      <c r="F197" t="s">
        <v>1596</v>
      </c>
      <c r="G197" t="s">
        <v>2888</v>
      </c>
      <c r="H197" t="s">
        <v>2888</v>
      </c>
      <c r="I197" t="s">
        <v>2888</v>
      </c>
      <c r="J197" s="5" t="str" cm="1">
        <f t="array" ref="J197">IF(SUM(COUNTIF(Text_Preprocessing__22458[[#This Row],[full_text]],{"*makan siang gratis*";"*MBG*";"*makan gratis*";"*makan bergizi gratis*";"*makangratis*";"*makanan gratis*"})),"Relevan","Tidak Relevan")</f>
        <v>Relevan</v>
      </c>
    </row>
    <row r="198" spans="1:11" x14ac:dyDescent="0.35">
      <c r="A198">
        <f t="shared" si="3"/>
        <v>197</v>
      </c>
      <c r="B198" t="s">
        <v>2893</v>
      </c>
      <c r="C198" t="s">
        <v>501</v>
      </c>
      <c r="D198" t="s">
        <v>3628</v>
      </c>
      <c r="E198" t="s">
        <v>2894</v>
      </c>
      <c r="F198" t="s">
        <v>2878</v>
      </c>
      <c r="G198" t="s">
        <v>2895</v>
      </c>
      <c r="H198" t="s">
        <v>2895</v>
      </c>
      <c r="I198" t="s">
        <v>2896</v>
      </c>
      <c r="J198" s="5" t="str" cm="1">
        <f t="array" ref="J198">IF(SUM(COUNTIF(Text_Preprocessing__22458[[#This Row],[full_text]],{"*makan siang gratis*";"*MBG*";"*makan gratis*";"*makan bergizi gratis*";"*makangratis*";"*makanan gratis*"})),"Relevan","Tidak Relevan")</f>
        <v>Relevan</v>
      </c>
    </row>
    <row r="199" spans="1:11" x14ac:dyDescent="0.35">
      <c r="A199">
        <f t="shared" si="3"/>
        <v>198</v>
      </c>
      <c r="B199" t="s">
        <v>2897</v>
      </c>
      <c r="C199" t="s">
        <v>503</v>
      </c>
      <c r="D199" t="s">
        <v>3634</v>
      </c>
      <c r="E199" t="s">
        <v>2898</v>
      </c>
      <c r="F199" t="s">
        <v>2899</v>
      </c>
      <c r="G199" t="s">
        <v>2900</v>
      </c>
      <c r="H199" t="s">
        <v>2900</v>
      </c>
      <c r="I199" t="s">
        <v>2901</v>
      </c>
      <c r="J199" s="5" t="str" cm="1">
        <f t="array" ref="J199">IF(SUM(COUNTIF(Text_Preprocessing__22458[[#This Row],[full_text]],{"*makan siang gratis*";"*MBG*";"*makan gratis*";"*makan bergizi gratis*";"*makangratis*";"*makanan gratis*"})),"Relevan","Tidak Relevan")</f>
        <v>Relevan</v>
      </c>
    </row>
    <row r="200" spans="1:11" x14ac:dyDescent="0.35">
      <c r="A200">
        <f t="shared" si="3"/>
        <v>199</v>
      </c>
      <c r="B200" t="s">
        <v>2907</v>
      </c>
      <c r="C200" t="s">
        <v>506</v>
      </c>
      <c r="D200" t="s">
        <v>3629</v>
      </c>
      <c r="E200" t="s">
        <v>2908</v>
      </c>
      <c r="F200" t="s">
        <v>1730</v>
      </c>
      <c r="G200" t="s">
        <v>2909</v>
      </c>
      <c r="H200" t="s">
        <v>2909</v>
      </c>
      <c r="I200" t="s">
        <v>2910</v>
      </c>
      <c r="J200" s="5" t="str" cm="1">
        <f t="array" ref="J200">IF(SUM(COUNTIF(Text_Preprocessing__22458[[#This Row],[full_text]],{"*makan siang gratis*";"*MBG*";"*makan gratis*";"*makan bergizi gratis*";"*makangratis*";"*makanan gratis*"})),"Relevan","Tidak Relevan")</f>
        <v>Relevan</v>
      </c>
    </row>
    <row r="201" spans="1:11" x14ac:dyDescent="0.35">
      <c r="A201">
        <f t="shared" si="3"/>
        <v>200</v>
      </c>
      <c r="B201" t="s">
        <v>2911</v>
      </c>
      <c r="C201" t="s">
        <v>508</v>
      </c>
      <c r="D201" t="s">
        <v>3628</v>
      </c>
      <c r="E201" t="s">
        <v>2912</v>
      </c>
      <c r="F201" t="s">
        <v>1669</v>
      </c>
      <c r="G201" t="s">
        <v>2913</v>
      </c>
      <c r="H201" t="s">
        <v>2913</v>
      </c>
      <c r="I201" t="s">
        <v>2914</v>
      </c>
      <c r="J201" s="5" t="str" cm="1">
        <f t="array" ref="J201">IF(SUM(COUNTIF(Text_Preprocessing__22458[[#This Row],[full_text]],{"*makan siang gratis*";"*MBG*";"*makan gratis*";"*makan bergizi gratis*";"*makangratis*";"*makanan gratis*"})),"Relevan","Tidak Relevan")</f>
        <v>Relevan</v>
      </c>
    </row>
    <row r="202" spans="1:11" x14ac:dyDescent="0.35">
      <c r="A202">
        <f t="shared" si="3"/>
        <v>201</v>
      </c>
      <c r="B202" t="s">
        <v>2915</v>
      </c>
      <c r="C202" t="s">
        <v>510</v>
      </c>
      <c r="D202" t="s">
        <v>3628</v>
      </c>
      <c r="E202" t="s">
        <v>2916</v>
      </c>
      <c r="F202" t="s">
        <v>1906</v>
      </c>
      <c r="G202" t="s">
        <v>2917</v>
      </c>
      <c r="H202" t="s">
        <v>2917</v>
      </c>
      <c r="I202" t="s">
        <v>2918</v>
      </c>
      <c r="J202" s="5" t="str" cm="1">
        <f t="array" ref="J202">IF(SUM(COUNTIF(Text_Preprocessing__22458[[#This Row],[full_text]],{"*makan siang gratis*";"*MBG*";"*makan gratis*";"*makan bergizi gratis*";"*makangratis*";"*makanan gratis*"})),"Relevan","Tidak Relevan")</f>
        <v>Relevan</v>
      </c>
    </row>
    <row r="203" spans="1:11" x14ac:dyDescent="0.35">
      <c r="A203">
        <f t="shared" si="3"/>
        <v>202</v>
      </c>
      <c r="B203" t="s">
        <v>2919</v>
      </c>
      <c r="C203" t="s">
        <v>512</v>
      </c>
      <c r="D203" t="s">
        <v>3628</v>
      </c>
      <c r="E203" t="s">
        <v>2920</v>
      </c>
      <c r="F203" t="s">
        <v>2921</v>
      </c>
      <c r="G203" t="s">
        <v>2922</v>
      </c>
      <c r="H203" t="s">
        <v>2922</v>
      </c>
      <c r="I203" t="s">
        <v>2923</v>
      </c>
      <c r="J203" s="5" t="str" cm="1">
        <f t="array" ref="J203">IF(SUM(COUNTIF(Text_Preprocessing__22458[[#This Row],[full_text]],{"*makan siang gratis*";"*MBG*";"*makan gratis*";"*makan bergizi gratis*";"*makangratis*";"*makanan gratis*"})),"Relevan","Tidak Relevan")</f>
        <v>Relevan</v>
      </c>
    </row>
    <row r="204" spans="1:11" x14ac:dyDescent="0.35">
      <c r="A204">
        <f t="shared" si="3"/>
        <v>203</v>
      </c>
      <c r="B204" t="s">
        <v>2928</v>
      </c>
      <c r="C204" t="s">
        <v>515</v>
      </c>
      <c r="D204" t="s">
        <v>3628</v>
      </c>
      <c r="E204" t="s">
        <v>2929</v>
      </c>
      <c r="F204" t="s">
        <v>1735</v>
      </c>
      <c r="G204" t="s">
        <v>2930</v>
      </c>
      <c r="H204" t="s">
        <v>2930</v>
      </c>
      <c r="I204" t="s">
        <v>2931</v>
      </c>
      <c r="J204" s="5" t="str" cm="1">
        <f t="array" ref="J204">IF(SUM(COUNTIF(Text_Preprocessing__22458[[#This Row],[full_text]],{"*makan siang gratis*";"*MBG*";"*makan gratis*";"*makan bergizi gratis*";"*makangratis*";"*makanan gratis*"})),"Relevan","Tidak Relevan")</f>
        <v>Relevan</v>
      </c>
    </row>
    <row r="205" spans="1:11" x14ac:dyDescent="0.35">
      <c r="A205">
        <f t="shared" si="3"/>
        <v>204</v>
      </c>
      <c r="B205" t="s">
        <v>2932</v>
      </c>
      <c r="C205" t="s">
        <v>517</v>
      </c>
      <c r="D205" t="s">
        <v>3628</v>
      </c>
      <c r="E205" t="s">
        <v>2933</v>
      </c>
      <c r="F205" t="s">
        <v>2934</v>
      </c>
      <c r="G205" t="s">
        <v>2935</v>
      </c>
      <c r="H205" t="s">
        <v>2935</v>
      </c>
      <c r="I205" t="s">
        <v>2936</v>
      </c>
      <c r="J205" s="5" t="str" cm="1">
        <f t="array" ref="J205">IF(SUM(COUNTIF(Text_Preprocessing__22458[[#This Row],[full_text]],{"*makan siang gratis*";"*MBG*";"*makan gratis*";"*makan bergizi gratis*";"*makangratis*";"*makanan gratis*"})),"Relevan","Tidak Relevan")</f>
        <v>Relevan</v>
      </c>
    </row>
    <row r="206" spans="1:11" x14ac:dyDescent="0.35">
      <c r="A206">
        <f t="shared" si="3"/>
        <v>205</v>
      </c>
      <c r="B206" t="s">
        <v>2937</v>
      </c>
      <c r="C206" t="s">
        <v>519</v>
      </c>
      <c r="D206" t="s">
        <v>3628</v>
      </c>
      <c r="E206" t="s">
        <v>2938</v>
      </c>
      <c r="F206" t="s">
        <v>1692</v>
      </c>
      <c r="G206" t="s">
        <v>2939</v>
      </c>
      <c r="H206" t="s">
        <v>2939</v>
      </c>
      <c r="I206" t="s">
        <v>2940</v>
      </c>
      <c r="J206" s="5" t="str" cm="1">
        <f t="array" ref="J206">IF(SUM(COUNTIF(Text_Preprocessing__22458[[#This Row],[full_text]],{"*makan siang gratis*";"*MBG*";"*makan gratis*";"*makan bergizi gratis*";"*makangratis*";"*makanan gratis*"})),"Relevan","Tidak Relevan")</f>
        <v>Relevan</v>
      </c>
    </row>
    <row r="207" spans="1:11" x14ac:dyDescent="0.35">
      <c r="A207">
        <f t="shared" si="3"/>
        <v>206</v>
      </c>
      <c r="B207" t="s">
        <v>2945</v>
      </c>
      <c r="C207" t="s">
        <v>522</v>
      </c>
      <c r="D207" t="s">
        <v>3628</v>
      </c>
      <c r="E207" t="s">
        <v>2946</v>
      </c>
      <c r="F207" t="s">
        <v>2008</v>
      </c>
      <c r="G207" t="s">
        <v>2947</v>
      </c>
      <c r="H207" t="s">
        <v>2948</v>
      </c>
      <c r="I207" t="s">
        <v>2949</v>
      </c>
      <c r="J207" s="5" t="str" cm="1">
        <f t="array" ref="J207">IF(SUM(COUNTIF(Text_Preprocessing__22458[[#This Row],[full_text]],{"*makan siang gratis*";"*MBG*";"*makan gratis*";"*makan bergizi gratis*";"*makangratis*";"*makanan gratis*"})),"Relevan","Tidak Relevan")</f>
        <v>Relevan</v>
      </c>
    </row>
    <row r="208" spans="1:11" x14ac:dyDescent="0.35">
      <c r="A208">
        <f t="shared" si="3"/>
        <v>207</v>
      </c>
      <c r="B208" t="s">
        <v>2954</v>
      </c>
      <c r="C208" t="s">
        <v>525</v>
      </c>
      <c r="D208" t="s">
        <v>3628</v>
      </c>
      <c r="E208" t="s">
        <v>2955</v>
      </c>
      <c r="F208" t="s">
        <v>1764</v>
      </c>
      <c r="G208" t="s">
        <v>2956</v>
      </c>
      <c r="H208" t="s">
        <v>2956</v>
      </c>
      <c r="I208" t="s">
        <v>2957</v>
      </c>
      <c r="J208" s="5" t="str" cm="1">
        <f t="array" ref="J208">IF(SUM(COUNTIF(Text_Preprocessing__22458[[#This Row],[full_text]],{"*makan siang gratis*";"*MBG*";"*makan gratis*";"*makan bergizi gratis*";"*makangratis*";"*makanan gratis*"})),"Relevan","Tidak Relevan")</f>
        <v>Relevan</v>
      </c>
    </row>
    <row r="209" spans="1:11" x14ac:dyDescent="0.35">
      <c r="A209">
        <f t="shared" si="3"/>
        <v>208</v>
      </c>
      <c r="B209" t="s">
        <v>2962</v>
      </c>
      <c r="C209" t="s">
        <v>528</v>
      </c>
      <c r="D209" t="s">
        <v>3628</v>
      </c>
      <c r="E209" t="s">
        <v>2963</v>
      </c>
      <c r="F209" t="s">
        <v>1596</v>
      </c>
      <c r="G209" t="s">
        <v>2964</v>
      </c>
      <c r="H209" t="s">
        <v>2965</v>
      </c>
      <c r="I209" t="s">
        <v>2966</v>
      </c>
      <c r="J209" s="5" t="str" cm="1">
        <f t="array" ref="J209">IF(SUM(COUNTIF(Text_Preprocessing__22458[[#This Row],[full_text]],{"*makan siang gratis*";"*MBG*";"*makan gratis*";"*makan bergizi gratis*";"*makangratis*";"*makanan gratis*"})),"Relevan","Tidak Relevan")</f>
        <v>Tidak Relevan</v>
      </c>
      <c r="K209" t="s">
        <v>3622</v>
      </c>
    </row>
    <row r="210" spans="1:11" x14ac:dyDescent="0.35">
      <c r="A210">
        <f t="shared" si="3"/>
        <v>209</v>
      </c>
      <c r="B210" t="s">
        <v>2971</v>
      </c>
      <c r="C210" t="s">
        <v>531</v>
      </c>
      <c r="D210" t="s">
        <v>3628</v>
      </c>
      <c r="E210" t="s">
        <v>2972</v>
      </c>
      <c r="F210" t="s">
        <v>2782</v>
      </c>
      <c r="G210" t="s">
        <v>2973</v>
      </c>
      <c r="H210" t="s">
        <v>2973</v>
      </c>
      <c r="I210" t="s">
        <v>2974</v>
      </c>
      <c r="J210" s="5" t="str" cm="1">
        <f t="array" ref="J210">IF(SUM(COUNTIF(Text_Preprocessing__22458[[#This Row],[full_text]],{"*makan siang gratis*";"*MBG*";"*makan gratis*";"*makan bergizi gratis*";"*makangratis*";"*makanan gratis*"})),"Relevan","Tidak Relevan")</f>
        <v>Relevan</v>
      </c>
    </row>
    <row r="211" spans="1:11" x14ac:dyDescent="0.35">
      <c r="A211">
        <f t="shared" si="3"/>
        <v>210</v>
      </c>
      <c r="B211" t="s">
        <v>2975</v>
      </c>
      <c r="C211" t="s">
        <v>533</v>
      </c>
      <c r="D211" t="s">
        <v>3628</v>
      </c>
      <c r="E211" t="s">
        <v>2976</v>
      </c>
      <c r="F211" t="s">
        <v>2977</v>
      </c>
      <c r="G211" t="s">
        <v>2978</v>
      </c>
      <c r="H211" t="s">
        <v>2979</v>
      </c>
      <c r="I211" t="s">
        <v>2980</v>
      </c>
      <c r="J211" s="5" t="str" cm="1">
        <f t="array" ref="J211">IF(SUM(COUNTIF(Text_Preprocessing__22458[[#This Row],[full_text]],{"*makan siang gratis*";"*MBG*";"*makan gratis*";"*makan bergizi gratis*";"*makangratis*";"*makanan gratis*"})),"Relevan","Tidak Relevan")</f>
        <v>Tidak Relevan</v>
      </c>
      <c r="K211" t="s">
        <v>3622</v>
      </c>
    </row>
    <row r="212" spans="1:11" x14ac:dyDescent="0.35">
      <c r="A212">
        <f t="shared" si="3"/>
        <v>211</v>
      </c>
      <c r="B212" t="s">
        <v>2981</v>
      </c>
      <c r="C212" t="s">
        <v>535</v>
      </c>
      <c r="D212" t="s">
        <v>3628</v>
      </c>
      <c r="E212" t="s">
        <v>2982</v>
      </c>
      <c r="F212" t="s">
        <v>2977</v>
      </c>
      <c r="G212" t="s">
        <v>2983</v>
      </c>
      <c r="H212" t="s">
        <v>2984</v>
      </c>
      <c r="I212" t="s">
        <v>2985</v>
      </c>
      <c r="J212" s="5" t="str" cm="1">
        <f t="array" ref="J212">IF(SUM(COUNTIF(Text_Preprocessing__22458[[#This Row],[full_text]],{"*makan siang gratis*";"*MBG*";"*makan gratis*";"*makan bergizi gratis*";"*makangratis*";"*makanan gratis*"})),"Relevan","Tidak Relevan")</f>
        <v>Relevan</v>
      </c>
    </row>
    <row r="213" spans="1:11" x14ac:dyDescent="0.35">
      <c r="A213">
        <f t="shared" si="3"/>
        <v>212</v>
      </c>
      <c r="B213" t="s">
        <v>2986</v>
      </c>
      <c r="C213" t="s">
        <v>537</v>
      </c>
      <c r="D213" t="s">
        <v>3628</v>
      </c>
      <c r="E213" t="s">
        <v>2987</v>
      </c>
      <c r="F213" t="s">
        <v>2258</v>
      </c>
      <c r="G213" t="s">
        <v>2988</v>
      </c>
      <c r="H213" t="s">
        <v>2988</v>
      </c>
      <c r="I213" t="s">
        <v>2989</v>
      </c>
      <c r="J213" s="5" t="str" cm="1">
        <f t="array" ref="J213">IF(SUM(COUNTIF(Text_Preprocessing__22458[[#This Row],[full_text]],{"*makan siang gratis*";"*MBG*";"*makan gratis*";"*makan bergizi gratis*";"*makangratis*";"*makanan gratis*"})),"Relevan","Tidak Relevan")</f>
        <v>Relevan</v>
      </c>
    </row>
    <row r="214" spans="1:11" x14ac:dyDescent="0.35">
      <c r="A214">
        <f t="shared" si="3"/>
        <v>213</v>
      </c>
      <c r="B214" t="s">
        <v>2990</v>
      </c>
      <c r="C214" t="s">
        <v>539</v>
      </c>
      <c r="D214" t="s">
        <v>3628</v>
      </c>
      <c r="E214" t="s">
        <v>2991</v>
      </c>
      <c r="F214" t="s">
        <v>2164</v>
      </c>
      <c r="G214" t="s">
        <v>2992</v>
      </c>
      <c r="H214" t="s">
        <v>2993</v>
      </c>
      <c r="I214" t="s">
        <v>2994</v>
      </c>
      <c r="J214" s="5" t="str" cm="1">
        <f t="array" ref="J214">IF(SUM(COUNTIF(Text_Preprocessing__22458[[#This Row],[full_text]],{"*makan siang gratis*";"*MBG*";"*makan gratis*";"*makan bergizi gratis*";"*makangratis*";"*makanan gratis*"})),"Relevan","Tidak Relevan")</f>
        <v>Tidak Relevan</v>
      </c>
      <c r="K214" t="s">
        <v>3622</v>
      </c>
    </row>
    <row r="215" spans="1:11" x14ac:dyDescent="0.35">
      <c r="A215">
        <f t="shared" si="3"/>
        <v>214</v>
      </c>
      <c r="B215" t="s">
        <v>2995</v>
      </c>
      <c r="C215" t="s">
        <v>541</v>
      </c>
      <c r="D215" t="s">
        <v>3628</v>
      </c>
      <c r="E215" t="s">
        <v>2996</v>
      </c>
      <c r="F215" t="s">
        <v>1804</v>
      </c>
      <c r="G215" t="s">
        <v>2996</v>
      </c>
      <c r="H215" t="s">
        <v>2996</v>
      </c>
      <c r="I215" t="s">
        <v>2997</v>
      </c>
      <c r="J215" s="5" t="str" cm="1">
        <f t="array" ref="J215">IF(SUM(COUNTIF(Text_Preprocessing__22458[[#This Row],[full_text]],{"*makan siang gratis*";"*MBG*";"*makan gratis*";"*makan bergizi gratis*";"*makangratis*";"*makanan gratis*"})),"Relevan","Tidak Relevan")</f>
        <v>Relevan</v>
      </c>
    </row>
    <row r="216" spans="1:11" x14ac:dyDescent="0.35">
      <c r="A216">
        <f t="shared" si="3"/>
        <v>215</v>
      </c>
      <c r="B216" t="s">
        <v>2998</v>
      </c>
      <c r="C216" t="s">
        <v>543</v>
      </c>
      <c r="D216" t="s">
        <v>3628</v>
      </c>
      <c r="E216" t="s">
        <v>2999</v>
      </c>
      <c r="F216" t="s">
        <v>2609</v>
      </c>
      <c r="G216" t="s">
        <v>3000</v>
      </c>
      <c r="H216" t="s">
        <v>3000</v>
      </c>
      <c r="I216" t="s">
        <v>3001</v>
      </c>
      <c r="J216" s="5" t="str" cm="1">
        <f t="array" ref="J216">IF(SUM(COUNTIF(Text_Preprocessing__22458[[#This Row],[full_text]],{"*makan siang gratis*";"*MBG*";"*makan gratis*";"*makan bergizi gratis*";"*makangratis*";"*makanan gratis*"})),"Relevan","Tidak Relevan")</f>
        <v>Relevan</v>
      </c>
    </row>
    <row r="217" spans="1:11" x14ac:dyDescent="0.35">
      <c r="A217">
        <f t="shared" si="3"/>
        <v>216</v>
      </c>
      <c r="B217" t="s">
        <v>3002</v>
      </c>
      <c r="C217" t="s">
        <v>545</v>
      </c>
      <c r="D217" t="s">
        <v>3634</v>
      </c>
      <c r="E217" t="s">
        <v>3003</v>
      </c>
      <c r="F217" t="s">
        <v>2082</v>
      </c>
      <c r="G217" t="s">
        <v>3004</v>
      </c>
      <c r="H217" t="s">
        <v>3004</v>
      </c>
      <c r="I217" t="s">
        <v>3005</v>
      </c>
      <c r="J217" s="5" t="str" cm="1">
        <f t="array" ref="J217">IF(SUM(COUNTIF(Text_Preprocessing__22458[[#This Row],[full_text]],{"*makan siang gratis*";"*MBG*";"*makan gratis*";"*makan bergizi gratis*";"*makangratis*";"*makanan gratis*"})),"Relevan","Tidak Relevan")</f>
        <v>Relevan</v>
      </c>
    </row>
    <row r="218" spans="1:11" x14ac:dyDescent="0.35">
      <c r="A218">
        <f t="shared" si="3"/>
        <v>217</v>
      </c>
      <c r="B218" t="s">
        <v>3006</v>
      </c>
      <c r="C218" t="s">
        <v>547</v>
      </c>
      <c r="D218" t="s">
        <v>3628</v>
      </c>
      <c r="E218" t="s">
        <v>3007</v>
      </c>
      <c r="F218" t="s">
        <v>1719</v>
      </c>
      <c r="G218" t="s">
        <v>3008</v>
      </c>
      <c r="H218" t="s">
        <v>3008</v>
      </c>
      <c r="I218" t="s">
        <v>3009</v>
      </c>
      <c r="J218" s="5" t="str" cm="1">
        <f t="array" ref="J218">IF(SUM(COUNTIF(Text_Preprocessing__22458[[#This Row],[full_text]],{"*makan siang gratis*";"*MBG*";"*makan gratis*";"*makan bergizi gratis*";"*makangratis*";"*makanan gratis*"})),"Relevan","Tidak Relevan")</f>
        <v>Relevan</v>
      </c>
    </row>
    <row r="219" spans="1:11" x14ac:dyDescent="0.35">
      <c r="A219">
        <f t="shared" si="3"/>
        <v>218</v>
      </c>
      <c r="B219" t="s">
        <v>3010</v>
      </c>
      <c r="C219" t="s">
        <v>549</v>
      </c>
      <c r="D219" t="s">
        <v>3628</v>
      </c>
      <c r="E219" t="s">
        <v>3011</v>
      </c>
      <c r="F219" t="s">
        <v>3012</v>
      </c>
      <c r="G219" t="s">
        <v>3013</v>
      </c>
      <c r="H219" t="s">
        <v>3013</v>
      </c>
      <c r="I219" t="s">
        <v>3014</v>
      </c>
      <c r="J219" s="5" t="str" cm="1">
        <f t="array" ref="J219">IF(SUM(COUNTIF(Text_Preprocessing__22458[[#This Row],[full_text]],{"*makan siang gratis*";"*MBG*";"*makan gratis*";"*makan bergizi gratis*";"*makangratis*";"*makanan gratis*"})),"Relevan","Tidak Relevan")</f>
        <v>Relevan</v>
      </c>
    </row>
    <row r="220" spans="1:11" x14ac:dyDescent="0.35">
      <c r="A220">
        <f t="shared" si="3"/>
        <v>219</v>
      </c>
      <c r="B220" t="s">
        <v>3015</v>
      </c>
      <c r="C220" t="s">
        <v>551</v>
      </c>
      <c r="D220" t="s">
        <v>3628</v>
      </c>
      <c r="E220" t="s">
        <v>3016</v>
      </c>
      <c r="F220" t="s">
        <v>1844</v>
      </c>
      <c r="G220" t="s">
        <v>3017</v>
      </c>
      <c r="H220" t="s">
        <v>3017</v>
      </c>
      <c r="I220" t="s">
        <v>3018</v>
      </c>
      <c r="J220" s="5" t="str" cm="1">
        <f t="array" ref="J220">IF(SUM(COUNTIF(Text_Preprocessing__22458[[#This Row],[full_text]],{"*makan siang gratis*";"*MBG*";"*makan gratis*";"*makan bergizi gratis*";"*makangratis*";"*makanan gratis*"})),"Relevan","Tidak Relevan")</f>
        <v>Relevan</v>
      </c>
    </row>
    <row r="221" spans="1:11" x14ac:dyDescent="0.35">
      <c r="A221">
        <f t="shared" si="3"/>
        <v>220</v>
      </c>
      <c r="B221" t="s">
        <v>3019</v>
      </c>
      <c r="C221" t="s">
        <v>555</v>
      </c>
      <c r="D221" t="s">
        <v>3628</v>
      </c>
      <c r="E221" t="s">
        <v>3020</v>
      </c>
      <c r="F221" t="s">
        <v>3021</v>
      </c>
      <c r="G221" t="s">
        <v>3022</v>
      </c>
      <c r="H221" t="s">
        <v>3023</v>
      </c>
      <c r="I221" t="s">
        <v>3024</v>
      </c>
      <c r="J221" s="5" t="str" cm="1">
        <f t="array" ref="J221">IF(SUM(COUNTIF(Text_Preprocessing__22458[[#This Row],[full_text]],{"*makan siang gratis*";"*MBG*";"*makan gratis*";"*makan bergizi gratis*";"*makangratis*";"*makanan gratis*"})),"Relevan","Tidak Relevan")</f>
        <v>Relevan</v>
      </c>
    </row>
    <row r="222" spans="1:11" x14ac:dyDescent="0.35">
      <c r="A222">
        <f t="shared" si="3"/>
        <v>221</v>
      </c>
      <c r="B222" t="s">
        <v>3025</v>
      </c>
      <c r="C222" t="s">
        <v>557</v>
      </c>
      <c r="D222" t="s">
        <v>3628</v>
      </c>
      <c r="E222" t="s">
        <v>3026</v>
      </c>
      <c r="F222" t="s">
        <v>2092</v>
      </c>
      <c r="G222" t="s">
        <v>3027</v>
      </c>
      <c r="H222" t="s">
        <v>3028</v>
      </c>
      <c r="I222" t="s">
        <v>3029</v>
      </c>
      <c r="J222" s="5" t="str" cm="1">
        <f t="array" ref="J222">IF(SUM(COUNTIF(Text_Preprocessing__22458[[#This Row],[full_text]],{"*makan siang gratis*";"*MBG*";"*makan gratis*";"*makan bergizi gratis*";"*makangratis*";"*makanan gratis*"})),"Relevan","Tidak Relevan")</f>
        <v>Tidak Relevan</v>
      </c>
      <c r="K222" t="s">
        <v>3622</v>
      </c>
    </row>
    <row r="223" spans="1:11" x14ac:dyDescent="0.35">
      <c r="A223">
        <f t="shared" si="3"/>
        <v>222</v>
      </c>
      <c r="B223" t="s">
        <v>3030</v>
      </c>
      <c r="C223" t="s">
        <v>559</v>
      </c>
      <c r="D223" t="s">
        <v>3632</v>
      </c>
      <c r="E223" t="s">
        <v>3031</v>
      </c>
      <c r="F223" t="s">
        <v>2348</v>
      </c>
      <c r="G223" t="s">
        <v>3032</v>
      </c>
      <c r="H223" t="s">
        <v>3032</v>
      </c>
      <c r="I223" t="s">
        <v>3033</v>
      </c>
      <c r="J223" s="5" t="str" cm="1">
        <f t="array" ref="J223">IF(SUM(COUNTIF(Text_Preprocessing__22458[[#This Row],[full_text]],{"*makan siang gratis*";"*MBG*";"*makan gratis*";"*makan bergizi gratis*";"*makangratis*";"*makanan gratis*"})),"Relevan","Tidak Relevan")</f>
        <v>Relevan</v>
      </c>
    </row>
    <row r="224" spans="1:11" x14ac:dyDescent="0.35">
      <c r="A224">
        <f t="shared" si="3"/>
        <v>223</v>
      </c>
      <c r="B224" t="s">
        <v>3034</v>
      </c>
      <c r="C224" t="s">
        <v>561</v>
      </c>
      <c r="D224" t="s">
        <v>3634</v>
      </c>
      <c r="E224" t="s">
        <v>3035</v>
      </c>
      <c r="F224" t="s">
        <v>3036</v>
      </c>
      <c r="G224" t="s">
        <v>3037</v>
      </c>
      <c r="H224" t="s">
        <v>3037</v>
      </c>
      <c r="I224" t="s">
        <v>3038</v>
      </c>
      <c r="J224" s="5" t="str" cm="1">
        <f t="array" ref="J224">IF(SUM(COUNTIF(Text_Preprocessing__22458[[#This Row],[full_text]],{"*makan siang gratis*";"*MBG*";"*makan gratis*";"*makan bergizi gratis*";"*makangratis*";"*makanan gratis*"})),"Relevan","Tidak Relevan")</f>
        <v>Relevan</v>
      </c>
    </row>
    <row r="225" spans="1:11" x14ac:dyDescent="0.35">
      <c r="A225">
        <f t="shared" si="3"/>
        <v>224</v>
      </c>
      <c r="B225" t="s">
        <v>3039</v>
      </c>
      <c r="C225" t="s">
        <v>563</v>
      </c>
      <c r="D225" t="s">
        <v>3628</v>
      </c>
      <c r="E225" t="s">
        <v>3040</v>
      </c>
      <c r="F225" t="s">
        <v>3041</v>
      </c>
      <c r="G225" t="s">
        <v>3042</v>
      </c>
      <c r="H225" t="s">
        <v>3042</v>
      </c>
      <c r="I225" t="s">
        <v>3043</v>
      </c>
      <c r="J225" s="5" t="str" cm="1">
        <f t="array" ref="J225">IF(SUM(COUNTIF(Text_Preprocessing__22458[[#This Row],[full_text]],{"*makan siang gratis*";"*MBG*";"*makan gratis*";"*makan bergizi gratis*";"*makangratis*";"*makanan gratis*"})),"Relevan","Tidak Relevan")</f>
        <v>Relevan</v>
      </c>
    </row>
    <row r="226" spans="1:11" x14ac:dyDescent="0.35">
      <c r="A226">
        <f t="shared" si="3"/>
        <v>225</v>
      </c>
      <c r="B226" t="s">
        <v>3044</v>
      </c>
      <c r="C226" t="s">
        <v>565</v>
      </c>
      <c r="D226" t="s">
        <v>3628</v>
      </c>
      <c r="E226" t="s">
        <v>3045</v>
      </c>
      <c r="F226" t="s">
        <v>2159</v>
      </c>
      <c r="G226" t="s">
        <v>3046</v>
      </c>
      <c r="H226" t="s">
        <v>3046</v>
      </c>
      <c r="I226" t="s">
        <v>3047</v>
      </c>
      <c r="J226" s="5" t="str" cm="1">
        <f t="array" ref="J226">IF(SUM(COUNTIF(Text_Preprocessing__22458[[#This Row],[full_text]],{"*makan siang gratis*";"*MBG*";"*makan gratis*";"*makan bergizi gratis*";"*makangratis*";"*makanan gratis*"})),"Relevan","Tidak Relevan")</f>
        <v>Relevan</v>
      </c>
    </row>
    <row r="227" spans="1:11" x14ac:dyDescent="0.35">
      <c r="A227">
        <f t="shared" si="3"/>
        <v>226</v>
      </c>
      <c r="B227" t="s">
        <v>3048</v>
      </c>
      <c r="C227" t="s">
        <v>567</v>
      </c>
      <c r="D227" t="s">
        <v>3628</v>
      </c>
      <c r="E227" t="s">
        <v>3049</v>
      </c>
      <c r="F227" t="s">
        <v>2312</v>
      </c>
      <c r="G227" t="s">
        <v>3050</v>
      </c>
      <c r="H227" t="s">
        <v>3050</v>
      </c>
      <c r="I227" t="s">
        <v>3051</v>
      </c>
      <c r="J227" s="5" t="str" cm="1">
        <f t="array" ref="J227">IF(SUM(COUNTIF(Text_Preprocessing__22458[[#This Row],[full_text]],{"*makan siang gratis*";"*MBG*";"*makan gratis*";"*makan bergizi gratis*";"*makangratis*";"*makanan gratis*"})),"Relevan","Tidak Relevan")</f>
        <v>Relevan</v>
      </c>
    </row>
    <row r="228" spans="1:11" x14ac:dyDescent="0.35">
      <c r="A228">
        <f t="shared" si="3"/>
        <v>227</v>
      </c>
      <c r="B228" t="s">
        <v>3052</v>
      </c>
      <c r="C228" t="s">
        <v>569</v>
      </c>
      <c r="D228" t="s">
        <v>3628</v>
      </c>
      <c r="E228" t="s">
        <v>3053</v>
      </c>
      <c r="F228" t="s">
        <v>1629</v>
      </c>
      <c r="G228" t="s">
        <v>3054</v>
      </c>
      <c r="H228" t="s">
        <v>3054</v>
      </c>
      <c r="I228" t="s">
        <v>3055</v>
      </c>
      <c r="J228" s="5" t="str" cm="1">
        <f t="array" ref="J228">IF(SUM(COUNTIF(Text_Preprocessing__22458[[#This Row],[full_text]],{"*makan siang gratis*";"*MBG*";"*makan gratis*";"*makan bergizi gratis*";"*makangratis*";"*makanan gratis*"})),"Relevan","Tidak Relevan")</f>
        <v>Relevan</v>
      </c>
    </row>
    <row r="229" spans="1:11" x14ac:dyDescent="0.35">
      <c r="A229">
        <f t="shared" si="3"/>
        <v>228</v>
      </c>
      <c r="B229" t="s">
        <v>3056</v>
      </c>
      <c r="C229" t="s">
        <v>571</v>
      </c>
      <c r="D229" t="s">
        <v>3628</v>
      </c>
      <c r="E229" t="s">
        <v>3057</v>
      </c>
      <c r="F229" t="s">
        <v>1990</v>
      </c>
      <c r="G229" t="s">
        <v>3058</v>
      </c>
      <c r="H229" t="s">
        <v>3058</v>
      </c>
      <c r="I229" t="s">
        <v>3059</v>
      </c>
      <c r="J229" s="5" t="str" cm="1">
        <f t="array" ref="J229">IF(SUM(COUNTIF(Text_Preprocessing__22458[[#This Row],[full_text]],{"*makan siang gratis*";"*MBG*";"*makan gratis*";"*makan bergizi gratis*";"*makangratis*";"*makanan gratis*"})),"Relevan","Tidak Relevan")</f>
        <v>Relevan</v>
      </c>
    </row>
    <row r="230" spans="1:11" x14ac:dyDescent="0.35">
      <c r="A230">
        <f t="shared" si="3"/>
        <v>229</v>
      </c>
      <c r="B230" t="s">
        <v>3064</v>
      </c>
      <c r="C230" t="s">
        <v>575</v>
      </c>
      <c r="D230" t="s">
        <v>3632</v>
      </c>
      <c r="E230" t="s">
        <v>3065</v>
      </c>
      <c r="F230" t="s">
        <v>2312</v>
      </c>
      <c r="G230" t="s">
        <v>3066</v>
      </c>
      <c r="H230" t="s">
        <v>3066</v>
      </c>
      <c r="I230" t="s">
        <v>3067</v>
      </c>
      <c r="J230" s="5" t="str" cm="1">
        <f t="array" ref="J230">IF(SUM(COUNTIF(Text_Preprocessing__22458[[#This Row],[full_text]],{"*makan siang gratis*";"*MBG*";"*makan gratis*";"*makan bergizi gratis*";"*makangratis*";"*makanan gratis*"})),"Relevan","Tidak Relevan")</f>
        <v>Relevan</v>
      </c>
    </row>
    <row r="231" spans="1:11" x14ac:dyDescent="0.35">
      <c r="A231">
        <f t="shared" si="3"/>
        <v>230</v>
      </c>
      <c r="B231" t="s">
        <v>3068</v>
      </c>
      <c r="C231" t="s">
        <v>577</v>
      </c>
      <c r="D231" t="s">
        <v>3634</v>
      </c>
      <c r="E231" t="s">
        <v>3069</v>
      </c>
      <c r="F231" t="s">
        <v>3070</v>
      </c>
      <c r="G231" t="s">
        <v>3071</v>
      </c>
      <c r="H231" t="s">
        <v>3071</v>
      </c>
      <c r="I231" t="s">
        <v>3072</v>
      </c>
      <c r="J231" s="5" t="str" cm="1">
        <f t="array" ref="J231">IF(SUM(COUNTIF(Text_Preprocessing__22458[[#This Row],[full_text]],{"*makan siang gratis*";"*MBG*";"*makan gratis*";"*makan bergizi gratis*";"*makangratis*";"*makanan gratis*"})),"Relevan","Tidak Relevan")</f>
        <v>Relevan</v>
      </c>
    </row>
    <row r="232" spans="1:11" x14ac:dyDescent="0.35">
      <c r="A232">
        <f t="shared" si="3"/>
        <v>231</v>
      </c>
      <c r="B232" t="s">
        <v>3086</v>
      </c>
      <c r="C232" t="s">
        <v>582</v>
      </c>
      <c r="D232" t="s">
        <v>3628</v>
      </c>
      <c r="E232" t="s">
        <v>3087</v>
      </c>
      <c r="F232" t="s">
        <v>1613</v>
      </c>
      <c r="G232" t="s">
        <v>3088</v>
      </c>
      <c r="H232" t="s">
        <v>3089</v>
      </c>
      <c r="I232" t="s">
        <v>3090</v>
      </c>
      <c r="J232" s="5" t="str" cm="1">
        <f t="array" ref="J232">IF(SUM(COUNTIF(Text_Preprocessing__22458[[#This Row],[full_text]],{"*makan siang gratis*";"*MBG*";"*makan gratis*";"*makan bergizi gratis*";"*makangratis*";"*makanan gratis*"})),"Relevan","Tidak Relevan")</f>
        <v>Relevan</v>
      </c>
    </row>
    <row r="233" spans="1:11" x14ac:dyDescent="0.35">
      <c r="A233">
        <f t="shared" si="3"/>
        <v>232</v>
      </c>
      <c r="B233" t="s">
        <v>3091</v>
      </c>
      <c r="C233" t="s">
        <v>584</v>
      </c>
      <c r="D233" t="s">
        <v>3628</v>
      </c>
      <c r="E233" t="s">
        <v>3092</v>
      </c>
      <c r="F233" t="s">
        <v>3079</v>
      </c>
      <c r="G233" t="s">
        <v>3093</v>
      </c>
      <c r="H233" t="s">
        <v>3093</v>
      </c>
      <c r="I233" t="s">
        <v>3094</v>
      </c>
      <c r="J233" s="5" t="str" cm="1">
        <f t="array" ref="J233">IF(SUM(COUNTIF(Text_Preprocessing__22458[[#This Row],[full_text]],{"*makan siang gratis*";"*MBG*";"*makan gratis*";"*makan bergizi gratis*";"*makangratis*";"*makanan gratis*"})),"Relevan","Tidak Relevan")</f>
        <v>Tidak Relevan</v>
      </c>
      <c r="K233" t="s">
        <v>3622</v>
      </c>
    </row>
    <row r="234" spans="1:11" x14ac:dyDescent="0.35">
      <c r="A234">
        <f t="shared" si="3"/>
        <v>233</v>
      </c>
      <c r="B234" t="s">
        <v>3095</v>
      </c>
      <c r="C234" t="s">
        <v>586</v>
      </c>
      <c r="D234" t="s">
        <v>3628</v>
      </c>
      <c r="E234" t="s">
        <v>3096</v>
      </c>
      <c r="F234" t="s">
        <v>1663</v>
      </c>
      <c r="G234" t="s">
        <v>3097</v>
      </c>
      <c r="H234" t="s">
        <v>3098</v>
      </c>
      <c r="I234" t="s">
        <v>3099</v>
      </c>
      <c r="J234" s="5" t="str" cm="1">
        <f t="array" ref="J234">IF(SUM(COUNTIF(Text_Preprocessing__22458[[#This Row],[full_text]],{"*makan siang gratis*";"*MBG*";"*makan gratis*";"*makan bergizi gratis*";"*makangratis*";"*makanan gratis*"})),"Relevan","Tidak Relevan")</f>
        <v>Tidak Relevan</v>
      </c>
      <c r="K234" t="s">
        <v>3622</v>
      </c>
    </row>
    <row r="235" spans="1:11" x14ac:dyDescent="0.35">
      <c r="A235">
        <f t="shared" si="3"/>
        <v>234</v>
      </c>
      <c r="B235" t="s">
        <v>3100</v>
      </c>
      <c r="C235" t="s">
        <v>588</v>
      </c>
      <c r="D235" t="s">
        <v>3628</v>
      </c>
      <c r="E235" t="s">
        <v>3101</v>
      </c>
      <c r="F235" t="s">
        <v>2558</v>
      </c>
      <c r="G235" t="s">
        <v>3102</v>
      </c>
      <c r="H235" t="s">
        <v>3103</v>
      </c>
      <c r="I235" t="s">
        <v>3104</v>
      </c>
      <c r="J235" s="5" t="str" cm="1">
        <f t="array" ref="J235">IF(SUM(COUNTIF(Text_Preprocessing__22458[[#This Row],[full_text]],{"*makan siang gratis*";"*MBG*";"*makan gratis*";"*makan bergizi gratis*";"*makangratis*";"*makanan gratis*"})),"Relevan","Tidak Relevan")</f>
        <v>Relevan</v>
      </c>
    </row>
    <row r="236" spans="1:11" x14ac:dyDescent="0.35">
      <c r="A236">
        <f t="shared" si="3"/>
        <v>235</v>
      </c>
      <c r="B236" t="s">
        <v>3105</v>
      </c>
      <c r="C236" t="s">
        <v>590</v>
      </c>
      <c r="D236" t="s">
        <v>3628</v>
      </c>
      <c r="E236" t="s">
        <v>3106</v>
      </c>
      <c r="F236" t="s">
        <v>3107</v>
      </c>
      <c r="G236" t="s">
        <v>3108</v>
      </c>
      <c r="H236" t="s">
        <v>3109</v>
      </c>
      <c r="I236" t="s">
        <v>3110</v>
      </c>
      <c r="J236" s="5" t="str" cm="1">
        <f t="array" ref="J236">IF(SUM(COUNTIF(Text_Preprocessing__22458[[#This Row],[full_text]],{"*makan siang gratis*";"*MBG*";"*makan gratis*";"*makan bergizi gratis*";"*makangratis*";"*makanan gratis*"})),"Relevan","Tidak Relevan")</f>
        <v>Relevan</v>
      </c>
    </row>
    <row r="237" spans="1:11" x14ac:dyDescent="0.35">
      <c r="A237">
        <f t="shared" si="3"/>
        <v>236</v>
      </c>
      <c r="B237" t="s">
        <v>3111</v>
      </c>
      <c r="C237" t="s">
        <v>592</v>
      </c>
      <c r="D237" t="s">
        <v>3628</v>
      </c>
      <c r="E237" t="s">
        <v>3112</v>
      </c>
      <c r="F237" t="s">
        <v>3113</v>
      </c>
      <c r="G237" t="s">
        <v>3114</v>
      </c>
      <c r="H237" t="s">
        <v>3114</v>
      </c>
      <c r="I237" t="s">
        <v>3115</v>
      </c>
      <c r="J237" s="5" t="str" cm="1">
        <f t="array" ref="J237">IF(SUM(COUNTIF(Text_Preprocessing__22458[[#This Row],[full_text]],{"*makan siang gratis*";"*MBG*";"*makan gratis*";"*makan bergizi gratis*";"*makangratis*";"*makanan gratis*"})),"Relevan","Tidak Relevan")</f>
        <v>Relevan</v>
      </c>
    </row>
    <row r="238" spans="1:11" x14ac:dyDescent="0.35">
      <c r="A238">
        <f t="shared" si="3"/>
        <v>237</v>
      </c>
      <c r="B238" t="s">
        <v>3116</v>
      </c>
      <c r="C238" t="s">
        <v>594</v>
      </c>
      <c r="D238" t="s">
        <v>3629</v>
      </c>
      <c r="E238" t="s">
        <v>3117</v>
      </c>
      <c r="F238" t="s">
        <v>3118</v>
      </c>
      <c r="G238" t="s">
        <v>3119</v>
      </c>
      <c r="H238" t="s">
        <v>3119</v>
      </c>
      <c r="I238" t="s">
        <v>3120</v>
      </c>
      <c r="J238" s="5" t="str" cm="1">
        <f t="array" ref="J238">IF(SUM(COUNTIF(Text_Preprocessing__22458[[#This Row],[full_text]],{"*makan siang gratis*";"*MBG*";"*makan gratis*";"*makan bergizi gratis*";"*makangratis*";"*makanan gratis*"})),"Relevan","Tidak Relevan")</f>
        <v>Relevan</v>
      </c>
    </row>
    <row r="239" spans="1:11" x14ac:dyDescent="0.35">
      <c r="A239">
        <f t="shared" si="3"/>
        <v>238</v>
      </c>
      <c r="B239" t="s">
        <v>3121</v>
      </c>
      <c r="C239" t="s">
        <v>596</v>
      </c>
      <c r="D239" t="s">
        <v>3628</v>
      </c>
      <c r="E239" t="s">
        <v>3122</v>
      </c>
      <c r="F239" t="s">
        <v>1853</v>
      </c>
      <c r="G239" t="s">
        <v>3123</v>
      </c>
      <c r="H239" t="s">
        <v>3123</v>
      </c>
      <c r="I239" t="s">
        <v>3124</v>
      </c>
      <c r="J239" s="5" t="str" cm="1">
        <f t="array" ref="J239">IF(SUM(COUNTIF(Text_Preprocessing__22458[[#This Row],[full_text]],{"*makan siang gratis*";"*MBG*";"*makan gratis*";"*makan bergizi gratis*";"*makangratis*";"*makanan gratis*"})),"Relevan","Tidak Relevan")</f>
        <v>Relevan</v>
      </c>
    </row>
    <row r="240" spans="1:11" x14ac:dyDescent="0.35">
      <c r="A240">
        <f t="shared" si="3"/>
        <v>239</v>
      </c>
      <c r="B240" t="s">
        <v>3125</v>
      </c>
      <c r="C240" t="s">
        <v>598</v>
      </c>
      <c r="D240" t="s">
        <v>3628</v>
      </c>
      <c r="E240" t="s">
        <v>3126</v>
      </c>
      <c r="F240" t="s">
        <v>2229</v>
      </c>
      <c r="G240" t="s">
        <v>3127</v>
      </c>
      <c r="H240" t="s">
        <v>3127</v>
      </c>
      <c r="I240" t="s">
        <v>3128</v>
      </c>
      <c r="J240" s="5" t="str" cm="1">
        <f t="array" ref="J240">IF(SUM(COUNTIF(Text_Preprocessing__22458[[#This Row],[full_text]],{"*makan siang gratis*";"*MBG*";"*makan gratis*";"*makan bergizi gratis*";"*makangratis*";"*makanan gratis*"})),"Relevan","Tidak Relevan")</f>
        <v>Relevan</v>
      </c>
    </row>
    <row r="241" spans="1:11" x14ac:dyDescent="0.35">
      <c r="A241">
        <f t="shared" si="3"/>
        <v>240</v>
      </c>
      <c r="B241" t="s">
        <v>3129</v>
      </c>
      <c r="C241" t="s">
        <v>600</v>
      </c>
      <c r="D241" t="s">
        <v>3628</v>
      </c>
      <c r="E241" t="s">
        <v>3130</v>
      </c>
      <c r="F241" t="s">
        <v>3131</v>
      </c>
      <c r="G241" t="s">
        <v>3130</v>
      </c>
      <c r="H241" t="s">
        <v>3130</v>
      </c>
      <c r="I241" t="s">
        <v>3132</v>
      </c>
      <c r="J241" s="5" t="str" cm="1">
        <f t="array" ref="J241">IF(SUM(COUNTIF(Text_Preprocessing__22458[[#This Row],[full_text]],{"*makan siang gratis*";"*MBG*";"*makan gratis*";"*makan bergizi gratis*";"*makangratis*";"*makanan gratis*"})),"Relevan","Tidak Relevan")</f>
        <v>Relevan</v>
      </c>
    </row>
    <row r="242" spans="1:11" x14ac:dyDescent="0.35">
      <c r="A242">
        <f t="shared" si="3"/>
        <v>241</v>
      </c>
      <c r="B242" t="s">
        <v>3133</v>
      </c>
      <c r="C242" t="s">
        <v>602</v>
      </c>
      <c r="D242" t="s">
        <v>3628</v>
      </c>
      <c r="E242" t="s">
        <v>3134</v>
      </c>
      <c r="F242" t="s">
        <v>2862</v>
      </c>
      <c r="G242" t="s">
        <v>3135</v>
      </c>
      <c r="H242" t="s">
        <v>3135</v>
      </c>
      <c r="I242" t="s">
        <v>3136</v>
      </c>
      <c r="J242" s="5" t="str" cm="1">
        <f t="array" ref="J242">IF(SUM(COUNTIF(Text_Preprocessing__22458[[#This Row],[full_text]],{"*makan siang gratis*";"*MBG*";"*makan gratis*";"*makan bergizi gratis*";"*makangratis*";"*makanan gratis*"})),"Relevan","Tidak Relevan")</f>
        <v>Relevan</v>
      </c>
    </row>
    <row r="243" spans="1:11" x14ac:dyDescent="0.35">
      <c r="A243">
        <f t="shared" si="3"/>
        <v>242</v>
      </c>
      <c r="B243" t="s">
        <v>3137</v>
      </c>
      <c r="C243" t="s">
        <v>604</v>
      </c>
      <c r="D243" t="s">
        <v>3628</v>
      </c>
      <c r="E243" t="s">
        <v>3138</v>
      </c>
      <c r="F243" t="s">
        <v>2558</v>
      </c>
      <c r="G243" t="s">
        <v>3139</v>
      </c>
      <c r="H243" t="s">
        <v>3139</v>
      </c>
      <c r="I243" t="s">
        <v>3140</v>
      </c>
      <c r="J243" s="5" t="str" cm="1">
        <f t="array" ref="J243">IF(SUM(COUNTIF(Text_Preprocessing__22458[[#This Row],[full_text]],{"*makan siang gratis*";"*MBG*";"*makan gratis*";"*makan bergizi gratis*";"*makangratis*";"*makanan gratis*"})),"Relevan","Tidak Relevan")</f>
        <v>Relevan</v>
      </c>
    </row>
    <row r="244" spans="1:11" x14ac:dyDescent="0.35">
      <c r="A244">
        <f t="shared" si="3"/>
        <v>243</v>
      </c>
      <c r="B244" t="s">
        <v>3141</v>
      </c>
      <c r="C244" t="s">
        <v>606</v>
      </c>
      <c r="D244" t="s">
        <v>3628</v>
      </c>
      <c r="E244" t="s">
        <v>3142</v>
      </c>
      <c r="F244" t="s">
        <v>2154</v>
      </c>
      <c r="G244" t="s">
        <v>3143</v>
      </c>
      <c r="H244" t="s">
        <v>3144</v>
      </c>
      <c r="I244" t="s">
        <v>3145</v>
      </c>
      <c r="J244" s="5" t="str" cm="1">
        <f t="array" ref="J244">IF(SUM(COUNTIF(Text_Preprocessing__22458[[#This Row],[full_text]],{"*makan siang gratis*";"*MBG*";"*makan gratis*";"*makan bergizi gratis*";"*makangratis*";"*makanan gratis*"})),"Relevan","Tidak Relevan")</f>
        <v>Relevan</v>
      </c>
    </row>
    <row r="245" spans="1:11" x14ac:dyDescent="0.35">
      <c r="A245">
        <f t="shared" si="3"/>
        <v>244</v>
      </c>
      <c r="B245" t="s">
        <v>3146</v>
      </c>
      <c r="C245" t="s">
        <v>608</v>
      </c>
      <c r="D245" t="s">
        <v>3628</v>
      </c>
      <c r="E245" t="s">
        <v>3147</v>
      </c>
      <c r="F245" t="s">
        <v>1785</v>
      </c>
      <c r="G245" t="s">
        <v>3148</v>
      </c>
      <c r="H245" t="s">
        <v>3148</v>
      </c>
      <c r="I245" t="s">
        <v>3149</v>
      </c>
      <c r="J245" s="5" t="str" cm="1">
        <f t="array" ref="J245">IF(SUM(COUNTIF(Text_Preprocessing__22458[[#This Row],[full_text]],{"*makan siang gratis*";"*MBG*";"*makan gratis*";"*makan bergizi gratis*";"*makangratis*";"*makanan gratis*"})),"Relevan","Tidak Relevan")</f>
        <v>Relevan</v>
      </c>
    </row>
    <row r="246" spans="1:11" x14ac:dyDescent="0.35">
      <c r="A246">
        <f t="shared" si="3"/>
        <v>245</v>
      </c>
      <c r="B246" t="s">
        <v>3150</v>
      </c>
      <c r="C246" t="s">
        <v>610</v>
      </c>
      <c r="D246" t="s">
        <v>3628</v>
      </c>
      <c r="E246" t="s">
        <v>3151</v>
      </c>
      <c r="F246" t="s">
        <v>1764</v>
      </c>
      <c r="G246" t="s">
        <v>3152</v>
      </c>
      <c r="H246" t="s">
        <v>3152</v>
      </c>
      <c r="I246" t="s">
        <v>3153</v>
      </c>
      <c r="J246" s="5" t="str" cm="1">
        <f t="array" ref="J246">IF(SUM(COUNTIF(Text_Preprocessing__22458[[#This Row],[full_text]],{"*makan siang gratis*";"*MBG*";"*makan gratis*";"*makan bergizi gratis*";"*makangratis*";"*makanan gratis*"})),"Relevan","Tidak Relevan")</f>
        <v>Relevan</v>
      </c>
    </row>
    <row r="247" spans="1:11" x14ac:dyDescent="0.35">
      <c r="A247">
        <f t="shared" si="3"/>
        <v>246</v>
      </c>
      <c r="B247" t="s">
        <v>3154</v>
      </c>
      <c r="C247" t="s">
        <v>612</v>
      </c>
      <c r="D247" t="s">
        <v>3628</v>
      </c>
      <c r="E247" t="s">
        <v>3155</v>
      </c>
      <c r="F247" t="s">
        <v>1799</v>
      </c>
      <c r="G247" t="s">
        <v>3156</v>
      </c>
      <c r="H247" t="s">
        <v>3156</v>
      </c>
      <c r="I247" t="s">
        <v>3157</v>
      </c>
      <c r="J247" s="5" t="str" cm="1">
        <f t="array" ref="J247">IF(SUM(COUNTIF(Text_Preprocessing__22458[[#This Row],[full_text]],{"*makan siang gratis*";"*MBG*";"*makan gratis*";"*makan bergizi gratis*";"*makangratis*";"*makanan gratis*"})),"Relevan","Tidak Relevan")</f>
        <v>Relevan</v>
      </c>
    </row>
    <row r="248" spans="1:11" x14ac:dyDescent="0.35">
      <c r="A248">
        <f t="shared" si="3"/>
        <v>247</v>
      </c>
      <c r="B248" t="s">
        <v>3158</v>
      </c>
      <c r="C248" t="s">
        <v>614</v>
      </c>
      <c r="D248" t="s">
        <v>3628</v>
      </c>
      <c r="E248" t="s">
        <v>3159</v>
      </c>
      <c r="F248" t="s">
        <v>1799</v>
      </c>
      <c r="G248" t="s">
        <v>3160</v>
      </c>
      <c r="H248" t="s">
        <v>3160</v>
      </c>
      <c r="I248" t="s">
        <v>3161</v>
      </c>
      <c r="J248" s="5" t="str" cm="1">
        <f t="array" ref="J248">IF(SUM(COUNTIF(Text_Preprocessing__22458[[#This Row],[full_text]],{"*makan siang gratis*";"*MBG*";"*makan gratis*";"*makan bergizi gratis*";"*makangratis*";"*makanan gratis*"})),"Relevan","Tidak Relevan")</f>
        <v>Relevan</v>
      </c>
    </row>
    <row r="249" spans="1:11" x14ac:dyDescent="0.35">
      <c r="A249">
        <f t="shared" si="3"/>
        <v>248</v>
      </c>
      <c r="B249" t="s">
        <v>3166</v>
      </c>
      <c r="C249" t="s">
        <v>617</v>
      </c>
      <c r="D249" t="s">
        <v>3628</v>
      </c>
      <c r="E249" t="s">
        <v>3167</v>
      </c>
      <c r="F249" t="s">
        <v>2505</v>
      </c>
      <c r="G249" t="s">
        <v>3168</v>
      </c>
      <c r="H249" t="s">
        <v>3168</v>
      </c>
      <c r="I249" t="s">
        <v>3169</v>
      </c>
      <c r="J249" s="5" t="str" cm="1">
        <f t="array" ref="J249">IF(SUM(COUNTIF(Text_Preprocessing__22458[[#This Row],[full_text]],{"*makan siang gratis*";"*MBG*";"*makan gratis*";"*makan bergizi gratis*";"*makangratis*";"*makanan gratis*"})),"Relevan","Tidak Relevan")</f>
        <v>Relevan</v>
      </c>
    </row>
    <row r="250" spans="1:11" x14ac:dyDescent="0.35">
      <c r="A250">
        <f t="shared" si="3"/>
        <v>249</v>
      </c>
      <c r="B250" t="s">
        <v>3173</v>
      </c>
      <c r="C250" t="s">
        <v>620</v>
      </c>
      <c r="D250" t="s">
        <v>3628</v>
      </c>
      <c r="E250" t="s">
        <v>3174</v>
      </c>
      <c r="F250" t="s">
        <v>2604</v>
      </c>
      <c r="G250" t="s">
        <v>3175</v>
      </c>
      <c r="H250" t="s">
        <v>3175</v>
      </c>
      <c r="I250" t="s">
        <v>3176</v>
      </c>
      <c r="J250" s="5" t="str" cm="1">
        <f t="array" ref="J250">IF(SUM(COUNTIF(Text_Preprocessing__22458[[#This Row],[full_text]],{"*makan siang gratis*";"*MBG*";"*makan gratis*";"*makan bergizi gratis*";"*makangratis*";"*makanan gratis*"})),"Relevan","Tidak Relevan")</f>
        <v>Relevan</v>
      </c>
    </row>
    <row r="251" spans="1:11" x14ac:dyDescent="0.35">
      <c r="A251">
        <f t="shared" si="3"/>
        <v>250</v>
      </c>
      <c r="B251" t="s">
        <v>3205</v>
      </c>
      <c r="C251" t="s">
        <v>629</v>
      </c>
      <c r="D251" t="s">
        <v>3628</v>
      </c>
      <c r="E251" t="s">
        <v>3206</v>
      </c>
      <c r="F251" t="s">
        <v>1730</v>
      </c>
      <c r="G251" t="s">
        <v>3207</v>
      </c>
      <c r="H251" t="s">
        <v>3207</v>
      </c>
      <c r="I251" t="s">
        <v>3208</v>
      </c>
      <c r="J251" s="5" t="str" cm="1">
        <f t="array" ref="J251">IF(SUM(COUNTIF(Text_Preprocessing__22458[[#This Row],[full_text]],{"*makan siang gratis*";"*MBG*";"*makan gratis*";"*makan bergizi gratis*";"*makangratis*";"*makanan gratis*"})),"Relevan","Tidak Relevan")</f>
        <v>Relevan</v>
      </c>
    </row>
    <row r="252" spans="1:11" x14ac:dyDescent="0.35">
      <c r="A252">
        <f t="shared" si="3"/>
        <v>251</v>
      </c>
      <c r="B252" t="s">
        <v>3221</v>
      </c>
      <c r="C252" t="s">
        <v>634</v>
      </c>
      <c r="D252" t="s">
        <v>3628</v>
      </c>
      <c r="E252" t="s">
        <v>3222</v>
      </c>
      <c r="F252" t="s">
        <v>2748</v>
      </c>
      <c r="G252" t="s">
        <v>3223</v>
      </c>
      <c r="H252" t="s">
        <v>3223</v>
      </c>
      <c r="I252" t="s">
        <v>3224</v>
      </c>
      <c r="J252" s="5" t="str" cm="1">
        <f t="array" ref="J252">IF(SUM(COUNTIF(Text_Preprocessing__22458[[#This Row],[full_text]],{"*makan siang gratis*";"*MBG*";"*makan gratis*";"*makan bergizi gratis*";"*makangratis*";"*makanan gratis*"})),"Relevan","Tidak Relevan")</f>
        <v>Tidak Relevan</v>
      </c>
      <c r="K252" t="s">
        <v>3622</v>
      </c>
    </row>
    <row r="253" spans="1:11" x14ac:dyDescent="0.35">
      <c r="A253">
        <f t="shared" si="3"/>
        <v>252</v>
      </c>
      <c r="B253" t="s">
        <v>3225</v>
      </c>
      <c r="C253" t="s">
        <v>636</v>
      </c>
      <c r="D253" t="s">
        <v>3628</v>
      </c>
      <c r="E253" t="s">
        <v>3226</v>
      </c>
      <c r="F253" t="s">
        <v>3227</v>
      </c>
      <c r="G253" t="s">
        <v>3228</v>
      </c>
      <c r="H253" t="s">
        <v>3228</v>
      </c>
      <c r="I253" t="s">
        <v>3229</v>
      </c>
      <c r="J253" s="5" t="str" cm="1">
        <f t="array" ref="J253">IF(SUM(COUNTIF(Text_Preprocessing__22458[[#This Row],[full_text]],{"*makan siang gratis*";"*MBG*";"*makan gratis*";"*makan bergizi gratis*";"*makangratis*";"*makanan gratis*"})),"Relevan","Tidak Relevan")</f>
        <v>Tidak Relevan</v>
      </c>
      <c r="K253" t="s">
        <v>3622</v>
      </c>
    </row>
    <row r="254" spans="1:11" x14ac:dyDescent="0.35">
      <c r="A254">
        <f t="shared" si="3"/>
        <v>253</v>
      </c>
      <c r="B254" t="s">
        <v>3230</v>
      </c>
      <c r="C254" t="s">
        <v>638</v>
      </c>
      <c r="D254" t="s">
        <v>3628</v>
      </c>
      <c r="E254" t="s">
        <v>3231</v>
      </c>
      <c r="F254" t="s">
        <v>2743</v>
      </c>
      <c r="G254" t="s">
        <v>3232</v>
      </c>
      <c r="H254" t="s">
        <v>3232</v>
      </c>
      <c r="I254" t="s">
        <v>3233</v>
      </c>
      <c r="J254" s="5" t="str" cm="1">
        <f t="array" ref="J254">IF(SUM(COUNTIF(Text_Preprocessing__22458[[#This Row],[full_text]],{"*makan siang gratis*";"*MBG*";"*makan gratis*";"*makan bergizi gratis*";"*makangratis*";"*makanan gratis*"})),"Relevan","Tidak Relevan")</f>
        <v>Relevan</v>
      </c>
    </row>
    <row r="255" spans="1:11" x14ac:dyDescent="0.35">
      <c r="A255">
        <f t="shared" si="3"/>
        <v>254</v>
      </c>
      <c r="B255" t="s">
        <v>3238</v>
      </c>
      <c r="C255" t="s">
        <v>641</v>
      </c>
      <c r="D255" t="s">
        <v>3628</v>
      </c>
      <c r="E255" t="s">
        <v>3239</v>
      </c>
      <c r="F255" t="s">
        <v>1893</v>
      </c>
      <c r="G255" t="s">
        <v>3240</v>
      </c>
      <c r="H255" t="s">
        <v>3240</v>
      </c>
      <c r="I255" t="s">
        <v>3241</v>
      </c>
      <c r="J255" s="5" t="str" cm="1">
        <f t="array" ref="J255">IF(SUM(COUNTIF(Text_Preprocessing__22458[[#This Row],[full_text]],{"*makan siang gratis*";"*MBG*";"*makan gratis*";"*makan bergizi gratis*";"*makangratis*";"*makanan gratis*"})),"Relevan","Tidak Relevan")</f>
        <v>Relevan</v>
      </c>
    </row>
    <row r="256" spans="1:11" x14ac:dyDescent="0.35">
      <c r="A256">
        <f t="shared" si="3"/>
        <v>255</v>
      </c>
      <c r="B256" t="s">
        <v>3242</v>
      </c>
      <c r="C256" t="s">
        <v>643</v>
      </c>
      <c r="D256" t="s">
        <v>3628</v>
      </c>
      <c r="E256" t="s">
        <v>3243</v>
      </c>
      <c r="F256" t="s">
        <v>3244</v>
      </c>
      <c r="G256" t="s">
        <v>3245</v>
      </c>
      <c r="H256" t="s">
        <v>3246</v>
      </c>
      <c r="I256" t="s">
        <v>3247</v>
      </c>
      <c r="J256" s="5" t="str" cm="1">
        <f t="array" ref="J256">IF(SUM(COUNTIF(Text_Preprocessing__22458[[#This Row],[full_text]],{"*makan siang gratis*";"*MBG*";"*makan gratis*";"*makan bergizi gratis*";"*makangratis*";"*makanan gratis*"})),"Relevan","Tidak Relevan")</f>
        <v>Relevan</v>
      </c>
    </row>
    <row r="257" spans="1:11" x14ac:dyDescent="0.35">
      <c r="A257">
        <f t="shared" si="3"/>
        <v>256</v>
      </c>
      <c r="B257" t="s">
        <v>3248</v>
      </c>
      <c r="C257" t="s">
        <v>645</v>
      </c>
      <c r="D257" t="s">
        <v>3628</v>
      </c>
      <c r="E257" t="s">
        <v>3249</v>
      </c>
      <c r="F257" t="s">
        <v>1799</v>
      </c>
      <c r="G257" t="s">
        <v>3250</v>
      </c>
      <c r="H257" t="s">
        <v>3250</v>
      </c>
      <c r="I257" t="s">
        <v>3251</v>
      </c>
      <c r="J257" s="5" t="str" cm="1">
        <f t="array" ref="J257">IF(SUM(COUNTIF(Text_Preprocessing__22458[[#This Row],[full_text]],{"*makan siang gratis*";"*MBG*";"*makan gratis*";"*makan bergizi gratis*";"*makangratis*";"*makanan gratis*"})),"Relevan","Tidak Relevan")</f>
        <v>Relevan</v>
      </c>
    </row>
    <row r="258" spans="1:11" x14ac:dyDescent="0.35">
      <c r="A258">
        <f t="shared" si="3"/>
        <v>257</v>
      </c>
      <c r="B258" t="s">
        <v>3252</v>
      </c>
      <c r="C258" t="s">
        <v>647</v>
      </c>
      <c r="D258" t="s">
        <v>3628</v>
      </c>
      <c r="E258" t="s">
        <v>3253</v>
      </c>
      <c r="F258" t="s">
        <v>1624</v>
      </c>
      <c r="G258" t="s">
        <v>3254</v>
      </c>
      <c r="H258" t="s">
        <v>3254</v>
      </c>
      <c r="I258" t="s">
        <v>3255</v>
      </c>
      <c r="J258" s="5" t="str" cm="1">
        <f t="array" ref="J258">IF(SUM(COUNTIF(Text_Preprocessing__22458[[#This Row],[full_text]],{"*makan siang gratis*";"*MBG*";"*makan gratis*";"*makan bergizi gratis*";"*makangratis*";"*makanan gratis*"})),"Relevan","Tidak Relevan")</f>
        <v>Relevan</v>
      </c>
    </row>
    <row r="259" spans="1:11" x14ac:dyDescent="0.35">
      <c r="A259">
        <f t="shared" ref="A259:A317" si="4">SUM(A258+1)</f>
        <v>258</v>
      </c>
      <c r="B259" t="s">
        <v>3256</v>
      </c>
      <c r="C259" t="s">
        <v>649</v>
      </c>
      <c r="D259" t="s">
        <v>3632</v>
      </c>
      <c r="E259" t="s">
        <v>3257</v>
      </c>
      <c r="F259" t="s">
        <v>3258</v>
      </c>
      <c r="G259" t="s">
        <v>3259</v>
      </c>
      <c r="H259" t="s">
        <v>3259</v>
      </c>
      <c r="I259" t="s">
        <v>3260</v>
      </c>
      <c r="J259" s="5" t="str" cm="1">
        <f t="array" ref="J259">IF(SUM(COUNTIF(Text_Preprocessing__22458[[#This Row],[full_text]],{"*makan siang gratis*";"*MBG*";"*makan gratis*";"*makan bergizi gratis*";"*makangratis*";"*makanan gratis*"})),"Relevan","Tidak Relevan")</f>
        <v>Relevan</v>
      </c>
    </row>
    <row r="260" spans="1:11" x14ac:dyDescent="0.35">
      <c r="A260">
        <f t="shared" si="4"/>
        <v>259</v>
      </c>
      <c r="B260" t="s">
        <v>3261</v>
      </c>
      <c r="C260" t="s">
        <v>651</v>
      </c>
      <c r="D260" t="s">
        <v>3628</v>
      </c>
      <c r="E260" t="s">
        <v>3262</v>
      </c>
      <c r="F260" t="s">
        <v>3263</v>
      </c>
      <c r="G260" t="s">
        <v>3264</v>
      </c>
      <c r="H260" t="s">
        <v>3264</v>
      </c>
      <c r="I260" t="s">
        <v>3265</v>
      </c>
      <c r="J260" s="5" t="str" cm="1">
        <f t="array" ref="J260">IF(SUM(COUNTIF(Text_Preprocessing__22458[[#This Row],[full_text]],{"*makan siang gratis*";"*MBG*";"*makan gratis*";"*makan bergizi gratis*";"*makangratis*";"*makanan gratis*"})),"Relevan","Tidak Relevan")</f>
        <v>Relevan</v>
      </c>
    </row>
    <row r="261" spans="1:11" x14ac:dyDescent="0.35">
      <c r="A261">
        <f t="shared" si="4"/>
        <v>260</v>
      </c>
      <c r="B261" t="s">
        <v>3266</v>
      </c>
      <c r="C261" t="s">
        <v>653</v>
      </c>
      <c r="D261" t="s">
        <v>3628</v>
      </c>
      <c r="E261" t="s">
        <v>3267</v>
      </c>
      <c r="F261" t="s">
        <v>1785</v>
      </c>
      <c r="G261" t="s">
        <v>3268</v>
      </c>
      <c r="H261" t="s">
        <v>3268</v>
      </c>
      <c r="I261" t="s">
        <v>3269</v>
      </c>
      <c r="J261" s="5" t="str" cm="1">
        <f t="array" ref="J261">IF(SUM(COUNTIF(Text_Preprocessing__22458[[#This Row],[full_text]],{"*makan siang gratis*";"*MBG*";"*makan gratis*";"*makan bergizi gratis*";"*makangratis*";"*makanan gratis*"})),"Relevan","Tidak Relevan")</f>
        <v>Relevan</v>
      </c>
    </row>
    <row r="262" spans="1:11" x14ac:dyDescent="0.35">
      <c r="A262">
        <f t="shared" si="4"/>
        <v>261</v>
      </c>
      <c r="B262" t="s">
        <v>3270</v>
      </c>
      <c r="C262" t="s">
        <v>655</v>
      </c>
      <c r="D262" t="s">
        <v>3628</v>
      </c>
      <c r="E262" t="s">
        <v>3271</v>
      </c>
      <c r="F262" t="s">
        <v>1652</v>
      </c>
      <c r="G262" t="s">
        <v>3272</v>
      </c>
      <c r="H262" t="s">
        <v>3272</v>
      </c>
      <c r="I262" t="s">
        <v>3273</v>
      </c>
      <c r="J262" s="5" t="str" cm="1">
        <f t="array" ref="J262">IF(SUM(COUNTIF(Text_Preprocessing__22458[[#This Row],[full_text]],{"*makan siang gratis*";"*MBG*";"*makan gratis*";"*makan bergizi gratis*";"*makangratis*";"*makanan gratis*"})),"Relevan","Tidak Relevan")</f>
        <v>Relevan</v>
      </c>
    </row>
    <row r="263" spans="1:11" x14ac:dyDescent="0.35">
      <c r="A263">
        <f t="shared" si="4"/>
        <v>262</v>
      </c>
      <c r="B263" t="s">
        <v>3282</v>
      </c>
      <c r="C263" t="s">
        <v>660</v>
      </c>
      <c r="D263" t="s">
        <v>3628</v>
      </c>
      <c r="E263" t="s">
        <v>3283</v>
      </c>
      <c r="F263" t="s">
        <v>2114</v>
      </c>
      <c r="G263" t="s">
        <v>3284</v>
      </c>
      <c r="H263" t="s">
        <v>3284</v>
      </c>
      <c r="I263" t="s">
        <v>3285</v>
      </c>
      <c r="J263" s="5" t="str" cm="1">
        <f t="array" ref="J263">IF(SUM(COUNTIF(Text_Preprocessing__22458[[#This Row],[full_text]],{"*makan siang gratis*";"*MBG*";"*makan gratis*";"*makan bergizi gratis*";"*makangratis*";"*makanan gratis*"})),"Relevan","Tidak Relevan")</f>
        <v>Relevan</v>
      </c>
    </row>
    <row r="264" spans="1:11" x14ac:dyDescent="0.35">
      <c r="A264">
        <f t="shared" si="4"/>
        <v>263</v>
      </c>
      <c r="B264" t="s">
        <v>3286</v>
      </c>
      <c r="C264" t="s">
        <v>662</v>
      </c>
      <c r="D264" t="s">
        <v>3628</v>
      </c>
      <c r="E264" t="s">
        <v>3287</v>
      </c>
      <c r="F264" t="s">
        <v>1906</v>
      </c>
      <c r="G264" t="s">
        <v>3288</v>
      </c>
      <c r="H264" t="s">
        <v>3288</v>
      </c>
      <c r="I264" t="s">
        <v>3289</v>
      </c>
      <c r="J264" s="5" t="str" cm="1">
        <f t="array" ref="J264">IF(SUM(COUNTIF(Text_Preprocessing__22458[[#This Row],[full_text]],{"*makan siang gratis*";"*MBG*";"*makan gratis*";"*makan bergizi gratis*";"*makangratis*";"*makanan gratis*"})),"Relevan","Tidak Relevan")</f>
        <v>Relevan</v>
      </c>
    </row>
    <row r="265" spans="1:11" x14ac:dyDescent="0.35">
      <c r="A265">
        <f t="shared" si="4"/>
        <v>264</v>
      </c>
      <c r="B265" t="s">
        <v>3290</v>
      </c>
      <c r="C265" t="s">
        <v>664</v>
      </c>
      <c r="D265" t="s">
        <v>3628</v>
      </c>
      <c r="E265" t="s">
        <v>3291</v>
      </c>
      <c r="F265" t="s">
        <v>2109</v>
      </c>
      <c r="G265" t="s">
        <v>3292</v>
      </c>
      <c r="H265" t="s">
        <v>3292</v>
      </c>
      <c r="I265" t="s">
        <v>3293</v>
      </c>
      <c r="J265" s="5" t="str" cm="1">
        <f t="array" ref="J265">IF(SUM(COUNTIF(Text_Preprocessing__22458[[#This Row],[full_text]],{"*makan siang gratis*";"*MBG*";"*makan gratis*";"*makan bergizi gratis*";"*makangratis*";"*makanan gratis*"})),"Relevan","Tidak Relevan")</f>
        <v>Relevan</v>
      </c>
    </row>
    <row r="266" spans="1:11" x14ac:dyDescent="0.35">
      <c r="A266">
        <f t="shared" si="4"/>
        <v>265</v>
      </c>
      <c r="B266" t="s">
        <v>3294</v>
      </c>
      <c r="C266" t="s">
        <v>666</v>
      </c>
      <c r="D266" t="s">
        <v>3628</v>
      </c>
      <c r="E266" t="s">
        <v>3295</v>
      </c>
      <c r="F266" t="s">
        <v>1785</v>
      </c>
      <c r="G266" t="s">
        <v>3296</v>
      </c>
      <c r="H266" t="s">
        <v>3296</v>
      </c>
      <c r="I266" t="s">
        <v>3297</v>
      </c>
      <c r="J266" s="5" t="str" cm="1">
        <f t="array" ref="J266">IF(SUM(COUNTIF(Text_Preprocessing__22458[[#This Row],[full_text]],{"*makan siang gratis*";"*MBG*";"*makan gratis*";"*makan bergizi gratis*";"*makangratis*";"*makanan gratis*"})),"Relevan","Tidak Relevan")</f>
        <v>Relevan</v>
      </c>
    </row>
    <row r="267" spans="1:11" x14ac:dyDescent="0.35">
      <c r="A267">
        <f t="shared" si="4"/>
        <v>266</v>
      </c>
      <c r="B267" t="s">
        <v>3298</v>
      </c>
      <c r="C267" t="s">
        <v>668</v>
      </c>
      <c r="D267" t="s">
        <v>3628</v>
      </c>
      <c r="E267" t="s">
        <v>3299</v>
      </c>
      <c r="F267" t="s">
        <v>1674</v>
      </c>
      <c r="G267" t="s">
        <v>3300</v>
      </c>
      <c r="H267" t="s">
        <v>3300</v>
      </c>
      <c r="I267" t="s">
        <v>3301</v>
      </c>
      <c r="J267" s="5" t="str" cm="1">
        <f t="array" ref="J267">IF(SUM(COUNTIF(Text_Preprocessing__22458[[#This Row],[full_text]],{"*makan siang gratis*";"*MBG*";"*makan gratis*";"*makan bergizi gratis*";"*makangratis*";"*makanan gratis*"})),"Relevan","Tidak Relevan")</f>
        <v>Relevan</v>
      </c>
    </row>
    <row r="268" spans="1:11" x14ac:dyDescent="0.35">
      <c r="A268">
        <f t="shared" si="4"/>
        <v>267</v>
      </c>
      <c r="B268" t="s">
        <v>3302</v>
      </c>
      <c r="C268" t="s">
        <v>671</v>
      </c>
      <c r="D268" t="s">
        <v>3628</v>
      </c>
      <c r="E268" t="s">
        <v>3303</v>
      </c>
      <c r="F268" t="s">
        <v>1809</v>
      </c>
      <c r="G268" t="s">
        <v>3303</v>
      </c>
      <c r="H268" t="s">
        <v>3303</v>
      </c>
      <c r="I268" t="s">
        <v>3304</v>
      </c>
      <c r="J268" s="5" t="str" cm="1">
        <f t="array" ref="J268">IF(SUM(COUNTIF(Text_Preprocessing__22458[[#This Row],[full_text]],{"*makan siang gratis*";"*MBG*";"*makan gratis*";"*makan bergizi gratis*";"*makangratis*";"*makanan gratis*"})),"Relevan","Tidak Relevan")</f>
        <v>Tidak Relevan</v>
      </c>
      <c r="K268" t="s">
        <v>3622</v>
      </c>
    </row>
    <row r="269" spans="1:11" x14ac:dyDescent="0.35">
      <c r="A269">
        <f t="shared" si="4"/>
        <v>268</v>
      </c>
      <c r="B269" t="s">
        <v>3305</v>
      </c>
      <c r="C269" t="s">
        <v>673</v>
      </c>
      <c r="D269" t="s">
        <v>3628</v>
      </c>
      <c r="E269" t="s">
        <v>3306</v>
      </c>
      <c r="F269" t="s">
        <v>2387</v>
      </c>
      <c r="G269" t="s">
        <v>3307</v>
      </c>
      <c r="H269" t="s">
        <v>3308</v>
      </c>
      <c r="I269" t="s">
        <v>3309</v>
      </c>
      <c r="J269" s="5" t="str" cm="1">
        <f t="array" ref="J269">IF(SUM(COUNTIF(Text_Preprocessing__22458[[#This Row],[full_text]],{"*makan siang gratis*";"*MBG*";"*makan gratis*";"*makan bergizi gratis*";"*makangratis*";"*makanan gratis*"})),"Relevan","Tidak Relevan")</f>
        <v>Relevan</v>
      </c>
    </row>
    <row r="270" spans="1:11" x14ac:dyDescent="0.35">
      <c r="A270">
        <f t="shared" si="4"/>
        <v>269</v>
      </c>
      <c r="B270" t="s">
        <v>3310</v>
      </c>
      <c r="C270" t="s">
        <v>675</v>
      </c>
      <c r="D270" t="s">
        <v>3628</v>
      </c>
      <c r="E270" t="s">
        <v>3311</v>
      </c>
      <c r="F270" t="s">
        <v>1785</v>
      </c>
      <c r="G270" t="s">
        <v>3312</v>
      </c>
      <c r="H270" t="s">
        <v>3312</v>
      </c>
      <c r="I270" t="s">
        <v>3313</v>
      </c>
      <c r="J270" s="5" t="str" cm="1">
        <f t="array" ref="J270">IF(SUM(COUNTIF(Text_Preprocessing__22458[[#This Row],[full_text]],{"*makan siang gratis*";"*MBG*";"*makan gratis*";"*makan bergizi gratis*";"*makangratis*";"*makanan gratis*"})),"Relevan","Tidak Relevan")</f>
        <v>Relevan</v>
      </c>
    </row>
    <row r="271" spans="1:11" x14ac:dyDescent="0.35">
      <c r="A271">
        <f t="shared" si="4"/>
        <v>270</v>
      </c>
      <c r="B271" t="s">
        <v>3314</v>
      </c>
      <c r="C271" t="s">
        <v>677</v>
      </c>
      <c r="D271" t="s">
        <v>3628</v>
      </c>
      <c r="E271" t="s">
        <v>3315</v>
      </c>
      <c r="F271" t="s">
        <v>1990</v>
      </c>
      <c r="G271" t="s">
        <v>3316</v>
      </c>
      <c r="H271" t="s">
        <v>3316</v>
      </c>
      <c r="I271" t="s">
        <v>3317</v>
      </c>
      <c r="J271" s="5" t="str" cm="1">
        <f t="array" ref="J271">IF(SUM(COUNTIF(Text_Preprocessing__22458[[#This Row],[full_text]],{"*makan siang gratis*";"*MBG*";"*makan gratis*";"*makan bergizi gratis*";"*makangratis*";"*makanan gratis*"})),"Relevan","Tidak Relevan")</f>
        <v>Relevan</v>
      </c>
    </row>
    <row r="272" spans="1:11" x14ac:dyDescent="0.35">
      <c r="A272">
        <f t="shared" si="4"/>
        <v>271</v>
      </c>
      <c r="B272" t="s">
        <v>3318</v>
      </c>
      <c r="C272" t="s">
        <v>679</v>
      </c>
      <c r="D272" t="s">
        <v>3628</v>
      </c>
      <c r="E272" t="s">
        <v>3319</v>
      </c>
      <c r="F272" t="s">
        <v>1758</v>
      </c>
      <c r="G272" t="s">
        <v>3320</v>
      </c>
      <c r="H272" t="s">
        <v>3321</v>
      </c>
      <c r="I272" t="s">
        <v>3322</v>
      </c>
      <c r="J272" s="5" t="str" cm="1">
        <f t="array" ref="J272">IF(SUM(COUNTIF(Text_Preprocessing__22458[[#This Row],[full_text]],{"*makan siang gratis*";"*MBG*";"*makan gratis*";"*makan bergizi gratis*";"*makangratis*";"*makanan gratis*"})),"Relevan","Tidak Relevan")</f>
        <v>Relevan</v>
      </c>
    </row>
    <row r="273" spans="1:11" x14ac:dyDescent="0.35">
      <c r="A273">
        <f t="shared" si="4"/>
        <v>272</v>
      </c>
      <c r="B273" t="s">
        <v>3323</v>
      </c>
      <c r="C273" t="s">
        <v>681</v>
      </c>
      <c r="D273" t="s">
        <v>3628</v>
      </c>
      <c r="E273" t="s">
        <v>3324</v>
      </c>
      <c r="F273" t="s">
        <v>1844</v>
      </c>
      <c r="G273" t="s">
        <v>3325</v>
      </c>
      <c r="H273" t="s">
        <v>3325</v>
      </c>
      <c r="I273" t="s">
        <v>3326</v>
      </c>
      <c r="J273" s="5" t="str" cm="1">
        <f t="array" ref="J273">IF(SUM(COUNTIF(Text_Preprocessing__22458[[#This Row],[full_text]],{"*makan siang gratis*";"*MBG*";"*makan gratis*";"*makan bergizi gratis*";"*makangratis*";"*makanan gratis*"})),"Relevan","Tidak Relevan")</f>
        <v>Tidak Relevan</v>
      </c>
      <c r="K273" t="s">
        <v>3622</v>
      </c>
    </row>
    <row r="274" spans="1:11" x14ac:dyDescent="0.35">
      <c r="A274">
        <f t="shared" si="4"/>
        <v>273</v>
      </c>
      <c r="B274" t="s">
        <v>3327</v>
      </c>
      <c r="C274" t="s">
        <v>683</v>
      </c>
      <c r="D274" t="s">
        <v>3628</v>
      </c>
      <c r="E274" t="s">
        <v>3328</v>
      </c>
      <c r="F274" t="s">
        <v>3329</v>
      </c>
      <c r="G274" t="s">
        <v>3330</v>
      </c>
      <c r="H274" t="s">
        <v>3330</v>
      </c>
      <c r="I274" t="s">
        <v>3331</v>
      </c>
      <c r="J274" s="5" t="str" cm="1">
        <f t="array" ref="J274">IF(SUM(COUNTIF(Text_Preprocessing__22458[[#This Row],[full_text]],{"*makan siang gratis*";"*MBG*";"*makan gratis*";"*makan bergizi gratis*";"*makangratis*";"*makanan gratis*"})),"Relevan","Tidak Relevan")</f>
        <v>Relevan</v>
      </c>
    </row>
    <row r="275" spans="1:11" x14ac:dyDescent="0.35">
      <c r="A275">
        <f t="shared" si="4"/>
        <v>274</v>
      </c>
      <c r="B275" t="s">
        <v>3332</v>
      </c>
      <c r="C275" t="s">
        <v>685</v>
      </c>
      <c r="D275" t="s">
        <v>3628</v>
      </c>
      <c r="E275" t="s">
        <v>3333</v>
      </c>
      <c r="F275" t="s">
        <v>1607</v>
      </c>
      <c r="G275" t="s">
        <v>3334</v>
      </c>
      <c r="H275" t="s">
        <v>3335</v>
      </c>
      <c r="I275" t="s">
        <v>3336</v>
      </c>
      <c r="J275" s="5" t="str" cm="1">
        <f t="array" ref="J275">IF(SUM(COUNTIF(Text_Preprocessing__22458[[#This Row],[full_text]],{"*makan siang gratis*";"*MBG*";"*makan gratis*";"*makan bergizi gratis*";"*makangratis*";"*makanan gratis*"})),"Relevan","Tidak Relevan")</f>
        <v>Relevan</v>
      </c>
    </row>
    <row r="276" spans="1:11" x14ac:dyDescent="0.35">
      <c r="A276">
        <f t="shared" si="4"/>
        <v>275</v>
      </c>
      <c r="B276" t="s">
        <v>3337</v>
      </c>
      <c r="C276" t="s">
        <v>687</v>
      </c>
      <c r="D276" t="s">
        <v>3634</v>
      </c>
      <c r="E276" t="s">
        <v>3338</v>
      </c>
      <c r="F276" t="s">
        <v>2229</v>
      </c>
      <c r="G276" t="s">
        <v>3339</v>
      </c>
      <c r="H276" t="s">
        <v>3339</v>
      </c>
      <c r="I276" t="s">
        <v>3340</v>
      </c>
      <c r="J276" s="5" t="str" cm="1">
        <f t="array" ref="J276">IF(SUM(COUNTIF(Text_Preprocessing__22458[[#This Row],[full_text]],{"*makan siang gratis*";"*MBG*";"*makan gratis*";"*makan bergizi gratis*";"*makangratis*";"*makanan gratis*"})),"Relevan","Tidak Relevan")</f>
        <v>Relevan</v>
      </c>
    </row>
    <row r="277" spans="1:11" x14ac:dyDescent="0.35">
      <c r="A277">
        <f t="shared" si="4"/>
        <v>276</v>
      </c>
      <c r="B277" t="s">
        <v>3341</v>
      </c>
      <c r="C277" t="s">
        <v>689</v>
      </c>
      <c r="D277" t="s">
        <v>3628</v>
      </c>
      <c r="E277" t="s">
        <v>3342</v>
      </c>
      <c r="F277" t="s">
        <v>2748</v>
      </c>
      <c r="G277" t="s">
        <v>3343</v>
      </c>
      <c r="H277" t="s">
        <v>3343</v>
      </c>
      <c r="I277" t="s">
        <v>3344</v>
      </c>
      <c r="J277" s="5" t="str" cm="1">
        <f t="array" ref="J277">IF(SUM(COUNTIF(Text_Preprocessing__22458[[#This Row],[full_text]],{"*makan siang gratis*";"*MBG*";"*makan gratis*";"*makan bergizi gratis*";"*makangratis*";"*makanan gratis*"})),"Relevan","Tidak Relevan")</f>
        <v>Relevan</v>
      </c>
    </row>
    <row r="278" spans="1:11" x14ac:dyDescent="0.35">
      <c r="A278">
        <f t="shared" si="4"/>
        <v>277</v>
      </c>
      <c r="B278" t="s">
        <v>3345</v>
      </c>
      <c r="C278" t="s">
        <v>691</v>
      </c>
      <c r="D278" t="s">
        <v>3628</v>
      </c>
      <c r="E278" t="s">
        <v>3346</v>
      </c>
      <c r="F278" t="s">
        <v>1730</v>
      </c>
      <c r="G278" t="s">
        <v>3347</v>
      </c>
      <c r="H278" t="s">
        <v>3348</v>
      </c>
      <c r="I278" t="s">
        <v>3349</v>
      </c>
      <c r="J278" s="5" t="str" cm="1">
        <f t="array" ref="J278">IF(SUM(COUNTIF(Text_Preprocessing__22458[[#This Row],[full_text]],{"*makan siang gratis*";"*MBG*";"*makan gratis*";"*makan bergizi gratis*";"*makangratis*";"*makanan gratis*"})),"Relevan","Tidak Relevan")</f>
        <v>Relevan</v>
      </c>
    </row>
    <row r="279" spans="1:11" x14ac:dyDescent="0.35">
      <c r="A279">
        <f t="shared" si="4"/>
        <v>278</v>
      </c>
      <c r="B279" t="s">
        <v>3350</v>
      </c>
      <c r="C279" t="s">
        <v>693</v>
      </c>
      <c r="D279" t="s">
        <v>3628</v>
      </c>
      <c r="E279" t="s">
        <v>3351</v>
      </c>
      <c r="F279" t="s">
        <v>2558</v>
      </c>
      <c r="G279" t="s">
        <v>3352</v>
      </c>
      <c r="H279" t="s">
        <v>3353</v>
      </c>
      <c r="I279" t="s">
        <v>3354</v>
      </c>
      <c r="J279" s="5" t="str" cm="1">
        <f t="array" ref="J279">IF(SUM(COUNTIF(Text_Preprocessing__22458[[#This Row],[full_text]],{"*makan siang gratis*";"*MBG*";"*makan gratis*";"*makan bergizi gratis*";"*makangratis*";"*makanan gratis*"})),"Relevan","Tidak Relevan")</f>
        <v>Relevan</v>
      </c>
    </row>
    <row r="280" spans="1:11" x14ac:dyDescent="0.35">
      <c r="A280">
        <f t="shared" si="4"/>
        <v>279</v>
      </c>
      <c r="B280" t="s">
        <v>3359</v>
      </c>
      <c r="C280" t="s">
        <v>697</v>
      </c>
      <c r="D280" t="s">
        <v>3628</v>
      </c>
      <c r="E280" t="s">
        <v>3360</v>
      </c>
      <c r="F280" t="s">
        <v>2862</v>
      </c>
      <c r="G280" t="s">
        <v>3361</v>
      </c>
      <c r="H280" t="s">
        <v>3361</v>
      </c>
      <c r="I280" t="s">
        <v>3362</v>
      </c>
      <c r="J280" s="5" t="str" cm="1">
        <f t="array" ref="J280">IF(SUM(COUNTIF(Text_Preprocessing__22458[[#This Row],[full_text]],{"*makan siang gratis*";"*MBG*";"*makan gratis*";"*makan bergizi gratis*";"*makangratis*";"*makanan gratis*"})),"Relevan","Tidak Relevan")</f>
        <v>Relevan</v>
      </c>
    </row>
    <row r="281" spans="1:11" x14ac:dyDescent="0.35">
      <c r="A281">
        <f t="shared" si="4"/>
        <v>280</v>
      </c>
      <c r="B281" t="s">
        <v>3355</v>
      </c>
      <c r="C281" t="s">
        <v>699</v>
      </c>
      <c r="D281" t="s">
        <v>3628</v>
      </c>
      <c r="E281" t="s">
        <v>3356</v>
      </c>
      <c r="F281" t="s">
        <v>3357</v>
      </c>
      <c r="G281" t="s">
        <v>3356</v>
      </c>
      <c r="H281" t="s">
        <v>3356</v>
      </c>
      <c r="I281" t="s">
        <v>3358</v>
      </c>
      <c r="J281" s="5" t="str" cm="1">
        <f t="array" ref="J281">IF(SUM(COUNTIF(Text_Preprocessing__22458[[#This Row],[full_text]],{"*makan siang gratis*";"*MBG*";"*makan gratis*";"*makan bergizi gratis*";"*makangratis*";"*makanan gratis*"})),"Relevan","Tidak Relevan")</f>
        <v>Relevan</v>
      </c>
    </row>
    <row r="282" spans="1:11" x14ac:dyDescent="0.35">
      <c r="A282">
        <f t="shared" si="4"/>
        <v>281</v>
      </c>
      <c r="B282" t="s">
        <v>3363</v>
      </c>
      <c r="C282" t="s">
        <v>701</v>
      </c>
      <c r="D282" t="s">
        <v>3628</v>
      </c>
      <c r="E282" t="s">
        <v>3364</v>
      </c>
      <c r="F282" t="s">
        <v>3365</v>
      </c>
      <c r="G282" t="s">
        <v>3364</v>
      </c>
      <c r="H282" t="s">
        <v>3366</v>
      </c>
      <c r="I282" t="s">
        <v>3367</v>
      </c>
      <c r="J282" s="5" t="str" cm="1">
        <f t="array" ref="J282">IF(SUM(COUNTIF(Text_Preprocessing__22458[[#This Row],[full_text]],{"*makan siang gratis*";"*MBG*";"*makan gratis*";"*makan bergizi gratis*";"*makangratis*";"*makanan gratis*"})),"Relevan","Tidak Relevan")</f>
        <v>Relevan</v>
      </c>
    </row>
    <row r="283" spans="1:11" x14ac:dyDescent="0.35">
      <c r="A283">
        <f t="shared" si="4"/>
        <v>282</v>
      </c>
      <c r="B283" t="s">
        <v>3368</v>
      </c>
      <c r="C283" t="s">
        <v>703</v>
      </c>
      <c r="D283" t="s">
        <v>3628</v>
      </c>
      <c r="E283" t="s">
        <v>3369</v>
      </c>
      <c r="F283" t="s">
        <v>2299</v>
      </c>
      <c r="G283" t="s">
        <v>3370</v>
      </c>
      <c r="H283" t="s">
        <v>3371</v>
      </c>
      <c r="I283" t="s">
        <v>3372</v>
      </c>
      <c r="J283" s="5" t="str" cm="1">
        <f t="array" ref="J283">IF(SUM(COUNTIF(Text_Preprocessing__22458[[#This Row],[full_text]],{"*makan siang gratis*";"*MBG*";"*makan gratis*";"*makan bergizi gratis*";"*makangratis*";"*makanan gratis*"})),"Relevan","Tidak Relevan")</f>
        <v>Relevan</v>
      </c>
    </row>
    <row r="284" spans="1:11" x14ac:dyDescent="0.35">
      <c r="A284">
        <f t="shared" si="4"/>
        <v>283</v>
      </c>
      <c r="B284" t="s">
        <v>3373</v>
      </c>
      <c r="C284" t="s">
        <v>705</v>
      </c>
      <c r="D284" t="s">
        <v>3628</v>
      </c>
      <c r="E284" t="s">
        <v>3374</v>
      </c>
      <c r="F284" t="s">
        <v>3131</v>
      </c>
      <c r="G284" t="s">
        <v>3374</v>
      </c>
      <c r="H284" t="s">
        <v>3374</v>
      </c>
      <c r="I284" t="s">
        <v>3375</v>
      </c>
      <c r="J284" s="5" t="str" cm="1">
        <f t="array" ref="J284">IF(SUM(COUNTIF(Text_Preprocessing__22458[[#This Row],[full_text]],{"*makan siang gratis*";"*MBG*";"*makan gratis*";"*makan bergizi gratis*";"*makangratis*";"*makanan gratis*"})),"Relevan","Tidak Relevan")</f>
        <v>Relevan</v>
      </c>
    </row>
    <row r="285" spans="1:11" x14ac:dyDescent="0.35">
      <c r="A285">
        <f t="shared" si="4"/>
        <v>284</v>
      </c>
      <c r="B285" t="s">
        <v>3384</v>
      </c>
      <c r="C285" t="s">
        <v>711</v>
      </c>
      <c r="D285" t="s">
        <v>3628</v>
      </c>
      <c r="E285" t="s">
        <v>3385</v>
      </c>
      <c r="F285" t="s">
        <v>1735</v>
      </c>
      <c r="G285" t="s">
        <v>3386</v>
      </c>
      <c r="H285" t="s">
        <v>3386</v>
      </c>
      <c r="I285" t="s">
        <v>3387</v>
      </c>
      <c r="J285" s="5" t="str" cm="1">
        <f t="array" ref="J285">IF(SUM(COUNTIF(Text_Preprocessing__22458[[#This Row],[full_text]],{"*makan siang gratis*";"*MBG*";"*makan gratis*";"*makan bergizi gratis*";"*makangratis*";"*makanan gratis*"})),"Relevan","Tidak Relevan")</f>
        <v>Relevan</v>
      </c>
    </row>
    <row r="286" spans="1:11" x14ac:dyDescent="0.35">
      <c r="A286">
        <f t="shared" si="4"/>
        <v>285</v>
      </c>
      <c r="B286" t="s">
        <v>3388</v>
      </c>
      <c r="C286" t="s">
        <v>713</v>
      </c>
      <c r="D286" t="s">
        <v>3628</v>
      </c>
      <c r="E286" t="s">
        <v>3389</v>
      </c>
      <c r="F286" t="s">
        <v>1730</v>
      </c>
      <c r="G286" t="s">
        <v>3390</v>
      </c>
      <c r="H286" t="s">
        <v>3390</v>
      </c>
      <c r="I286" t="s">
        <v>3391</v>
      </c>
      <c r="J286" s="5" t="str" cm="1">
        <f t="array" ref="J286">IF(SUM(COUNTIF(Text_Preprocessing__22458[[#This Row],[full_text]],{"*makan siang gratis*";"*MBG*";"*makan gratis*";"*makan bergizi gratis*";"*makangratis*";"*makanan gratis*"})),"Relevan","Tidak Relevan")</f>
        <v>Relevan</v>
      </c>
    </row>
    <row r="287" spans="1:11" x14ac:dyDescent="0.35">
      <c r="A287">
        <f t="shared" si="4"/>
        <v>286</v>
      </c>
      <c r="B287" t="s">
        <v>3392</v>
      </c>
      <c r="C287" t="s">
        <v>715</v>
      </c>
      <c r="D287" t="s">
        <v>3628</v>
      </c>
      <c r="E287" t="s">
        <v>3393</v>
      </c>
      <c r="F287" t="s">
        <v>2210</v>
      </c>
      <c r="G287" t="s">
        <v>3394</v>
      </c>
      <c r="H287" t="s">
        <v>3395</v>
      </c>
      <c r="I287" t="s">
        <v>3396</v>
      </c>
      <c r="J287" s="5" t="str" cm="1">
        <f t="array" ref="J287">IF(SUM(COUNTIF(Text_Preprocessing__22458[[#This Row],[full_text]],{"*makan siang gratis*";"*MBG*";"*makan gratis*";"*makan bergizi gratis*";"*makangratis*";"*makanan gratis*"})),"Relevan","Tidak Relevan")</f>
        <v>Tidak Relevan</v>
      </c>
      <c r="K287" t="s">
        <v>3622</v>
      </c>
    </row>
    <row r="288" spans="1:11" x14ac:dyDescent="0.35">
      <c r="A288">
        <f t="shared" si="4"/>
        <v>287</v>
      </c>
      <c r="B288" t="s">
        <v>3401</v>
      </c>
      <c r="C288" t="s">
        <v>718</v>
      </c>
      <c r="D288" t="s">
        <v>3628</v>
      </c>
      <c r="E288" t="s">
        <v>3402</v>
      </c>
      <c r="F288" t="s">
        <v>2748</v>
      </c>
      <c r="G288" t="s">
        <v>3403</v>
      </c>
      <c r="H288" t="s">
        <v>3403</v>
      </c>
      <c r="I288" t="s">
        <v>3404</v>
      </c>
      <c r="J288" s="5" t="str" cm="1">
        <f t="array" ref="J288">IF(SUM(COUNTIF(Text_Preprocessing__22458[[#This Row],[full_text]],{"*makan siang gratis*";"*MBG*";"*makan gratis*";"*makan bergizi gratis*";"*makangratis*";"*makanan gratis*"})),"Relevan","Tidak Relevan")</f>
        <v>Relevan</v>
      </c>
    </row>
    <row r="289" spans="1:11" x14ac:dyDescent="0.35">
      <c r="A289">
        <f t="shared" si="4"/>
        <v>288</v>
      </c>
      <c r="B289" t="s">
        <v>3409</v>
      </c>
      <c r="C289" t="s">
        <v>721</v>
      </c>
      <c r="D289" t="s">
        <v>3628</v>
      </c>
      <c r="E289" t="s">
        <v>3410</v>
      </c>
      <c r="F289" t="s">
        <v>2143</v>
      </c>
      <c r="G289" t="s">
        <v>3411</v>
      </c>
      <c r="H289" t="s">
        <v>3411</v>
      </c>
      <c r="I289" t="s">
        <v>3412</v>
      </c>
      <c r="J289" s="5" t="str" cm="1">
        <f t="array" ref="J289">IF(SUM(COUNTIF(Text_Preprocessing__22458[[#This Row],[full_text]],{"*makan siang gratis*";"*MBG*";"*makan gratis*";"*makan bergizi gratis*";"*makangratis*";"*makanan gratis*"})),"Relevan","Tidak Relevan")</f>
        <v>Relevan</v>
      </c>
    </row>
    <row r="290" spans="1:11" x14ac:dyDescent="0.35">
      <c r="A290">
        <f t="shared" si="4"/>
        <v>289</v>
      </c>
      <c r="B290" t="s">
        <v>3425</v>
      </c>
      <c r="C290" t="s">
        <v>726</v>
      </c>
      <c r="D290" t="s">
        <v>3628</v>
      </c>
      <c r="E290" t="s">
        <v>3426</v>
      </c>
      <c r="F290" t="s">
        <v>1844</v>
      </c>
      <c r="G290" t="s">
        <v>3427</v>
      </c>
      <c r="H290" t="s">
        <v>3428</v>
      </c>
      <c r="I290" t="s">
        <v>3429</v>
      </c>
      <c r="J290" s="5" t="str" cm="1">
        <f t="array" ref="J290">IF(SUM(COUNTIF(Text_Preprocessing__22458[[#This Row],[full_text]],{"*makan siang gratis*";"*MBG*";"*makan gratis*";"*makan bergizi gratis*";"*makangratis*";"*makanan gratis*"})),"Relevan","Tidak Relevan")</f>
        <v>Relevan</v>
      </c>
    </row>
    <row r="291" spans="1:11" x14ac:dyDescent="0.35">
      <c r="A291">
        <f t="shared" si="4"/>
        <v>290</v>
      </c>
      <c r="B291" t="s">
        <v>3438</v>
      </c>
      <c r="C291" t="s">
        <v>730</v>
      </c>
      <c r="D291" t="s">
        <v>3628</v>
      </c>
      <c r="E291" t="s">
        <v>3439</v>
      </c>
      <c r="F291" t="s">
        <v>2253</v>
      </c>
      <c r="G291" t="s">
        <v>3440</v>
      </c>
      <c r="H291" t="s">
        <v>3441</v>
      </c>
      <c r="I291" t="s">
        <v>3442</v>
      </c>
      <c r="J291" s="5" t="str" cm="1">
        <f t="array" ref="J291">IF(SUM(COUNTIF(Text_Preprocessing__22458[[#This Row],[full_text]],{"*makan siang gratis*";"*MBG*";"*makan gratis*";"*makan bergizi gratis*";"*makangratis*";"*makanan gratis*"})),"Relevan","Tidak Relevan")</f>
        <v>Relevan</v>
      </c>
    </row>
    <row r="292" spans="1:11" x14ac:dyDescent="0.35">
      <c r="A292">
        <f t="shared" si="4"/>
        <v>291</v>
      </c>
      <c r="B292" t="s">
        <v>3443</v>
      </c>
      <c r="C292" t="s">
        <v>732</v>
      </c>
      <c r="D292" t="s">
        <v>3628</v>
      </c>
      <c r="E292" t="s">
        <v>3444</v>
      </c>
      <c r="F292" t="s">
        <v>3445</v>
      </c>
      <c r="G292" t="s">
        <v>3446</v>
      </c>
      <c r="H292" t="s">
        <v>3446</v>
      </c>
      <c r="I292" t="s">
        <v>3447</v>
      </c>
      <c r="J292" s="5" t="str" cm="1">
        <f t="array" ref="J292">IF(SUM(COUNTIF(Text_Preprocessing__22458[[#This Row],[full_text]],{"*makan siang gratis*";"*MBG*";"*makan gratis*";"*makan bergizi gratis*";"*makangratis*";"*makanan gratis*"})),"Relevan","Tidak Relevan")</f>
        <v>Relevan</v>
      </c>
    </row>
    <row r="293" spans="1:11" x14ac:dyDescent="0.35">
      <c r="A293">
        <f t="shared" si="4"/>
        <v>292</v>
      </c>
      <c r="B293" t="s">
        <v>3448</v>
      </c>
      <c r="C293" t="s">
        <v>734</v>
      </c>
      <c r="D293" t="s">
        <v>3628</v>
      </c>
      <c r="E293" t="s">
        <v>3449</v>
      </c>
      <c r="F293" t="s">
        <v>1799</v>
      </c>
      <c r="G293" t="s">
        <v>3450</v>
      </c>
      <c r="H293" t="s">
        <v>3450</v>
      </c>
      <c r="I293" t="s">
        <v>3451</v>
      </c>
      <c r="J293" s="5" t="str" cm="1">
        <f t="array" ref="J293">IF(SUM(COUNTIF(Text_Preprocessing__22458[[#This Row],[full_text]],{"*makan siang gratis*";"*MBG*";"*makan gratis*";"*makan bergizi gratis*";"*makangratis*";"*makanan gratis*"})),"Relevan","Tidak Relevan")</f>
        <v>Relevan</v>
      </c>
    </row>
    <row r="294" spans="1:11" x14ac:dyDescent="0.35">
      <c r="A294">
        <f t="shared" si="4"/>
        <v>293</v>
      </c>
      <c r="B294" t="s">
        <v>3457</v>
      </c>
      <c r="C294" t="s">
        <v>737</v>
      </c>
      <c r="D294" t="s">
        <v>3628</v>
      </c>
      <c r="E294" t="s">
        <v>3458</v>
      </c>
      <c r="F294" t="s">
        <v>3459</v>
      </c>
      <c r="G294" t="s">
        <v>3460</v>
      </c>
      <c r="H294" t="s">
        <v>3460</v>
      </c>
      <c r="I294" t="s">
        <v>3461</v>
      </c>
      <c r="J294" s="5" t="str" cm="1">
        <f t="array" ref="J294">IF(SUM(COUNTIF(Text_Preprocessing__22458[[#This Row],[full_text]],{"*makan siang gratis*";"*MBG*";"*makan gratis*";"*makan bergizi gratis*";"*makangratis*";"*makanan gratis*"})),"Relevan","Tidak Relevan")</f>
        <v>Relevan</v>
      </c>
    </row>
    <row r="295" spans="1:11" x14ac:dyDescent="0.35">
      <c r="A295">
        <f t="shared" si="4"/>
        <v>294</v>
      </c>
      <c r="B295" t="s">
        <v>3462</v>
      </c>
      <c r="C295" t="s">
        <v>739</v>
      </c>
      <c r="D295" t="s">
        <v>3628</v>
      </c>
      <c r="E295" t="s">
        <v>3463</v>
      </c>
      <c r="F295" t="s">
        <v>1607</v>
      </c>
      <c r="G295" t="s">
        <v>3464</v>
      </c>
      <c r="H295" t="s">
        <v>3464</v>
      </c>
      <c r="I295" t="s">
        <v>3465</v>
      </c>
      <c r="J295" s="5" t="str" cm="1">
        <f t="array" ref="J295">IF(SUM(COUNTIF(Text_Preprocessing__22458[[#This Row],[full_text]],{"*makan siang gratis*";"*MBG*";"*makan gratis*";"*makan bergizi gratis*";"*makangratis*";"*makanan gratis*"})),"Relevan","Tidak Relevan")</f>
        <v>Relevan</v>
      </c>
    </row>
    <row r="296" spans="1:11" x14ac:dyDescent="0.35">
      <c r="A296">
        <f t="shared" si="4"/>
        <v>295</v>
      </c>
      <c r="B296" t="s">
        <v>3471</v>
      </c>
      <c r="C296" t="s">
        <v>742</v>
      </c>
      <c r="D296" t="s">
        <v>3628</v>
      </c>
      <c r="E296" t="s">
        <v>3472</v>
      </c>
      <c r="F296" t="s">
        <v>1686</v>
      </c>
      <c r="G296" t="s">
        <v>3473</v>
      </c>
      <c r="H296" t="s">
        <v>3473</v>
      </c>
      <c r="I296" t="s">
        <v>3474</v>
      </c>
      <c r="J296" s="5" t="str" cm="1">
        <f t="array" ref="J296">IF(SUM(COUNTIF(Text_Preprocessing__22458[[#This Row],[full_text]],{"*makan siang gratis*";"*MBG*";"*makan gratis*";"*makan bergizi gratis*";"*makangratis*";"*makanan gratis*"})),"Relevan","Tidak Relevan")</f>
        <v>Relevan</v>
      </c>
    </row>
    <row r="297" spans="1:11" x14ac:dyDescent="0.35">
      <c r="A297">
        <f t="shared" si="4"/>
        <v>296</v>
      </c>
      <c r="B297" t="s">
        <v>3479</v>
      </c>
      <c r="C297" t="s">
        <v>746</v>
      </c>
      <c r="D297" t="s">
        <v>3628</v>
      </c>
      <c r="E297" t="s">
        <v>3480</v>
      </c>
      <c r="F297" t="s">
        <v>3481</v>
      </c>
      <c r="G297" t="s">
        <v>3482</v>
      </c>
      <c r="H297" t="s">
        <v>3482</v>
      </c>
      <c r="I297" t="s">
        <v>3483</v>
      </c>
      <c r="J297" s="5" t="str" cm="1">
        <f t="array" ref="J297">IF(SUM(COUNTIF(Text_Preprocessing__22458[[#This Row],[full_text]],{"*makan siang gratis*";"*MBG*";"*makan gratis*";"*makan bergizi gratis*";"*makangratis*";"*makanan gratis*"})),"Relevan","Tidak Relevan")</f>
        <v>Relevan</v>
      </c>
    </row>
    <row r="298" spans="1:11" x14ac:dyDescent="0.35">
      <c r="A298">
        <f t="shared" si="4"/>
        <v>297</v>
      </c>
      <c r="B298" t="s">
        <v>3484</v>
      </c>
      <c r="C298" t="s">
        <v>748</v>
      </c>
      <c r="D298" t="s">
        <v>3628</v>
      </c>
      <c r="E298" t="s">
        <v>3485</v>
      </c>
      <c r="F298" t="s">
        <v>2069</v>
      </c>
      <c r="G298" t="s">
        <v>3486</v>
      </c>
      <c r="H298" t="s">
        <v>3487</v>
      </c>
      <c r="I298" t="s">
        <v>3488</v>
      </c>
      <c r="J298" s="5" t="str" cm="1">
        <f t="array" ref="J298">IF(SUM(COUNTIF(Text_Preprocessing__22458[[#This Row],[full_text]],{"*makan siang gratis*";"*MBG*";"*makan gratis*";"*makan bergizi gratis*";"*makangratis*";"*makanan gratis*"})),"Relevan","Tidak Relevan")</f>
        <v>Relevan</v>
      </c>
    </row>
    <row r="299" spans="1:11" x14ac:dyDescent="0.35">
      <c r="A299">
        <f t="shared" si="4"/>
        <v>298</v>
      </c>
      <c r="B299" t="s">
        <v>3489</v>
      </c>
      <c r="C299" t="s">
        <v>750</v>
      </c>
      <c r="D299" t="s">
        <v>3628</v>
      </c>
      <c r="E299" t="s">
        <v>3490</v>
      </c>
      <c r="F299" t="s">
        <v>1990</v>
      </c>
      <c r="G299" t="s">
        <v>3491</v>
      </c>
      <c r="H299" t="s">
        <v>3491</v>
      </c>
      <c r="I299" t="s">
        <v>3492</v>
      </c>
      <c r="J299" s="5" t="str" cm="1">
        <f t="array" ref="J299">IF(SUM(COUNTIF(Text_Preprocessing__22458[[#This Row],[full_text]],{"*makan siang gratis*";"*MBG*";"*makan gratis*";"*makan bergizi gratis*";"*makangratis*";"*makanan gratis*"})),"Relevan","Tidak Relevan")</f>
        <v>Relevan</v>
      </c>
    </row>
    <row r="300" spans="1:11" x14ac:dyDescent="0.35">
      <c r="A300">
        <f t="shared" si="4"/>
        <v>299</v>
      </c>
      <c r="B300" t="s">
        <v>3493</v>
      </c>
      <c r="C300" t="s">
        <v>752</v>
      </c>
      <c r="D300" t="s">
        <v>3628</v>
      </c>
      <c r="E300" t="s">
        <v>3494</v>
      </c>
      <c r="F300" t="s">
        <v>2229</v>
      </c>
      <c r="G300" t="s">
        <v>3495</v>
      </c>
      <c r="H300" t="s">
        <v>3495</v>
      </c>
      <c r="I300" t="s">
        <v>3496</v>
      </c>
      <c r="J300" s="5" t="str" cm="1">
        <f t="array" ref="J300">IF(SUM(COUNTIF(Text_Preprocessing__22458[[#This Row],[full_text]],{"*makan siang gratis*";"*MBG*";"*makan gratis*";"*makan bergizi gratis*";"*makangratis*";"*makanan gratis*"})),"Relevan","Tidak Relevan")</f>
        <v>Tidak Relevan</v>
      </c>
      <c r="K300" t="s">
        <v>3622</v>
      </c>
    </row>
    <row r="301" spans="1:11" x14ac:dyDescent="0.35">
      <c r="A301">
        <f t="shared" si="4"/>
        <v>300</v>
      </c>
      <c r="B301" t="s">
        <v>3497</v>
      </c>
      <c r="C301" t="s">
        <v>754</v>
      </c>
      <c r="D301" t="s">
        <v>3628</v>
      </c>
      <c r="E301" t="s">
        <v>3498</v>
      </c>
      <c r="F301" t="s">
        <v>2609</v>
      </c>
      <c r="G301" t="s">
        <v>3499</v>
      </c>
      <c r="H301" t="s">
        <v>3500</v>
      </c>
      <c r="I301" t="s">
        <v>3501</v>
      </c>
      <c r="J301" s="5" t="str" cm="1">
        <f t="array" ref="J301">IF(SUM(COUNTIF(Text_Preprocessing__22458[[#This Row],[full_text]],{"*makan siang gratis*";"*MBG*";"*makan gratis*";"*makan bergizi gratis*";"*makangratis*";"*makanan gratis*"})),"Relevan","Tidak Relevan")</f>
        <v>Relevan</v>
      </c>
    </row>
    <row r="302" spans="1:11" x14ac:dyDescent="0.35">
      <c r="A302">
        <f t="shared" si="4"/>
        <v>301</v>
      </c>
      <c r="B302" t="s">
        <v>3507</v>
      </c>
      <c r="C302" t="s">
        <v>757</v>
      </c>
      <c r="D302" t="s">
        <v>3628</v>
      </c>
      <c r="E302" t="s">
        <v>3508</v>
      </c>
      <c r="F302" t="s">
        <v>2782</v>
      </c>
      <c r="G302" t="s">
        <v>3509</v>
      </c>
      <c r="H302" t="s">
        <v>3510</v>
      </c>
      <c r="I302" t="s">
        <v>3511</v>
      </c>
      <c r="J302" s="5" t="str" cm="1">
        <f t="array" ref="J302">IF(SUM(COUNTIF(Text_Preprocessing__22458[[#This Row],[full_text]],{"*makan siang gratis*";"*MBG*";"*makan gratis*";"*makan bergizi gratis*";"*makangratis*";"*makanan gratis*"})),"Relevan","Tidak Relevan")</f>
        <v>Relevan</v>
      </c>
    </row>
    <row r="303" spans="1:11" x14ac:dyDescent="0.35">
      <c r="A303">
        <f t="shared" si="4"/>
        <v>302</v>
      </c>
      <c r="B303" t="s">
        <v>3516</v>
      </c>
      <c r="C303" t="s">
        <v>760</v>
      </c>
      <c r="D303" t="s">
        <v>3628</v>
      </c>
      <c r="E303" t="s">
        <v>3517</v>
      </c>
      <c r="F303" t="s">
        <v>1624</v>
      </c>
      <c r="G303" t="s">
        <v>3518</v>
      </c>
      <c r="H303" t="s">
        <v>3519</v>
      </c>
      <c r="I303" t="s">
        <v>3520</v>
      </c>
      <c r="J303" s="5" t="str" cm="1">
        <f t="array" ref="J303">IF(SUM(COUNTIF(Text_Preprocessing__22458[[#This Row],[full_text]],{"*makan siang gratis*";"*MBG*";"*makan gratis*";"*makan bergizi gratis*";"*makangratis*";"*makanan gratis*"})),"Relevan","Tidak Relevan")</f>
        <v>Relevan</v>
      </c>
    </row>
    <row r="304" spans="1:11" x14ac:dyDescent="0.35">
      <c r="A304">
        <f t="shared" si="4"/>
        <v>303</v>
      </c>
      <c r="B304" t="s">
        <v>3521</v>
      </c>
      <c r="C304" t="s">
        <v>762</v>
      </c>
      <c r="D304" t="s">
        <v>3628</v>
      </c>
      <c r="E304" t="s">
        <v>3522</v>
      </c>
      <c r="F304" t="s">
        <v>2272</v>
      </c>
      <c r="G304" t="s">
        <v>3523</v>
      </c>
      <c r="H304" t="s">
        <v>3523</v>
      </c>
      <c r="I304" t="s">
        <v>3524</v>
      </c>
      <c r="J304" s="5" t="str" cm="1">
        <f t="array" ref="J304">IF(SUM(COUNTIF(Text_Preprocessing__22458[[#This Row],[full_text]],{"*makan siang gratis*";"*MBG*";"*makan gratis*";"*makan bergizi gratis*";"*makangratis*";"*makanan gratis*"})),"Relevan","Tidak Relevan")</f>
        <v>Relevan</v>
      </c>
    </row>
    <row r="305" spans="1:11" x14ac:dyDescent="0.35">
      <c r="A305">
        <f t="shared" si="4"/>
        <v>304</v>
      </c>
      <c r="B305" t="s">
        <v>3525</v>
      </c>
      <c r="C305" t="s">
        <v>764</v>
      </c>
      <c r="D305" t="s">
        <v>3628</v>
      </c>
      <c r="E305" t="s">
        <v>3526</v>
      </c>
      <c r="F305" t="s">
        <v>1707</v>
      </c>
      <c r="G305" t="s">
        <v>3527</v>
      </c>
      <c r="H305" t="s">
        <v>3527</v>
      </c>
      <c r="I305" t="s">
        <v>3528</v>
      </c>
      <c r="J305" s="5" t="str" cm="1">
        <f t="array" ref="J305">IF(SUM(COUNTIF(Text_Preprocessing__22458[[#This Row],[full_text]],{"*makan siang gratis*";"*MBG*";"*makan gratis*";"*makan bergizi gratis*";"*makangratis*";"*makanan gratis*"})),"Relevan","Tidak Relevan")</f>
        <v>Relevan</v>
      </c>
    </row>
    <row r="306" spans="1:11" x14ac:dyDescent="0.35">
      <c r="A306">
        <f t="shared" si="4"/>
        <v>305</v>
      </c>
      <c r="B306" t="s">
        <v>3529</v>
      </c>
      <c r="C306" t="s">
        <v>766</v>
      </c>
      <c r="D306" t="s">
        <v>3632</v>
      </c>
      <c r="E306" t="s">
        <v>3530</v>
      </c>
      <c r="F306" t="s">
        <v>1758</v>
      </c>
      <c r="G306" t="s">
        <v>3531</v>
      </c>
      <c r="H306" t="s">
        <v>3531</v>
      </c>
      <c r="I306" t="s">
        <v>3532</v>
      </c>
      <c r="J306" s="5" t="str" cm="1">
        <f t="array" ref="J306">IF(SUM(COUNTIF(Text_Preprocessing__22458[[#This Row],[full_text]],{"*makan siang gratis*";"*MBG*";"*makan gratis*";"*makan bergizi gratis*";"*makangratis*";"*makanan gratis*"})),"Relevan","Tidak Relevan")</f>
        <v>Relevan</v>
      </c>
    </row>
    <row r="307" spans="1:11" x14ac:dyDescent="0.35">
      <c r="A307">
        <f t="shared" si="4"/>
        <v>306</v>
      </c>
      <c r="B307" t="s">
        <v>3542</v>
      </c>
      <c r="C307" t="s">
        <v>772</v>
      </c>
      <c r="D307" t="s">
        <v>3628</v>
      </c>
      <c r="E307" t="s">
        <v>3543</v>
      </c>
      <c r="F307" t="s">
        <v>1888</v>
      </c>
      <c r="G307" t="s">
        <v>3544</v>
      </c>
      <c r="H307" t="s">
        <v>3544</v>
      </c>
      <c r="I307" t="s">
        <v>3545</v>
      </c>
      <c r="J307" s="5" t="str" cm="1">
        <f t="array" ref="J307">IF(SUM(COUNTIF(Text_Preprocessing__22458[[#This Row],[full_text]],{"*makan siang gratis*";"*MBG*";"*makan gratis*";"*makan bergizi gratis*";"*makangratis*";"*makanan gratis*"})),"Relevan","Tidak Relevan")</f>
        <v>Relevan</v>
      </c>
    </row>
    <row r="308" spans="1:11" x14ac:dyDescent="0.35">
      <c r="A308">
        <f t="shared" si="4"/>
        <v>307</v>
      </c>
      <c r="B308" t="s">
        <v>3568</v>
      </c>
      <c r="C308" t="s">
        <v>781</v>
      </c>
      <c r="D308" t="s">
        <v>3628</v>
      </c>
      <c r="E308" t="s">
        <v>3569</v>
      </c>
      <c r="F308" t="s">
        <v>1618</v>
      </c>
      <c r="G308" t="s">
        <v>3570</v>
      </c>
      <c r="H308" t="s">
        <v>3571</v>
      </c>
      <c r="I308" t="s">
        <v>3572</v>
      </c>
      <c r="J308" s="5" t="str" cm="1">
        <f t="array" ref="J308">IF(SUM(COUNTIF(Text_Preprocessing__22458[[#This Row],[full_text]],{"*makan siang gratis*";"*MBG*";"*makan gratis*";"*makan bergizi gratis*";"*makangratis*";"*makanan gratis*"})),"Relevan","Tidak Relevan")</f>
        <v>Tidak Relevan</v>
      </c>
      <c r="K308" t="s">
        <v>3622</v>
      </c>
    </row>
    <row r="309" spans="1:11" x14ac:dyDescent="0.35">
      <c r="A309">
        <f t="shared" si="4"/>
        <v>308</v>
      </c>
      <c r="B309" t="s">
        <v>3573</v>
      </c>
      <c r="C309" t="s">
        <v>783</v>
      </c>
      <c r="D309" t="s">
        <v>3628</v>
      </c>
      <c r="E309" t="s">
        <v>3574</v>
      </c>
      <c r="F309" t="s">
        <v>3575</v>
      </c>
      <c r="G309" t="s">
        <v>3576</v>
      </c>
      <c r="H309" t="s">
        <v>3576</v>
      </c>
      <c r="I309" t="s">
        <v>3577</v>
      </c>
      <c r="J309" s="5" t="str" cm="1">
        <f t="array" ref="J309">IF(SUM(COUNTIF(Text_Preprocessing__22458[[#This Row],[full_text]],{"*makan siang gratis*";"*MBG*";"*makan gratis*";"*makan bergizi gratis*";"*makangratis*";"*makanan gratis*"})),"Relevan","Tidak Relevan")</f>
        <v>Relevan</v>
      </c>
    </row>
    <row r="310" spans="1:11" x14ac:dyDescent="0.35">
      <c r="A310">
        <f t="shared" si="4"/>
        <v>309</v>
      </c>
      <c r="B310" t="s">
        <v>3578</v>
      </c>
      <c r="C310" t="s">
        <v>785</v>
      </c>
      <c r="D310" t="s">
        <v>3628</v>
      </c>
      <c r="E310" t="s">
        <v>3579</v>
      </c>
      <c r="F310" t="s">
        <v>2229</v>
      </c>
      <c r="G310" t="s">
        <v>3580</v>
      </c>
      <c r="H310" t="s">
        <v>3580</v>
      </c>
      <c r="I310" t="s">
        <v>3581</v>
      </c>
      <c r="J310" s="5" t="str" cm="1">
        <f t="array" ref="J310">IF(SUM(COUNTIF(Text_Preprocessing__22458[[#This Row],[full_text]],{"*makan siang gratis*";"*MBG*";"*makan gratis*";"*makan bergizi gratis*";"*makangratis*";"*makanan gratis*"})),"Relevan","Tidak Relevan")</f>
        <v>Relevan</v>
      </c>
    </row>
    <row r="311" spans="1:11" x14ac:dyDescent="0.35">
      <c r="A311">
        <f t="shared" si="4"/>
        <v>310</v>
      </c>
      <c r="B311" t="s">
        <v>3586</v>
      </c>
      <c r="C311" t="s">
        <v>788</v>
      </c>
      <c r="D311" t="s">
        <v>3628</v>
      </c>
      <c r="E311" t="s">
        <v>3587</v>
      </c>
      <c r="F311" t="s">
        <v>3588</v>
      </c>
      <c r="G311" t="s">
        <v>3589</v>
      </c>
      <c r="H311" t="s">
        <v>3590</v>
      </c>
      <c r="I311" t="s">
        <v>3590</v>
      </c>
      <c r="J311" s="5" t="str" cm="1">
        <f t="array" ref="J311">IF(SUM(COUNTIF(Text_Preprocessing__22458[[#This Row],[full_text]],{"*makan siang gratis*";"*MBG*";"*makan gratis*";"*makan bergizi gratis*";"*makangratis*";"*makanan gratis*"})),"Relevan","Tidak Relevan")</f>
        <v>Relevan</v>
      </c>
    </row>
    <row r="312" spans="1:11" x14ac:dyDescent="0.35">
      <c r="A312">
        <f t="shared" si="4"/>
        <v>311</v>
      </c>
      <c r="B312" t="s">
        <v>3591</v>
      </c>
      <c r="C312" t="s">
        <v>790</v>
      </c>
      <c r="D312" t="s">
        <v>3629</v>
      </c>
      <c r="E312" t="s">
        <v>3592</v>
      </c>
      <c r="F312" t="s">
        <v>3593</v>
      </c>
      <c r="G312" t="s">
        <v>3594</v>
      </c>
      <c r="H312" t="s">
        <v>3595</v>
      </c>
      <c r="I312" t="s">
        <v>3596</v>
      </c>
      <c r="J312" s="5" t="str" cm="1">
        <f t="array" ref="J312">IF(SUM(COUNTIF(Text_Preprocessing__22458[[#This Row],[full_text]],{"*makan siang gratis*";"*MBG*";"*makan gratis*";"*makan bergizi gratis*";"*makangratis*";"*makanan gratis*"})),"Relevan","Tidak Relevan")</f>
        <v>Relevan</v>
      </c>
    </row>
    <row r="313" spans="1:11" x14ac:dyDescent="0.35">
      <c r="A313">
        <f t="shared" si="4"/>
        <v>312</v>
      </c>
      <c r="B313" t="s">
        <v>3597</v>
      </c>
      <c r="C313" t="s">
        <v>792</v>
      </c>
      <c r="D313" t="s">
        <v>3628</v>
      </c>
      <c r="E313" t="s">
        <v>3598</v>
      </c>
      <c r="F313" t="s">
        <v>1929</v>
      </c>
      <c r="G313" t="s">
        <v>3599</v>
      </c>
      <c r="H313" t="s">
        <v>3599</v>
      </c>
      <c r="I313" t="s">
        <v>3600</v>
      </c>
      <c r="J313" s="5" t="str" cm="1">
        <f t="array" ref="J313">IF(SUM(COUNTIF(Text_Preprocessing__22458[[#This Row],[full_text]],{"*makan siang gratis*";"*MBG*";"*makan gratis*";"*makan bergizi gratis*";"*makangratis*";"*makanan gratis*"})),"Relevan","Tidak Relevan")</f>
        <v>Relevan</v>
      </c>
    </row>
    <row r="314" spans="1:11" x14ac:dyDescent="0.35">
      <c r="A314">
        <f t="shared" si="4"/>
        <v>313</v>
      </c>
      <c r="B314" t="s">
        <v>3601</v>
      </c>
      <c r="C314" t="s">
        <v>794</v>
      </c>
      <c r="D314" t="s">
        <v>3628</v>
      </c>
      <c r="E314" t="s">
        <v>3602</v>
      </c>
      <c r="F314" t="s">
        <v>2186</v>
      </c>
      <c r="G314" t="s">
        <v>3603</v>
      </c>
      <c r="H314" t="s">
        <v>3603</v>
      </c>
      <c r="I314" t="s">
        <v>3604</v>
      </c>
      <c r="J314" s="5" t="str" cm="1">
        <f t="array" ref="J314">IF(SUM(COUNTIF(Text_Preprocessing__22458[[#This Row],[full_text]],{"*makan siang gratis*";"*MBG*";"*makan gratis*";"*makan bergizi gratis*";"*makangratis*";"*makanan gratis*"})),"Relevan","Tidak Relevan")</f>
        <v>Relevan</v>
      </c>
    </row>
    <row r="315" spans="1:11" x14ac:dyDescent="0.35">
      <c r="A315">
        <f t="shared" si="4"/>
        <v>314</v>
      </c>
      <c r="B315" t="s">
        <v>3605</v>
      </c>
      <c r="C315" t="s">
        <v>796</v>
      </c>
      <c r="D315" t="s">
        <v>3628</v>
      </c>
      <c r="E315" t="s">
        <v>3606</v>
      </c>
      <c r="F315" t="s">
        <v>1741</v>
      </c>
      <c r="G315" t="s">
        <v>3607</v>
      </c>
      <c r="H315" t="s">
        <v>3607</v>
      </c>
      <c r="I315" t="s">
        <v>3608</v>
      </c>
      <c r="J315" s="5" t="str" cm="1">
        <f t="array" ref="J315">IF(SUM(COUNTIF(Text_Preprocessing__22458[[#This Row],[full_text]],{"*makan siang gratis*";"*MBG*";"*makan gratis*";"*makan bergizi gratis*";"*makangratis*";"*makanan gratis*"})),"Relevan","Tidak Relevan")</f>
        <v>Relevan</v>
      </c>
    </row>
    <row r="316" spans="1:11" x14ac:dyDescent="0.35">
      <c r="A316">
        <f t="shared" si="4"/>
        <v>315</v>
      </c>
      <c r="B316" t="s">
        <v>3609</v>
      </c>
      <c r="C316" t="s">
        <v>798</v>
      </c>
      <c r="D316" t="s">
        <v>3628</v>
      </c>
      <c r="E316" t="s">
        <v>3610</v>
      </c>
      <c r="F316" t="s">
        <v>2604</v>
      </c>
      <c r="G316" t="s">
        <v>3611</v>
      </c>
      <c r="H316" t="s">
        <v>3611</v>
      </c>
      <c r="I316" t="s">
        <v>3612</v>
      </c>
      <c r="J316" s="5" t="str" cm="1">
        <f t="array" ref="J316">IF(SUM(COUNTIF(Text_Preprocessing__22458[[#This Row],[full_text]],{"*makan siang gratis*";"*MBG*";"*makan gratis*";"*makan bergizi gratis*";"*makangratis*";"*makanan gratis*"})),"Relevan","Tidak Relevan")</f>
        <v>Relevan</v>
      </c>
    </row>
    <row r="317" spans="1:11" x14ac:dyDescent="0.35">
      <c r="A317">
        <f t="shared" si="4"/>
        <v>316</v>
      </c>
      <c r="B317" t="s">
        <v>3617</v>
      </c>
      <c r="C317" t="s">
        <v>801</v>
      </c>
      <c r="D317" t="s">
        <v>3634</v>
      </c>
      <c r="E317" t="s">
        <v>3618</v>
      </c>
      <c r="F317" t="s">
        <v>1785</v>
      </c>
      <c r="G317" t="s">
        <v>3619</v>
      </c>
      <c r="H317" t="s">
        <v>3619</v>
      </c>
      <c r="I317" t="s">
        <v>3620</v>
      </c>
      <c r="J317" s="5" t="str" cm="1">
        <f t="array" ref="J317">IF(SUM(COUNTIF(Text_Preprocessing__22458[[#This Row],[full_text]],{"*makan siang gratis*";"*MBG*";"*makan gratis*";"*makan bergizi gratis*";"*makangratis*";"*makanan gratis*"})),"Relevan","Tidak Relevan")</f>
        <v>Relevan</v>
      </c>
    </row>
  </sheetData>
  <conditionalFormatting sqref="B2:B317">
    <cfRule type="duplicateValues" dxfId="1" priority="2"/>
  </conditionalFormatting>
  <conditionalFormatting sqref="C2:C317">
    <cfRule type="duplicateValues" dxfId="0"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DD629E-8EB0-4000-95CD-4589FDFBC9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Step 1-Raw Data MBG</vt:lpstr>
      <vt:lpstr>Step 2-Check Duplicate Data MB</vt:lpstr>
      <vt:lpstr>Step 3-Clean Duplicate Data MBG</vt:lpstr>
      <vt:lpstr>Step 4-Text Preprocessing</vt:lpstr>
      <vt:lpstr>Step 4-Text Preprocessing 2</vt:lpstr>
      <vt:lpstr>Step 5-Clean Duplicate Data MBG</vt:lpstr>
      <vt:lpstr>Step 5-Clean Duplicate Data 2</vt:lpstr>
      <vt:lpstr>Step 6-Check Relevansi Data MBG</vt:lpstr>
      <vt:lpstr>Step 6-Check Relevansi Data 2</vt:lpstr>
      <vt:lpstr>Step 8-Clean Relevansi Data</vt:lpstr>
      <vt:lpstr>Step 8-Clean Relevansi Data 2</vt:lpstr>
      <vt:lpstr>Step 9-Category Akun</vt:lpstr>
      <vt:lpstr>Step 10-Clean Akun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Mitra Netra</dc:creator>
  <cp:lastModifiedBy>Mitra Netra</cp:lastModifiedBy>
  <dcterms:created xsi:type="dcterms:W3CDTF">2026-04-30T12:29:15Z</dcterms:created>
  <dcterms:modified xsi:type="dcterms:W3CDTF">2026-05-06T12:58:14Z</dcterms:modified>
</cp:coreProperties>
</file>